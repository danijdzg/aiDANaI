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hidePivotFieldList="1"/>
  <xr:revisionPtr revIDLastSave="0" documentId="8_{0E393758-B035-444E-A860-115D4E92F2EE}" xr6:coauthVersionLast="47" xr6:coauthVersionMax="47" xr10:uidLastSave="{00000000-0000-0000-0000-000000000000}"/>
  <bookViews>
    <workbookView xWindow="0" yWindow="0" windowWidth="16384" windowHeight="8192" tabRatio="500" xr2:uid="{00000000-000D-0000-FFFF-FFFF00000000}"/>
  </bookViews>
  <sheets>
    <sheet name="Movimientos" sheetId="1" r:id="rId1"/>
    <sheet name="Balance" sheetId="2" r:id="rId2"/>
    <sheet name="Resumen" sheetId="3" r:id="rId3"/>
    <sheet name="Nóminas" sheetId="4" r:id="rId4"/>
    <sheet name="Presupuesto" sheetId="5" r:id="rId5"/>
    <sheet name="Configuración" sheetId="6" r:id="rId6"/>
  </sheets>
  <definedNames>
    <definedName name="_xlnm._FilterDatabase" localSheetId="0" hidden="1">Movimientos!$A$66:$F$10793</definedName>
    <definedName name="_xlnm.Print_Area" localSheetId="1">Balance!$B$1:$H$87</definedName>
    <definedName name="TablaMovimientos">Movimientos!#REF!,Movimientos!$F$10793</definedName>
  </definedNames>
  <calcPr calcId="191028" iterateDelta="1E-4"/>
  <pivotCaches>
    <pivotCache cacheId="2116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D2739" i="1" l="1"/>
  <c r="C29" i="5"/>
  <c r="E28" i="5"/>
  <c r="B28" i="5"/>
  <c r="E27" i="5"/>
  <c r="B27" i="5"/>
  <c r="E26" i="5"/>
  <c r="B26" i="5"/>
  <c r="E25" i="5"/>
  <c r="B25" i="5"/>
  <c r="E24" i="5"/>
  <c r="B24" i="5"/>
  <c r="E23" i="5"/>
  <c r="B23" i="5"/>
  <c r="E22" i="5"/>
  <c r="B22" i="5"/>
  <c r="E21" i="5"/>
  <c r="B21" i="5"/>
  <c r="E20" i="5"/>
  <c r="B20" i="5"/>
  <c r="E19" i="5"/>
  <c r="B19" i="5"/>
  <c r="E18" i="5"/>
  <c r="B18" i="5"/>
  <c r="E17" i="5"/>
  <c r="B17" i="5"/>
  <c r="E16" i="5"/>
  <c r="B16" i="5"/>
  <c r="E15" i="5"/>
  <c r="B15" i="5"/>
  <c r="E14" i="5"/>
  <c r="B14" i="5"/>
  <c r="E13" i="5"/>
  <c r="B13" i="5"/>
  <c r="E12" i="5"/>
  <c r="B12" i="5"/>
  <c r="E11" i="5"/>
  <c r="B11" i="5"/>
  <c r="E10" i="5"/>
  <c r="B10" i="5"/>
  <c r="E9" i="5"/>
  <c r="B9" i="5"/>
  <c r="D8" i="5"/>
  <c r="B8" i="5"/>
  <c r="E7" i="5"/>
  <c r="B7" i="5"/>
  <c r="E6" i="5"/>
  <c r="B6" i="5"/>
  <c r="E5" i="5"/>
  <c r="B5" i="5"/>
  <c r="E4" i="5"/>
  <c r="B4" i="5"/>
  <c r="E3" i="5"/>
  <c r="B3" i="5"/>
  <c r="E2" i="5"/>
  <c r="B2" i="5"/>
  <c r="J1" i="5"/>
  <c r="L32" i="4"/>
  <c r="D32" i="4"/>
  <c r="N31" i="4"/>
  <c r="F31" i="4"/>
  <c r="N30" i="4"/>
  <c r="F30" i="4"/>
  <c r="N29" i="4"/>
  <c r="F29" i="4"/>
  <c r="N28" i="4"/>
  <c r="F28" i="4"/>
  <c r="N27" i="4"/>
  <c r="F27" i="4"/>
  <c r="N26" i="4"/>
  <c r="F26" i="4"/>
  <c r="N25" i="4"/>
  <c r="F25" i="4"/>
  <c r="N24" i="4"/>
  <c r="F24" i="4"/>
  <c r="N23" i="4"/>
  <c r="F23" i="4"/>
  <c r="N22" i="4"/>
  <c r="F22" i="4"/>
  <c r="N21" i="4"/>
  <c r="F21" i="4"/>
  <c r="N20" i="4"/>
  <c r="F20" i="4"/>
  <c r="N19" i="4"/>
  <c r="F19" i="4"/>
  <c r="L16" i="4"/>
  <c r="G16" i="4"/>
  <c r="O15" i="4"/>
  <c r="P15" i="4" s="1"/>
  <c r="D15" i="4"/>
  <c r="O14" i="4"/>
  <c r="P14" i="4" s="1"/>
  <c r="D14" i="4"/>
  <c r="O13" i="4"/>
  <c r="P13" i="4" s="1"/>
  <c r="F13" i="4"/>
  <c r="H13" i="4" s="1"/>
  <c r="O12" i="4"/>
  <c r="P12" i="4" s="1"/>
  <c r="D12" i="4"/>
  <c r="O11" i="4"/>
  <c r="P11" i="4" s="1"/>
  <c r="D11" i="4"/>
  <c r="O10" i="4"/>
  <c r="P10" i="4" s="1"/>
  <c r="D10" i="4"/>
  <c r="O9" i="4"/>
  <c r="P9" i="4" s="1"/>
  <c r="D9" i="4"/>
  <c r="O8" i="4"/>
  <c r="P8" i="4" s="1"/>
  <c r="D8" i="4"/>
  <c r="O7" i="4"/>
  <c r="P7" i="4" s="1"/>
  <c r="D7" i="4"/>
  <c r="O6" i="4"/>
  <c r="P6" i="4" s="1"/>
  <c r="D6" i="4"/>
  <c r="O5" i="4"/>
  <c r="P5" i="4" s="1"/>
  <c r="D5" i="4"/>
  <c r="O4" i="4"/>
  <c r="P4" i="4" s="1"/>
  <c r="D4" i="4"/>
  <c r="O3" i="4"/>
  <c r="O16" i="4" s="1"/>
  <c r="N3" i="4"/>
  <c r="D3" i="4"/>
  <c r="C87" i="2"/>
  <c r="G86" i="2"/>
  <c r="B86" i="2"/>
  <c r="G85" i="2"/>
  <c r="B85" i="2"/>
  <c r="G84" i="2"/>
  <c r="B84" i="2"/>
  <c r="G83" i="2"/>
  <c r="B83" i="2"/>
  <c r="G82" i="2"/>
  <c r="B82" i="2"/>
  <c r="E81" i="2"/>
  <c r="B81" i="2"/>
  <c r="E80" i="2"/>
  <c r="B80" i="2"/>
  <c r="E79" i="2"/>
  <c r="B79" i="2"/>
  <c r="E78" i="2"/>
  <c r="B78" i="2"/>
  <c r="E77" i="2"/>
  <c r="B77" i="2"/>
  <c r="E76" i="2"/>
  <c r="B76" i="2"/>
  <c r="E75" i="2"/>
  <c r="B75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5" i="2"/>
  <c r="B54" i="2"/>
  <c r="B53" i="2"/>
  <c r="B52" i="2"/>
  <c r="B50" i="2"/>
  <c r="B49" i="2"/>
  <c r="B48" i="2"/>
  <c r="B47" i="2"/>
  <c r="B46" i="2"/>
  <c r="B45" i="2"/>
  <c r="B43" i="2"/>
  <c r="B42" i="2"/>
  <c r="B41" i="2"/>
  <c r="B40" i="2"/>
  <c r="B39" i="2"/>
  <c r="B38" i="2"/>
  <c r="B37" i="2"/>
  <c r="B36" i="2"/>
  <c r="B35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4" i="2"/>
  <c r="B13" i="2"/>
  <c r="B11" i="2"/>
  <c r="B10" i="2"/>
  <c r="G9" i="2"/>
  <c r="B8" i="2"/>
  <c r="B7" i="2"/>
  <c r="C6" i="2"/>
  <c r="G4" i="2"/>
  <c r="B1" i="2"/>
  <c r="E10793" i="1"/>
  <c r="E10792" i="1"/>
  <c r="E10791" i="1"/>
  <c r="E10790" i="1"/>
  <c r="E10789" i="1"/>
  <c r="E10788" i="1"/>
  <c r="E10787" i="1"/>
  <c r="E10786" i="1"/>
  <c r="E10785" i="1"/>
  <c r="E10784" i="1"/>
  <c r="E10783" i="1"/>
  <c r="E10782" i="1"/>
  <c r="E10781" i="1"/>
  <c r="E10780" i="1"/>
  <c r="E10779" i="1"/>
  <c r="E10778" i="1"/>
  <c r="E10777" i="1"/>
  <c r="E10776" i="1"/>
  <c r="E10775" i="1"/>
  <c r="E10774" i="1"/>
  <c r="E10773" i="1"/>
  <c r="E10772" i="1"/>
  <c r="E10771" i="1"/>
  <c r="E10770" i="1"/>
  <c r="E10769" i="1"/>
  <c r="E10768" i="1"/>
  <c r="E10767" i="1"/>
  <c r="E10766" i="1"/>
  <c r="E10765" i="1"/>
  <c r="E10764" i="1"/>
  <c r="E10763" i="1"/>
  <c r="E10762" i="1"/>
  <c r="E10761" i="1"/>
  <c r="E10760" i="1"/>
  <c r="E10759" i="1"/>
  <c r="E10758" i="1"/>
  <c r="E10757" i="1"/>
  <c r="E10756" i="1"/>
  <c r="E10755" i="1"/>
  <c r="E10754" i="1"/>
  <c r="E10753" i="1"/>
  <c r="E10752" i="1"/>
  <c r="E10751" i="1"/>
  <c r="E10750" i="1"/>
  <c r="E10749" i="1"/>
  <c r="E10748" i="1"/>
  <c r="E10747" i="1"/>
  <c r="E10746" i="1"/>
  <c r="E10745" i="1"/>
  <c r="E10744" i="1"/>
  <c r="E10743" i="1"/>
  <c r="E10742" i="1"/>
  <c r="E10741" i="1"/>
  <c r="E10740" i="1"/>
  <c r="E10739" i="1"/>
  <c r="E10738" i="1"/>
  <c r="E10737" i="1"/>
  <c r="E10736" i="1"/>
  <c r="E10735" i="1"/>
  <c r="E10734" i="1"/>
  <c r="E10733" i="1"/>
  <c r="E10732" i="1"/>
  <c r="E10731" i="1"/>
  <c r="E10730" i="1"/>
  <c r="E10729" i="1"/>
  <c r="E10728" i="1"/>
  <c r="E10727" i="1"/>
  <c r="E10726" i="1"/>
  <c r="E10725" i="1"/>
  <c r="E10724" i="1"/>
  <c r="E10723" i="1"/>
  <c r="E10722" i="1"/>
  <c r="E10721" i="1"/>
  <c r="E10720" i="1"/>
  <c r="E10719" i="1"/>
  <c r="E10718" i="1"/>
  <c r="E10717" i="1"/>
  <c r="E10716" i="1"/>
  <c r="E10715" i="1"/>
  <c r="E10714" i="1"/>
  <c r="E10713" i="1"/>
  <c r="E10712" i="1"/>
  <c r="E10711" i="1"/>
  <c r="E10710" i="1"/>
  <c r="E10709" i="1"/>
  <c r="E10708" i="1"/>
  <c r="E10707" i="1"/>
  <c r="E10706" i="1"/>
  <c r="E10705" i="1"/>
  <c r="E10704" i="1"/>
  <c r="E10703" i="1"/>
  <c r="E10702" i="1"/>
  <c r="E10701" i="1"/>
  <c r="E10700" i="1"/>
  <c r="E10699" i="1"/>
  <c r="E10698" i="1"/>
  <c r="E10697" i="1"/>
  <c r="E10696" i="1"/>
  <c r="E10695" i="1"/>
  <c r="E10694" i="1"/>
  <c r="E10693" i="1"/>
  <c r="E10692" i="1"/>
  <c r="E10691" i="1"/>
  <c r="E10690" i="1"/>
  <c r="E10689" i="1"/>
  <c r="E10688" i="1"/>
  <c r="E10687" i="1"/>
  <c r="E10686" i="1"/>
  <c r="E10685" i="1"/>
  <c r="E10684" i="1"/>
  <c r="E10683" i="1"/>
  <c r="E10682" i="1"/>
  <c r="E10681" i="1"/>
  <c r="E10680" i="1"/>
  <c r="E10679" i="1"/>
  <c r="E10678" i="1"/>
  <c r="E10677" i="1"/>
  <c r="E10676" i="1"/>
  <c r="E10675" i="1"/>
  <c r="E10674" i="1"/>
  <c r="E10673" i="1"/>
  <c r="E10672" i="1"/>
  <c r="E10671" i="1"/>
  <c r="E10670" i="1"/>
  <c r="E10669" i="1"/>
  <c r="E10668" i="1"/>
  <c r="E10667" i="1"/>
  <c r="E10666" i="1"/>
  <c r="E10665" i="1"/>
  <c r="E10664" i="1"/>
  <c r="E10663" i="1"/>
  <c r="E10662" i="1"/>
  <c r="E10661" i="1"/>
  <c r="E10660" i="1"/>
  <c r="E10659" i="1"/>
  <c r="E10658" i="1"/>
  <c r="E10657" i="1"/>
  <c r="E10656" i="1"/>
  <c r="E10655" i="1"/>
  <c r="E10654" i="1"/>
  <c r="E10653" i="1"/>
  <c r="E10652" i="1"/>
  <c r="E10651" i="1"/>
  <c r="E10650" i="1"/>
  <c r="E10649" i="1"/>
  <c r="E10648" i="1"/>
  <c r="E10647" i="1"/>
  <c r="E10646" i="1"/>
  <c r="E10645" i="1"/>
  <c r="E10644" i="1"/>
  <c r="E10643" i="1"/>
  <c r="E10642" i="1"/>
  <c r="E10641" i="1"/>
  <c r="E10640" i="1"/>
  <c r="E10639" i="1"/>
  <c r="E10638" i="1"/>
  <c r="E10637" i="1"/>
  <c r="E10636" i="1"/>
  <c r="E10635" i="1"/>
  <c r="E10634" i="1"/>
  <c r="E10633" i="1"/>
  <c r="E10632" i="1"/>
  <c r="E10631" i="1"/>
  <c r="E10630" i="1"/>
  <c r="E10629" i="1"/>
  <c r="E10628" i="1"/>
  <c r="E10627" i="1"/>
  <c r="E10626" i="1"/>
  <c r="E10625" i="1"/>
  <c r="E10624" i="1"/>
  <c r="E10623" i="1"/>
  <c r="E10622" i="1"/>
  <c r="E10621" i="1"/>
  <c r="E10620" i="1"/>
  <c r="E10619" i="1"/>
  <c r="E10618" i="1"/>
  <c r="E10617" i="1"/>
  <c r="E10616" i="1"/>
  <c r="E10615" i="1"/>
  <c r="E10614" i="1"/>
  <c r="E10613" i="1"/>
  <c r="E10612" i="1"/>
  <c r="E10611" i="1"/>
  <c r="E10610" i="1"/>
  <c r="E10609" i="1"/>
  <c r="E10608" i="1"/>
  <c r="E10607" i="1"/>
  <c r="E10606" i="1"/>
  <c r="E10605" i="1"/>
  <c r="E10604" i="1"/>
  <c r="E10603" i="1"/>
  <c r="E10602" i="1"/>
  <c r="E10601" i="1"/>
  <c r="E10600" i="1"/>
  <c r="E10599" i="1"/>
  <c r="E10598" i="1"/>
  <c r="E10597" i="1"/>
  <c r="E10596" i="1"/>
  <c r="E10595" i="1"/>
  <c r="E10594" i="1"/>
  <c r="E10593" i="1"/>
  <c r="E10592" i="1"/>
  <c r="E10591" i="1"/>
  <c r="E10590" i="1"/>
  <c r="E10589" i="1"/>
  <c r="E10588" i="1"/>
  <c r="E10587" i="1"/>
  <c r="E10586" i="1"/>
  <c r="E10585" i="1"/>
  <c r="E10584" i="1"/>
  <c r="E10583" i="1"/>
  <c r="E10582" i="1"/>
  <c r="E10581" i="1"/>
  <c r="E10580" i="1"/>
  <c r="E10579" i="1"/>
  <c r="E10578" i="1"/>
  <c r="E10577" i="1"/>
  <c r="E10576" i="1"/>
  <c r="E10575" i="1"/>
  <c r="E10574" i="1"/>
  <c r="E10573" i="1"/>
  <c r="E10572" i="1"/>
  <c r="E10571" i="1"/>
  <c r="E10570" i="1"/>
  <c r="E10569" i="1"/>
  <c r="E10568" i="1"/>
  <c r="E10567" i="1"/>
  <c r="E10566" i="1"/>
  <c r="E10565" i="1"/>
  <c r="E10564" i="1"/>
  <c r="E10563" i="1"/>
  <c r="E10562" i="1"/>
  <c r="E10561" i="1"/>
  <c r="E10560" i="1"/>
  <c r="E10559" i="1"/>
  <c r="E10558" i="1"/>
  <c r="E10557" i="1"/>
  <c r="E10556" i="1"/>
  <c r="E10555" i="1"/>
  <c r="E10554" i="1"/>
  <c r="E10553" i="1"/>
  <c r="E10552" i="1"/>
  <c r="E10551" i="1"/>
  <c r="E10550" i="1"/>
  <c r="E10549" i="1"/>
  <c r="E10548" i="1"/>
  <c r="E10547" i="1"/>
  <c r="E10546" i="1"/>
  <c r="E10545" i="1"/>
  <c r="E10544" i="1"/>
  <c r="E10543" i="1"/>
  <c r="E10542" i="1"/>
  <c r="E10541" i="1"/>
  <c r="E10540" i="1"/>
  <c r="E10539" i="1"/>
  <c r="E10538" i="1"/>
  <c r="E10537" i="1"/>
  <c r="E10536" i="1"/>
  <c r="E10535" i="1"/>
  <c r="E10534" i="1"/>
  <c r="E10533" i="1"/>
  <c r="E10532" i="1"/>
  <c r="E10531" i="1"/>
  <c r="E10530" i="1"/>
  <c r="E10529" i="1"/>
  <c r="E10528" i="1"/>
  <c r="E10527" i="1"/>
  <c r="E10526" i="1"/>
  <c r="E10525" i="1"/>
  <c r="E10524" i="1"/>
  <c r="E10523" i="1"/>
  <c r="E10522" i="1"/>
  <c r="E10521" i="1"/>
  <c r="E10520" i="1"/>
  <c r="E10519" i="1"/>
  <c r="E10518" i="1"/>
  <c r="E10517" i="1"/>
  <c r="E10516" i="1"/>
  <c r="E10515" i="1"/>
  <c r="E10514" i="1"/>
  <c r="E10513" i="1"/>
  <c r="E10512" i="1"/>
  <c r="E10511" i="1"/>
  <c r="E10510" i="1"/>
  <c r="E10509" i="1"/>
  <c r="E10508" i="1"/>
  <c r="E10507" i="1"/>
  <c r="E10506" i="1"/>
  <c r="E10505" i="1"/>
  <c r="E10504" i="1"/>
  <c r="E10503" i="1"/>
  <c r="E10502" i="1"/>
  <c r="E10501" i="1"/>
  <c r="E10500" i="1"/>
  <c r="E10499" i="1"/>
  <c r="E10498" i="1"/>
  <c r="E10497" i="1"/>
  <c r="E10496" i="1"/>
  <c r="E10495" i="1"/>
  <c r="E10494" i="1"/>
  <c r="E10493" i="1"/>
  <c r="E10492" i="1"/>
  <c r="E10491" i="1"/>
  <c r="E10490" i="1"/>
  <c r="E10489" i="1"/>
  <c r="E10488" i="1"/>
  <c r="E10487" i="1"/>
  <c r="E10486" i="1"/>
  <c r="E10485" i="1"/>
  <c r="E10484" i="1"/>
  <c r="E10483" i="1"/>
  <c r="E10482" i="1"/>
  <c r="E10481" i="1"/>
  <c r="E10480" i="1"/>
  <c r="E10479" i="1"/>
  <c r="E10478" i="1"/>
  <c r="E10477" i="1"/>
  <c r="E10476" i="1"/>
  <c r="E10475" i="1"/>
  <c r="E10474" i="1"/>
  <c r="E10473" i="1"/>
  <c r="E10472" i="1"/>
  <c r="E10471" i="1"/>
  <c r="E10470" i="1"/>
  <c r="E10469" i="1"/>
  <c r="E10468" i="1"/>
  <c r="E10467" i="1"/>
  <c r="E10466" i="1"/>
  <c r="E10465" i="1"/>
  <c r="E10464" i="1"/>
  <c r="E10463" i="1"/>
  <c r="E10462" i="1"/>
  <c r="E10461" i="1"/>
  <c r="E10460" i="1"/>
  <c r="E10459" i="1"/>
  <c r="E10458" i="1"/>
  <c r="E10457" i="1"/>
  <c r="E10456" i="1"/>
  <c r="E10455" i="1"/>
  <c r="E10454" i="1"/>
  <c r="E10453" i="1"/>
  <c r="E10452" i="1"/>
  <c r="E10451" i="1"/>
  <c r="E10450" i="1"/>
  <c r="E10449" i="1"/>
  <c r="E10448" i="1"/>
  <c r="E10447" i="1"/>
  <c r="E10446" i="1"/>
  <c r="E10445" i="1"/>
  <c r="E10444" i="1"/>
  <c r="E10443" i="1"/>
  <c r="E10442" i="1"/>
  <c r="E10441" i="1"/>
  <c r="E10440" i="1"/>
  <c r="E10439" i="1"/>
  <c r="E10438" i="1"/>
  <c r="E10437" i="1"/>
  <c r="E10436" i="1"/>
  <c r="E10435" i="1"/>
  <c r="E10434" i="1"/>
  <c r="E10433" i="1"/>
  <c r="E10432" i="1"/>
  <c r="E10431" i="1"/>
  <c r="E10430" i="1"/>
  <c r="E10429" i="1"/>
  <c r="E10428" i="1"/>
  <c r="E10427" i="1"/>
  <c r="E10426" i="1"/>
  <c r="E10425" i="1"/>
  <c r="E10424" i="1"/>
  <c r="E10423" i="1"/>
  <c r="E10422" i="1"/>
  <c r="E10421" i="1"/>
  <c r="E10420" i="1"/>
  <c r="E10419" i="1"/>
  <c r="E10418" i="1"/>
  <c r="E10417" i="1"/>
  <c r="E10416" i="1"/>
  <c r="E10415" i="1"/>
  <c r="E10414" i="1"/>
  <c r="E10413" i="1"/>
  <c r="E10412" i="1"/>
  <c r="E10411" i="1"/>
  <c r="E10410" i="1"/>
  <c r="E10409" i="1"/>
  <c r="E10408" i="1"/>
  <c r="E10407" i="1"/>
  <c r="E10406" i="1"/>
  <c r="E10405" i="1"/>
  <c r="E10404" i="1"/>
  <c r="E10403" i="1"/>
  <c r="E10402" i="1"/>
  <c r="E10401" i="1"/>
  <c r="E10400" i="1"/>
  <c r="E10399" i="1"/>
  <c r="E10398" i="1"/>
  <c r="E10397" i="1"/>
  <c r="E10396" i="1"/>
  <c r="E10395" i="1"/>
  <c r="E10394" i="1"/>
  <c r="E10393" i="1"/>
  <c r="E10392" i="1"/>
  <c r="E10391" i="1"/>
  <c r="E10390" i="1"/>
  <c r="E10389" i="1"/>
  <c r="E10388" i="1"/>
  <c r="E10387" i="1"/>
  <c r="E10386" i="1"/>
  <c r="E10385" i="1"/>
  <c r="E10384" i="1"/>
  <c r="E10383" i="1"/>
  <c r="E10382" i="1"/>
  <c r="E10381" i="1"/>
  <c r="E10380" i="1"/>
  <c r="E10379" i="1"/>
  <c r="E10378" i="1"/>
  <c r="E10377" i="1"/>
  <c r="E10376" i="1"/>
  <c r="E10375" i="1"/>
  <c r="E10374" i="1"/>
  <c r="E10373" i="1"/>
  <c r="E10372" i="1"/>
  <c r="E10371" i="1"/>
  <c r="E10370" i="1"/>
  <c r="E10369" i="1"/>
  <c r="E10368" i="1"/>
  <c r="E10367" i="1"/>
  <c r="E10366" i="1"/>
  <c r="E10365" i="1"/>
  <c r="E10364" i="1"/>
  <c r="E10363" i="1"/>
  <c r="E10362" i="1"/>
  <c r="E10361" i="1"/>
  <c r="E10360" i="1"/>
  <c r="E10359" i="1"/>
  <c r="E10358" i="1"/>
  <c r="E10357" i="1"/>
  <c r="E10356" i="1"/>
  <c r="E10355" i="1"/>
  <c r="E10354" i="1"/>
  <c r="E10353" i="1"/>
  <c r="E10352" i="1"/>
  <c r="E10351" i="1"/>
  <c r="E10350" i="1"/>
  <c r="E10349" i="1"/>
  <c r="E10348" i="1"/>
  <c r="E10347" i="1"/>
  <c r="E10346" i="1"/>
  <c r="E10345" i="1"/>
  <c r="E10344" i="1"/>
  <c r="E10343" i="1"/>
  <c r="E10342" i="1"/>
  <c r="E10341" i="1"/>
  <c r="E10340" i="1"/>
  <c r="E10339" i="1"/>
  <c r="E10338" i="1"/>
  <c r="E10337" i="1"/>
  <c r="E10336" i="1"/>
  <c r="E10335" i="1"/>
  <c r="E10334" i="1"/>
  <c r="E10333" i="1"/>
  <c r="E10332" i="1"/>
  <c r="E10331" i="1"/>
  <c r="E10330" i="1"/>
  <c r="E10329" i="1"/>
  <c r="E10328" i="1"/>
  <c r="E10327" i="1"/>
  <c r="E10326" i="1"/>
  <c r="E10325" i="1"/>
  <c r="E10324" i="1"/>
  <c r="E10323" i="1"/>
  <c r="E10322" i="1"/>
  <c r="E10321" i="1"/>
  <c r="E10320" i="1"/>
  <c r="E10319" i="1"/>
  <c r="E10318" i="1"/>
  <c r="E10317" i="1"/>
  <c r="E10316" i="1"/>
  <c r="E10315" i="1"/>
  <c r="E10314" i="1"/>
  <c r="E10313" i="1"/>
  <c r="E10312" i="1"/>
  <c r="E10311" i="1"/>
  <c r="E10310" i="1"/>
  <c r="E10309" i="1"/>
  <c r="E10308" i="1"/>
  <c r="E10307" i="1"/>
  <c r="E10306" i="1"/>
  <c r="E10305" i="1"/>
  <c r="E10304" i="1"/>
  <c r="E10303" i="1"/>
  <c r="E10302" i="1"/>
  <c r="E10301" i="1"/>
  <c r="E10300" i="1"/>
  <c r="E10299" i="1"/>
  <c r="E10298" i="1"/>
  <c r="E10297" i="1"/>
  <c r="E10296" i="1"/>
  <c r="E10295" i="1"/>
  <c r="E10294" i="1"/>
  <c r="E10293" i="1"/>
  <c r="E10292" i="1"/>
  <c r="E10291" i="1"/>
  <c r="E10290" i="1"/>
  <c r="E10289" i="1"/>
  <c r="E10288" i="1"/>
  <c r="E10287" i="1"/>
  <c r="E10286" i="1"/>
  <c r="E10285" i="1"/>
  <c r="E10284" i="1"/>
  <c r="E10283" i="1"/>
  <c r="E10282" i="1"/>
  <c r="E10281" i="1"/>
  <c r="E10280" i="1"/>
  <c r="E10279" i="1"/>
  <c r="E10278" i="1"/>
  <c r="E10277" i="1"/>
  <c r="E10276" i="1"/>
  <c r="E10275" i="1"/>
  <c r="E10274" i="1"/>
  <c r="E10273" i="1"/>
  <c r="E10272" i="1"/>
  <c r="E10271" i="1"/>
  <c r="E10270" i="1"/>
  <c r="E10269" i="1"/>
  <c r="E10268" i="1"/>
  <c r="E10267" i="1"/>
  <c r="E10266" i="1"/>
  <c r="E10265" i="1"/>
  <c r="E10264" i="1"/>
  <c r="E10263" i="1"/>
  <c r="E10262" i="1"/>
  <c r="E10261" i="1"/>
  <c r="E10260" i="1"/>
  <c r="E10259" i="1"/>
  <c r="E10258" i="1"/>
  <c r="E10257" i="1"/>
  <c r="E10256" i="1"/>
  <c r="E10255" i="1"/>
  <c r="E10254" i="1"/>
  <c r="E10253" i="1"/>
  <c r="E10252" i="1"/>
  <c r="E10251" i="1"/>
  <c r="E10250" i="1"/>
  <c r="E10249" i="1"/>
  <c r="E10248" i="1"/>
  <c r="E10247" i="1"/>
  <c r="E10246" i="1"/>
  <c r="E10245" i="1"/>
  <c r="E10244" i="1"/>
  <c r="E10243" i="1"/>
  <c r="E10242" i="1"/>
  <c r="E10241" i="1"/>
  <c r="E10240" i="1"/>
  <c r="E10239" i="1"/>
  <c r="E10238" i="1"/>
  <c r="E10237" i="1"/>
  <c r="E10236" i="1"/>
  <c r="E10235" i="1"/>
  <c r="E10234" i="1"/>
  <c r="E10233" i="1"/>
  <c r="E10232" i="1"/>
  <c r="E10231" i="1"/>
  <c r="E10230" i="1"/>
  <c r="E10229" i="1"/>
  <c r="E10228" i="1"/>
  <c r="E10227" i="1"/>
  <c r="E10226" i="1"/>
  <c r="E10225" i="1"/>
  <c r="E10224" i="1"/>
  <c r="E10223" i="1"/>
  <c r="E10222" i="1"/>
  <c r="E10221" i="1"/>
  <c r="E10220" i="1"/>
  <c r="E10219" i="1"/>
  <c r="E10218" i="1"/>
  <c r="E10217" i="1"/>
  <c r="E10216" i="1"/>
  <c r="E10215" i="1"/>
  <c r="E10214" i="1"/>
  <c r="E10213" i="1"/>
  <c r="E10212" i="1"/>
  <c r="E10211" i="1"/>
  <c r="E10210" i="1"/>
  <c r="E10209" i="1"/>
  <c r="E10208" i="1"/>
  <c r="E10207" i="1"/>
  <c r="E10206" i="1"/>
  <c r="E10205" i="1"/>
  <c r="E10204" i="1"/>
  <c r="E10203" i="1"/>
  <c r="E10202" i="1"/>
  <c r="E10201" i="1"/>
  <c r="E10200" i="1"/>
  <c r="E10199" i="1"/>
  <c r="E10198" i="1"/>
  <c r="E10197" i="1"/>
  <c r="E10196" i="1"/>
  <c r="E10195" i="1"/>
  <c r="E10194" i="1"/>
  <c r="E10193" i="1"/>
  <c r="E10192" i="1"/>
  <c r="E10191" i="1"/>
  <c r="E10190" i="1"/>
  <c r="E10189" i="1"/>
  <c r="E10188" i="1"/>
  <c r="E10187" i="1"/>
  <c r="E10186" i="1"/>
  <c r="E10185" i="1"/>
  <c r="E10184" i="1"/>
  <c r="E10183" i="1"/>
  <c r="E10182" i="1"/>
  <c r="E10181" i="1"/>
  <c r="E10180" i="1"/>
  <c r="E10179" i="1"/>
  <c r="E10178" i="1"/>
  <c r="E10177" i="1"/>
  <c r="E10176" i="1"/>
  <c r="E10175" i="1"/>
  <c r="E10174" i="1"/>
  <c r="E10173" i="1"/>
  <c r="E10172" i="1"/>
  <c r="E10171" i="1"/>
  <c r="E10170" i="1"/>
  <c r="E10169" i="1"/>
  <c r="E10168" i="1"/>
  <c r="E10167" i="1"/>
  <c r="E10166" i="1"/>
  <c r="E10165" i="1"/>
  <c r="E10164" i="1"/>
  <c r="E10163" i="1"/>
  <c r="E10162" i="1"/>
  <c r="E10161" i="1"/>
  <c r="E10160" i="1"/>
  <c r="E10159" i="1"/>
  <c r="E10158" i="1"/>
  <c r="E10157" i="1"/>
  <c r="E10156" i="1"/>
  <c r="E10155" i="1"/>
  <c r="E10154" i="1"/>
  <c r="E10153" i="1"/>
  <c r="E10152" i="1"/>
  <c r="E10151" i="1"/>
  <c r="E10150" i="1"/>
  <c r="E10149" i="1"/>
  <c r="E10148" i="1"/>
  <c r="E10147" i="1"/>
  <c r="E10146" i="1"/>
  <c r="E10145" i="1"/>
  <c r="E10144" i="1"/>
  <c r="E10143" i="1"/>
  <c r="E10142" i="1"/>
  <c r="E10141" i="1"/>
  <c r="E10140" i="1"/>
  <c r="E10139" i="1"/>
  <c r="E10138" i="1"/>
  <c r="E10137" i="1"/>
  <c r="E10136" i="1"/>
  <c r="E10135" i="1"/>
  <c r="E10134" i="1"/>
  <c r="E10133" i="1"/>
  <c r="E10132" i="1"/>
  <c r="E10131" i="1"/>
  <c r="E10130" i="1"/>
  <c r="E10129" i="1"/>
  <c r="E10128" i="1"/>
  <c r="E10127" i="1"/>
  <c r="E10126" i="1"/>
  <c r="E10125" i="1"/>
  <c r="E10124" i="1"/>
  <c r="E10123" i="1"/>
  <c r="E10122" i="1"/>
  <c r="E10121" i="1"/>
  <c r="E10120" i="1"/>
  <c r="E10119" i="1"/>
  <c r="E10118" i="1"/>
  <c r="E10117" i="1"/>
  <c r="E10116" i="1"/>
  <c r="E10115" i="1"/>
  <c r="E10114" i="1"/>
  <c r="E10113" i="1"/>
  <c r="E10112" i="1"/>
  <c r="E10111" i="1"/>
  <c r="E10110" i="1"/>
  <c r="E10109" i="1"/>
  <c r="E10108" i="1"/>
  <c r="E10107" i="1"/>
  <c r="E10106" i="1"/>
  <c r="E10105" i="1"/>
  <c r="E10104" i="1"/>
  <c r="E10103" i="1"/>
  <c r="E10102" i="1"/>
  <c r="E10101" i="1"/>
  <c r="E10100" i="1"/>
  <c r="E10099" i="1"/>
  <c r="E10098" i="1"/>
  <c r="E10097" i="1"/>
  <c r="E10096" i="1"/>
  <c r="E10095" i="1"/>
  <c r="E10094" i="1"/>
  <c r="E10093" i="1"/>
  <c r="E10092" i="1"/>
  <c r="E10091" i="1"/>
  <c r="E10090" i="1"/>
  <c r="E10089" i="1"/>
  <c r="E10088" i="1"/>
  <c r="E10087" i="1"/>
  <c r="E10086" i="1"/>
  <c r="E10085" i="1"/>
  <c r="E10084" i="1"/>
  <c r="E10083" i="1"/>
  <c r="E10082" i="1"/>
  <c r="E10081" i="1"/>
  <c r="E10080" i="1"/>
  <c r="E10079" i="1"/>
  <c r="E10078" i="1"/>
  <c r="E10077" i="1"/>
  <c r="E10076" i="1"/>
  <c r="E10075" i="1"/>
  <c r="E10074" i="1"/>
  <c r="E10073" i="1"/>
  <c r="E10072" i="1"/>
  <c r="E10071" i="1"/>
  <c r="E10070" i="1"/>
  <c r="E10069" i="1"/>
  <c r="E10068" i="1"/>
  <c r="E10067" i="1"/>
  <c r="E10066" i="1"/>
  <c r="E10065" i="1"/>
  <c r="E10064" i="1"/>
  <c r="E10063" i="1"/>
  <c r="E10062" i="1"/>
  <c r="E10061" i="1"/>
  <c r="E10060" i="1"/>
  <c r="E10059" i="1"/>
  <c r="E10058" i="1"/>
  <c r="E10057" i="1"/>
  <c r="E10056" i="1"/>
  <c r="E10055" i="1"/>
  <c r="E10054" i="1"/>
  <c r="E10053" i="1"/>
  <c r="E10052" i="1"/>
  <c r="E10051" i="1"/>
  <c r="E10050" i="1"/>
  <c r="E10049" i="1"/>
  <c r="E10048" i="1"/>
  <c r="E10047" i="1"/>
  <c r="E10046" i="1"/>
  <c r="E10045" i="1"/>
  <c r="E10044" i="1"/>
  <c r="E10043" i="1"/>
  <c r="E10042" i="1"/>
  <c r="E10041" i="1"/>
  <c r="E10040" i="1"/>
  <c r="E10039" i="1"/>
  <c r="E10038" i="1"/>
  <c r="E10037" i="1"/>
  <c r="E10036" i="1"/>
  <c r="E10035" i="1"/>
  <c r="E10034" i="1"/>
  <c r="E10033" i="1"/>
  <c r="E10032" i="1"/>
  <c r="E10031" i="1"/>
  <c r="E10030" i="1"/>
  <c r="E10029" i="1"/>
  <c r="E10028" i="1"/>
  <c r="E10027" i="1"/>
  <c r="E10026" i="1"/>
  <c r="E10025" i="1"/>
  <c r="E10024" i="1"/>
  <c r="E10023" i="1"/>
  <c r="E10022" i="1"/>
  <c r="E10021" i="1"/>
  <c r="E10020" i="1"/>
  <c r="E10019" i="1"/>
  <c r="E10018" i="1"/>
  <c r="E10017" i="1"/>
  <c r="E10016" i="1"/>
  <c r="E10015" i="1"/>
  <c r="E10014" i="1"/>
  <c r="E10013" i="1"/>
  <c r="E10012" i="1"/>
  <c r="E10011" i="1"/>
  <c r="E10010" i="1"/>
  <c r="E10009" i="1"/>
  <c r="E10008" i="1"/>
  <c r="E10007" i="1"/>
  <c r="E10006" i="1"/>
  <c r="E10005" i="1"/>
  <c r="E10004" i="1"/>
  <c r="E10003" i="1"/>
  <c r="E10002" i="1"/>
  <c r="E10001" i="1"/>
  <c r="E10000" i="1"/>
  <c r="E9999" i="1"/>
  <c r="E9998" i="1"/>
  <c r="E9997" i="1"/>
  <c r="E9996" i="1"/>
  <c r="E9995" i="1"/>
  <c r="E9994" i="1"/>
  <c r="E9993" i="1"/>
  <c r="E9992" i="1"/>
  <c r="E9991" i="1"/>
  <c r="E9990" i="1"/>
  <c r="E9989" i="1"/>
  <c r="E9988" i="1"/>
  <c r="E9987" i="1"/>
  <c r="E9986" i="1"/>
  <c r="E9985" i="1"/>
  <c r="E9984" i="1"/>
  <c r="E9983" i="1"/>
  <c r="E9982" i="1"/>
  <c r="E9981" i="1"/>
  <c r="E9980" i="1"/>
  <c r="E9979" i="1"/>
  <c r="E9978" i="1"/>
  <c r="E9977" i="1"/>
  <c r="E9976" i="1"/>
  <c r="E9975" i="1"/>
  <c r="E9974" i="1"/>
  <c r="E9973" i="1"/>
  <c r="E9972" i="1"/>
  <c r="E9971" i="1"/>
  <c r="E9970" i="1"/>
  <c r="E9969" i="1"/>
  <c r="E9968" i="1"/>
  <c r="E9967" i="1"/>
  <c r="E9966" i="1"/>
  <c r="E9965" i="1"/>
  <c r="E9964" i="1"/>
  <c r="E9963" i="1"/>
  <c r="E9962" i="1"/>
  <c r="E9961" i="1"/>
  <c r="E9960" i="1"/>
  <c r="E9959" i="1"/>
  <c r="E9958" i="1"/>
  <c r="E9957" i="1"/>
  <c r="E9956" i="1"/>
  <c r="E9955" i="1"/>
  <c r="E9954" i="1"/>
  <c r="E9953" i="1"/>
  <c r="E9952" i="1"/>
  <c r="E9951" i="1"/>
  <c r="E9950" i="1"/>
  <c r="E9949" i="1"/>
  <c r="E9948" i="1"/>
  <c r="E9947" i="1"/>
  <c r="E9946" i="1"/>
  <c r="E9945" i="1"/>
  <c r="E9944" i="1"/>
  <c r="E9943" i="1"/>
  <c r="E9942" i="1"/>
  <c r="E9941" i="1"/>
  <c r="E9940" i="1"/>
  <c r="E9939" i="1"/>
  <c r="E9938" i="1"/>
  <c r="E9937" i="1"/>
  <c r="E9936" i="1"/>
  <c r="E9935" i="1"/>
  <c r="E9934" i="1"/>
  <c r="E9933" i="1"/>
  <c r="E9932" i="1"/>
  <c r="E9931" i="1"/>
  <c r="E9930" i="1"/>
  <c r="E9929" i="1"/>
  <c r="E9928" i="1"/>
  <c r="E9927" i="1"/>
  <c r="E9926" i="1"/>
  <c r="E9925" i="1"/>
  <c r="E9924" i="1"/>
  <c r="E9923" i="1"/>
  <c r="E9922" i="1"/>
  <c r="E9921" i="1"/>
  <c r="E9920" i="1"/>
  <c r="E9919" i="1"/>
  <c r="E9918" i="1"/>
  <c r="E9917" i="1"/>
  <c r="E9916" i="1"/>
  <c r="E9915" i="1"/>
  <c r="E9914" i="1"/>
  <c r="E9913" i="1"/>
  <c r="E9912" i="1"/>
  <c r="E9911" i="1"/>
  <c r="E9910" i="1"/>
  <c r="E9909" i="1"/>
  <c r="E9908" i="1"/>
  <c r="E9907" i="1"/>
  <c r="E9906" i="1"/>
  <c r="E9905" i="1"/>
  <c r="E9904" i="1"/>
  <c r="E9903" i="1"/>
  <c r="E9902" i="1"/>
  <c r="E9901" i="1"/>
  <c r="E9900" i="1"/>
  <c r="E9899" i="1"/>
  <c r="E9898" i="1"/>
  <c r="E9897" i="1"/>
  <c r="E9896" i="1"/>
  <c r="E9895" i="1"/>
  <c r="E9894" i="1"/>
  <c r="E9893" i="1"/>
  <c r="E9892" i="1"/>
  <c r="E9891" i="1"/>
  <c r="E9890" i="1"/>
  <c r="E9889" i="1"/>
  <c r="E9888" i="1"/>
  <c r="E9887" i="1"/>
  <c r="E9886" i="1"/>
  <c r="E9885" i="1"/>
  <c r="E9884" i="1"/>
  <c r="E9883" i="1"/>
  <c r="E9882" i="1"/>
  <c r="E9881" i="1"/>
  <c r="E9880" i="1"/>
  <c r="E9879" i="1"/>
  <c r="E9878" i="1"/>
  <c r="E9877" i="1"/>
  <c r="E9876" i="1"/>
  <c r="E9875" i="1"/>
  <c r="E9874" i="1"/>
  <c r="E9873" i="1"/>
  <c r="E9872" i="1"/>
  <c r="E9871" i="1"/>
  <c r="E9870" i="1"/>
  <c r="E9869" i="1"/>
  <c r="E9868" i="1"/>
  <c r="E9867" i="1"/>
  <c r="E9866" i="1"/>
  <c r="E9865" i="1"/>
  <c r="E9864" i="1"/>
  <c r="E9863" i="1"/>
  <c r="E9862" i="1"/>
  <c r="E9861" i="1"/>
  <c r="E9860" i="1"/>
  <c r="E9859" i="1"/>
  <c r="E9858" i="1"/>
  <c r="E9857" i="1"/>
  <c r="E9856" i="1"/>
  <c r="E9855" i="1"/>
  <c r="E9854" i="1"/>
  <c r="E9853" i="1"/>
  <c r="E9852" i="1"/>
  <c r="E9851" i="1"/>
  <c r="E9850" i="1"/>
  <c r="E9849" i="1"/>
  <c r="E9848" i="1"/>
  <c r="E9847" i="1"/>
  <c r="E9846" i="1"/>
  <c r="E9845" i="1"/>
  <c r="E9844" i="1"/>
  <c r="E9843" i="1"/>
  <c r="E9842" i="1"/>
  <c r="E9841" i="1"/>
  <c r="E9840" i="1"/>
  <c r="E9839" i="1"/>
  <c r="E9838" i="1"/>
  <c r="E9837" i="1"/>
  <c r="E9836" i="1"/>
  <c r="E9835" i="1"/>
  <c r="E9834" i="1"/>
  <c r="E9833" i="1"/>
  <c r="E9832" i="1"/>
  <c r="E9831" i="1"/>
  <c r="E9830" i="1"/>
  <c r="E9829" i="1"/>
  <c r="E9828" i="1"/>
  <c r="E9827" i="1"/>
  <c r="E9826" i="1"/>
  <c r="E9825" i="1"/>
  <c r="E9824" i="1"/>
  <c r="E9823" i="1"/>
  <c r="E9822" i="1"/>
  <c r="E9821" i="1"/>
  <c r="E9820" i="1"/>
  <c r="E9819" i="1"/>
  <c r="E9818" i="1"/>
  <c r="E9817" i="1"/>
  <c r="E9816" i="1"/>
  <c r="E9815" i="1"/>
  <c r="E9814" i="1"/>
  <c r="E9813" i="1"/>
  <c r="E9812" i="1"/>
  <c r="E9811" i="1"/>
  <c r="E9810" i="1"/>
  <c r="E9809" i="1"/>
  <c r="E9808" i="1"/>
  <c r="E9807" i="1"/>
  <c r="E9806" i="1"/>
  <c r="E9805" i="1"/>
  <c r="E9804" i="1"/>
  <c r="E9803" i="1"/>
  <c r="E9802" i="1"/>
  <c r="E9801" i="1"/>
  <c r="E9800" i="1"/>
  <c r="E9799" i="1"/>
  <c r="E9798" i="1"/>
  <c r="E9797" i="1"/>
  <c r="E9796" i="1"/>
  <c r="E9795" i="1"/>
  <c r="E9794" i="1"/>
  <c r="E9793" i="1"/>
  <c r="E9792" i="1"/>
  <c r="E9791" i="1"/>
  <c r="E9790" i="1"/>
  <c r="E9789" i="1"/>
  <c r="E9788" i="1"/>
  <c r="E9787" i="1"/>
  <c r="E9786" i="1"/>
  <c r="E9785" i="1"/>
  <c r="E9784" i="1"/>
  <c r="E9783" i="1"/>
  <c r="E9782" i="1"/>
  <c r="E9781" i="1"/>
  <c r="E9780" i="1"/>
  <c r="E9779" i="1"/>
  <c r="E9778" i="1"/>
  <c r="E9777" i="1"/>
  <c r="E9776" i="1"/>
  <c r="E9775" i="1"/>
  <c r="E9774" i="1"/>
  <c r="E9773" i="1"/>
  <c r="E9772" i="1"/>
  <c r="E9771" i="1"/>
  <c r="E9770" i="1"/>
  <c r="E9769" i="1"/>
  <c r="E9768" i="1"/>
  <c r="E9767" i="1"/>
  <c r="E9766" i="1"/>
  <c r="E9765" i="1"/>
  <c r="E9764" i="1"/>
  <c r="E9763" i="1"/>
  <c r="E9762" i="1"/>
  <c r="E9761" i="1"/>
  <c r="E9760" i="1"/>
  <c r="E9759" i="1"/>
  <c r="E9758" i="1"/>
  <c r="E9757" i="1"/>
  <c r="E9756" i="1"/>
  <c r="E9755" i="1"/>
  <c r="E9754" i="1"/>
  <c r="E9753" i="1"/>
  <c r="E9752" i="1"/>
  <c r="E9751" i="1"/>
  <c r="E9750" i="1"/>
  <c r="E9749" i="1"/>
  <c r="E9748" i="1"/>
  <c r="E9747" i="1"/>
  <c r="E9746" i="1"/>
  <c r="E9745" i="1"/>
  <c r="E9744" i="1"/>
  <c r="E9743" i="1"/>
  <c r="E9742" i="1"/>
  <c r="E9741" i="1"/>
  <c r="E9740" i="1"/>
  <c r="E9739" i="1"/>
  <c r="E9738" i="1"/>
  <c r="E9737" i="1"/>
  <c r="E9736" i="1"/>
  <c r="E9735" i="1"/>
  <c r="E9734" i="1"/>
  <c r="E9733" i="1"/>
  <c r="E9732" i="1"/>
  <c r="E9731" i="1"/>
  <c r="E9730" i="1"/>
  <c r="E9729" i="1"/>
  <c r="E9728" i="1"/>
  <c r="E9727" i="1"/>
  <c r="E9726" i="1"/>
  <c r="E9725" i="1"/>
  <c r="E9724" i="1"/>
  <c r="E9723" i="1"/>
  <c r="E9722" i="1"/>
  <c r="E9721" i="1"/>
  <c r="E9720" i="1"/>
  <c r="E9719" i="1"/>
  <c r="E9718" i="1"/>
  <c r="E9717" i="1"/>
  <c r="E9716" i="1"/>
  <c r="E9715" i="1"/>
  <c r="E9714" i="1"/>
  <c r="E9713" i="1"/>
  <c r="E9712" i="1"/>
  <c r="E9711" i="1"/>
  <c r="E9710" i="1"/>
  <c r="E9709" i="1"/>
  <c r="E9708" i="1"/>
  <c r="E9707" i="1"/>
  <c r="E9706" i="1"/>
  <c r="E9705" i="1"/>
  <c r="E9704" i="1"/>
  <c r="E9703" i="1"/>
  <c r="E9702" i="1"/>
  <c r="E9701" i="1"/>
  <c r="E9700" i="1"/>
  <c r="E9699" i="1"/>
  <c r="E9698" i="1"/>
  <c r="E9697" i="1"/>
  <c r="E9696" i="1"/>
  <c r="E9695" i="1"/>
  <c r="E9694" i="1"/>
  <c r="E9693" i="1"/>
  <c r="E9692" i="1"/>
  <c r="E9691" i="1"/>
  <c r="E9690" i="1"/>
  <c r="E9689" i="1"/>
  <c r="E9688" i="1"/>
  <c r="E9687" i="1"/>
  <c r="E9686" i="1"/>
  <c r="E9685" i="1"/>
  <c r="E9684" i="1"/>
  <c r="E9683" i="1"/>
  <c r="E9682" i="1"/>
  <c r="E9681" i="1"/>
  <c r="E9680" i="1"/>
  <c r="E9679" i="1"/>
  <c r="E9678" i="1"/>
  <c r="E9677" i="1"/>
  <c r="E9676" i="1"/>
  <c r="E9675" i="1"/>
  <c r="E9674" i="1"/>
  <c r="E9673" i="1"/>
  <c r="E9672" i="1"/>
  <c r="E9671" i="1"/>
  <c r="E9670" i="1"/>
  <c r="E9669" i="1"/>
  <c r="E9668" i="1"/>
  <c r="E9667" i="1"/>
  <c r="E9666" i="1"/>
  <c r="E9665" i="1"/>
  <c r="E9664" i="1"/>
  <c r="E9663" i="1"/>
  <c r="E9662" i="1"/>
  <c r="E9661" i="1"/>
  <c r="E9660" i="1"/>
  <c r="E9659" i="1"/>
  <c r="E9658" i="1"/>
  <c r="E9657" i="1"/>
  <c r="E9656" i="1"/>
  <c r="E9655" i="1"/>
  <c r="E9654" i="1"/>
  <c r="E9653" i="1"/>
  <c r="E9652" i="1"/>
  <c r="E9651" i="1"/>
  <c r="E9650" i="1"/>
  <c r="E9649" i="1"/>
  <c r="E9648" i="1"/>
  <c r="E9647" i="1"/>
  <c r="E9646" i="1"/>
  <c r="E9645" i="1"/>
  <c r="E9644" i="1"/>
  <c r="E9643" i="1"/>
  <c r="E9642" i="1"/>
  <c r="E9641" i="1"/>
  <c r="E9640" i="1"/>
  <c r="E9639" i="1"/>
  <c r="E9638" i="1"/>
  <c r="E9637" i="1"/>
  <c r="E9636" i="1"/>
  <c r="E9635" i="1"/>
  <c r="E9634" i="1"/>
  <c r="E9633" i="1"/>
  <c r="E9632" i="1"/>
  <c r="E9631" i="1"/>
  <c r="E9630" i="1"/>
  <c r="E9629" i="1"/>
  <c r="E9628" i="1"/>
  <c r="E9627" i="1"/>
  <c r="E9626" i="1"/>
  <c r="E9625" i="1"/>
  <c r="E9624" i="1"/>
  <c r="E9623" i="1"/>
  <c r="E9622" i="1"/>
  <c r="E9621" i="1"/>
  <c r="E9620" i="1"/>
  <c r="E9619" i="1"/>
  <c r="E9618" i="1"/>
  <c r="E9617" i="1"/>
  <c r="E9616" i="1"/>
  <c r="E9615" i="1"/>
  <c r="E9614" i="1"/>
  <c r="E9613" i="1"/>
  <c r="E9612" i="1"/>
  <c r="E9611" i="1"/>
  <c r="E9610" i="1"/>
  <c r="E9609" i="1"/>
  <c r="E9608" i="1"/>
  <c r="E9607" i="1"/>
  <c r="E9606" i="1"/>
  <c r="E9605" i="1"/>
  <c r="E9604" i="1"/>
  <c r="E9603" i="1"/>
  <c r="E9602" i="1"/>
  <c r="E9601" i="1"/>
  <c r="E9600" i="1"/>
  <c r="E9599" i="1"/>
  <c r="E9598" i="1"/>
  <c r="E9597" i="1"/>
  <c r="E9596" i="1"/>
  <c r="E9595" i="1"/>
  <c r="E9594" i="1"/>
  <c r="E9593" i="1"/>
  <c r="E9592" i="1"/>
  <c r="E9591" i="1"/>
  <c r="E9590" i="1"/>
  <c r="E9589" i="1"/>
  <c r="E9588" i="1"/>
  <c r="E9587" i="1"/>
  <c r="E9586" i="1"/>
  <c r="E9585" i="1"/>
  <c r="E9584" i="1"/>
  <c r="E9583" i="1"/>
  <c r="E9582" i="1"/>
  <c r="E9581" i="1"/>
  <c r="E9580" i="1"/>
  <c r="E9579" i="1"/>
  <c r="E9578" i="1"/>
  <c r="E9577" i="1"/>
  <c r="E9576" i="1"/>
  <c r="E9575" i="1"/>
  <c r="E9574" i="1"/>
  <c r="E9573" i="1"/>
  <c r="E9572" i="1"/>
  <c r="E9571" i="1"/>
  <c r="E9570" i="1"/>
  <c r="E9569" i="1"/>
  <c r="E9568" i="1"/>
  <c r="E9567" i="1"/>
  <c r="E9566" i="1"/>
  <c r="E9565" i="1"/>
  <c r="E9564" i="1"/>
  <c r="E9563" i="1"/>
  <c r="E9562" i="1"/>
  <c r="E9561" i="1"/>
  <c r="E9560" i="1"/>
  <c r="E9559" i="1"/>
  <c r="E9558" i="1"/>
  <c r="E9557" i="1"/>
  <c r="E9556" i="1"/>
  <c r="E9555" i="1"/>
  <c r="E9554" i="1"/>
  <c r="E9553" i="1"/>
  <c r="E9552" i="1"/>
  <c r="E9551" i="1"/>
  <c r="E9550" i="1"/>
  <c r="E9549" i="1"/>
  <c r="E9548" i="1"/>
  <c r="E9547" i="1"/>
  <c r="E9546" i="1"/>
  <c r="E9545" i="1"/>
  <c r="E9544" i="1"/>
  <c r="E9543" i="1"/>
  <c r="E9542" i="1"/>
  <c r="E9541" i="1"/>
  <c r="E9540" i="1"/>
  <c r="E9539" i="1"/>
  <c r="E9538" i="1"/>
  <c r="E9537" i="1"/>
  <c r="E9536" i="1"/>
  <c r="E9535" i="1"/>
  <c r="E9534" i="1"/>
  <c r="E9533" i="1"/>
  <c r="E9532" i="1"/>
  <c r="E9531" i="1"/>
  <c r="E9530" i="1"/>
  <c r="E9529" i="1"/>
  <c r="E9528" i="1"/>
  <c r="E9527" i="1"/>
  <c r="E9526" i="1"/>
  <c r="E9525" i="1"/>
  <c r="E9524" i="1"/>
  <c r="E9523" i="1"/>
  <c r="E9522" i="1"/>
  <c r="E9521" i="1"/>
  <c r="E9520" i="1"/>
  <c r="E9519" i="1"/>
  <c r="E9518" i="1"/>
  <c r="E9517" i="1"/>
  <c r="E9516" i="1"/>
  <c r="E9515" i="1"/>
  <c r="E9514" i="1"/>
  <c r="E9513" i="1"/>
  <c r="E9512" i="1"/>
  <c r="E9511" i="1"/>
  <c r="E9510" i="1"/>
  <c r="E9509" i="1"/>
  <c r="E9508" i="1"/>
  <c r="E9507" i="1"/>
  <c r="E9506" i="1"/>
  <c r="E9505" i="1"/>
  <c r="E9504" i="1"/>
  <c r="E9503" i="1"/>
  <c r="E9502" i="1"/>
  <c r="E9501" i="1"/>
  <c r="E9500" i="1"/>
  <c r="E9499" i="1"/>
  <c r="E9498" i="1"/>
  <c r="E9497" i="1"/>
  <c r="E9496" i="1"/>
  <c r="E9495" i="1"/>
  <c r="E9494" i="1"/>
  <c r="E9493" i="1"/>
  <c r="E9492" i="1"/>
  <c r="E9491" i="1"/>
  <c r="E9490" i="1"/>
  <c r="E9489" i="1"/>
  <c r="E9488" i="1"/>
  <c r="E9487" i="1"/>
  <c r="E9486" i="1"/>
  <c r="E9485" i="1"/>
  <c r="E9484" i="1"/>
  <c r="E9483" i="1"/>
  <c r="E9482" i="1"/>
  <c r="E9481" i="1"/>
  <c r="E9480" i="1"/>
  <c r="E9479" i="1"/>
  <c r="E9478" i="1"/>
  <c r="E9477" i="1"/>
  <c r="E9476" i="1"/>
  <c r="E9475" i="1"/>
  <c r="E9474" i="1"/>
  <c r="E9473" i="1"/>
  <c r="E9472" i="1"/>
  <c r="E9471" i="1"/>
  <c r="E9470" i="1"/>
  <c r="E9469" i="1"/>
  <c r="E9468" i="1"/>
  <c r="E9467" i="1"/>
  <c r="E9466" i="1"/>
  <c r="E9465" i="1"/>
  <c r="E9464" i="1"/>
  <c r="E9463" i="1"/>
  <c r="E9462" i="1"/>
  <c r="E9461" i="1"/>
  <c r="E9460" i="1"/>
  <c r="E9459" i="1"/>
  <c r="E9458" i="1"/>
  <c r="E9457" i="1"/>
  <c r="E9456" i="1"/>
  <c r="E9455" i="1"/>
  <c r="E9454" i="1"/>
  <c r="E9453" i="1"/>
  <c r="E9452" i="1"/>
  <c r="E9451" i="1"/>
  <c r="E9450" i="1"/>
  <c r="E9449" i="1"/>
  <c r="E9448" i="1"/>
  <c r="E9447" i="1"/>
  <c r="E9446" i="1"/>
  <c r="E9445" i="1"/>
  <c r="E9444" i="1"/>
  <c r="E9443" i="1"/>
  <c r="E9442" i="1"/>
  <c r="E9441" i="1"/>
  <c r="E9440" i="1"/>
  <c r="E9439" i="1"/>
  <c r="E9438" i="1"/>
  <c r="E9437" i="1"/>
  <c r="E9436" i="1"/>
  <c r="E9435" i="1"/>
  <c r="E9434" i="1"/>
  <c r="E9433" i="1"/>
  <c r="E9432" i="1"/>
  <c r="E9431" i="1"/>
  <c r="E9430" i="1"/>
  <c r="E9429" i="1"/>
  <c r="E9428" i="1"/>
  <c r="E9427" i="1"/>
  <c r="E9426" i="1"/>
  <c r="E9425" i="1"/>
  <c r="E9424" i="1"/>
  <c r="E9423" i="1"/>
  <c r="E9422" i="1"/>
  <c r="E9421" i="1"/>
  <c r="E9420" i="1"/>
  <c r="E9419" i="1"/>
  <c r="E9418" i="1"/>
  <c r="E9417" i="1"/>
  <c r="E9416" i="1"/>
  <c r="E9415" i="1"/>
  <c r="E9414" i="1"/>
  <c r="E9413" i="1"/>
  <c r="E9412" i="1"/>
  <c r="E9411" i="1"/>
  <c r="E9410" i="1"/>
  <c r="E9409" i="1"/>
  <c r="E9408" i="1"/>
  <c r="E9407" i="1"/>
  <c r="E9406" i="1"/>
  <c r="E9405" i="1"/>
  <c r="E9404" i="1"/>
  <c r="E9403" i="1"/>
  <c r="E9402" i="1"/>
  <c r="E9401" i="1"/>
  <c r="E9400" i="1"/>
  <c r="E9399" i="1"/>
  <c r="E9398" i="1"/>
  <c r="E9397" i="1"/>
  <c r="E9396" i="1"/>
  <c r="E9395" i="1"/>
  <c r="E9394" i="1"/>
  <c r="E9393" i="1"/>
  <c r="E9392" i="1"/>
  <c r="E9391" i="1"/>
  <c r="E9390" i="1"/>
  <c r="E9389" i="1"/>
  <c r="E9388" i="1"/>
  <c r="E9387" i="1"/>
  <c r="E9386" i="1"/>
  <c r="E9385" i="1"/>
  <c r="E9384" i="1"/>
  <c r="E9383" i="1"/>
  <c r="E9382" i="1"/>
  <c r="E9381" i="1"/>
  <c r="E9380" i="1"/>
  <c r="E9379" i="1"/>
  <c r="E9378" i="1"/>
  <c r="E9377" i="1"/>
  <c r="E9376" i="1"/>
  <c r="E9375" i="1"/>
  <c r="E9374" i="1"/>
  <c r="E9373" i="1"/>
  <c r="E9372" i="1"/>
  <c r="E9371" i="1"/>
  <c r="E9370" i="1"/>
  <c r="E9369" i="1"/>
  <c r="E9368" i="1"/>
  <c r="E9367" i="1"/>
  <c r="E9366" i="1"/>
  <c r="E9365" i="1"/>
  <c r="E9364" i="1"/>
  <c r="E9363" i="1"/>
  <c r="E9362" i="1"/>
  <c r="E9361" i="1"/>
  <c r="E9360" i="1"/>
  <c r="E9359" i="1"/>
  <c r="E9358" i="1"/>
  <c r="E9357" i="1"/>
  <c r="E9356" i="1"/>
  <c r="E9355" i="1"/>
  <c r="E9354" i="1"/>
  <c r="E9353" i="1"/>
  <c r="E9352" i="1"/>
  <c r="E9351" i="1"/>
  <c r="E9350" i="1"/>
  <c r="E9349" i="1"/>
  <c r="E9348" i="1"/>
  <c r="E9347" i="1"/>
  <c r="E9346" i="1"/>
  <c r="E9345" i="1"/>
  <c r="E9344" i="1"/>
  <c r="E9343" i="1"/>
  <c r="E9342" i="1"/>
  <c r="E9341" i="1"/>
  <c r="E9340" i="1"/>
  <c r="E9339" i="1"/>
  <c r="E9338" i="1"/>
  <c r="E9337" i="1"/>
  <c r="E9336" i="1"/>
  <c r="E9335" i="1"/>
  <c r="E9334" i="1"/>
  <c r="E9333" i="1"/>
  <c r="E9332" i="1"/>
  <c r="E9331" i="1"/>
  <c r="E9330" i="1"/>
  <c r="E9329" i="1"/>
  <c r="E9328" i="1"/>
  <c r="E9327" i="1"/>
  <c r="E9326" i="1"/>
  <c r="E9325" i="1"/>
  <c r="E9324" i="1"/>
  <c r="E9323" i="1"/>
  <c r="E9322" i="1"/>
  <c r="E9321" i="1"/>
  <c r="E9320" i="1"/>
  <c r="E9319" i="1"/>
  <c r="E9318" i="1"/>
  <c r="E9317" i="1"/>
  <c r="E9316" i="1"/>
  <c r="E9315" i="1"/>
  <c r="E9314" i="1"/>
  <c r="E9313" i="1"/>
  <c r="E9312" i="1"/>
  <c r="E9311" i="1"/>
  <c r="E9310" i="1"/>
  <c r="E9309" i="1"/>
  <c r="E9308" i="1"/>
  <c r="E9307" i="1"/>
  <c r="E9306" i="1"/>
  <c r="E9305" i="1"/>
  <c r="E9304" i="1"/>
  <c r="E9303" i="1"/>
  <c r="E9302" i="1"/>
  <c r="E9301" i="1"/>
  <c r="E9300" i="1"/>
  <c r="E9299" i="1"/>
  <c r="E9298" i="1"/>
  <c r="E9297" i="1"/>
  <c r="E9296" i="1"/>
  <c r="E9295" i="1"/>
  <c r="E9294" i="1"/>
  <c r="E9293" i="1"/>
  <c r="E9292" i="1"/>
  <c r="E9291" i="1"/>
  <c r="E9290" i="1"/>
  <c r="E9289" i="1"/>
  <c r="E9288" i="1"/>
  <c r="E9287" i="1"/>
  <c r="E9286" i="1"/>
  <c r="E9285" i="1"/>
  <c r="E9284" i="1"/>
  <c r="E9283" i="1"/>
  <c r="E9282" i="1"/>
  <c r="E9281" i="1"/>
  <c r="E9280" i="1"/>
  <c r="E9279" i="1"/>
  <c r="E9278" i="1"/>
  <c r="E9277" i="1"/>
  <c r="E9276" i="1"/>
  <c r="E9275" i="1"/>
  <c r="E9274" i="1"/>
  <c r="E9273" i="1"/>
  <c r="E9272" i="1"/>
  <c r="E9271" i="1"/>
  <c r="E9270" i="1"/>
  <c r="E9269" i="1"/>
  <c r="E9268" i="1"/>
  <c r="E9267" i="1"/>
  <c r="E9266" i="1"/>
  <c r="E9265" i="1"/>
  <c r="E9264" i="1"/>
  <c r="E9263" i="1"/>
  <c r="E9262" i="1"/>
  <c r="E9261" i="1"/>
  <c r="E9260" i="1"/>
  <c r="E9259" i="1"/>
  <c r="E9258" i="1"/>
  <c r="E9257" i="1"/>
  <c r="E9256" i="1"/>
  <c r="E9255" i="1"/>
  <c r="E9254" i="1"/>
  <c r="E9253" i="1"/>
  <c r="E9252" i="1"/>
  <c r="E9251" i="1"/>
  <c r="E9250" i="1"/>
  <c r="E9249" i="1"/>
  <c r="E9248" i="1"/>
  <c r="E9247" i="1"/>
  <c r="E9246" i="1"/>
  <c r="E9245" i="1"/>
  <c r="E9244" i="1"/>
  <c r="E9243" i="1"/>
  <c r="E9242" i="1"/>
  <c r="E9241" i="1"/>
  <c r="E9240" i="1"/>
  <c r="E9239" i="1"/>
  <c r="E9238" i="1"/>
  <c r="E9237" i="1"/>
  <c r="E9236" i="1"/>
  <c r="E9235" i="1"/>
  <c r="E9234" i="1"/>
  <c r="E9233" i="1"/>
  <c r="E9232" i="1"/>
  <c r="E9231" i="1"/>
  <c r="E9230" i="1"/>
  <c r="E9229" i="1"/>
  <c r="E9228" i="1"/>
  <c r="E9227" i="1"/>
  <c r="E9226" i="1"/>
  <c r="E9225" i="1"/>
  <c r="E9224" i="1"/>
  <c r="E9223" i="1"/>
  <c r="E9222" i="1"/>
  <c r="E9221" i="1"/>
  <c r="E9220" i="1"/>
  <c r="E9219" i="1"/>
  <c r="E9218" i="1"/>
  <c r="E9217" i="1"/>
  <c r="E9216" i="1"/>
  <c r="E9215" i="1"/>
  <c r="E9214" i="1"/>
  <c r="E9213" i="1"/>
  <c r="E9212" i="1"/>
  <c r="E9211" i="1"/>
  <c r="E9210" i="1"/>
  <c r="E9209" i="1"/>
  <c r="E9208" i="1"/>
  <c r="E9207" i="1"/>
  <c r="E9206" i="1"/>
  <c r="E9205" i="1"/>
  <c r="E9204" i="1"/>
  <c r="E9203" i="1"/>
  <c r="E9202" i="1"/>
  <c r="E9201" i="1"/>
  <c r="E9200" i="1"/>
  <c r="E9199" i="1"/>
  <c r="E9198" i="1"/>
  <c r="E9197" i="1"/>
  <c r="E9196" i="1"/>
  <c r="E9195" i="1"/>
  <c r="E9194" i="1"/>
  <c r="E9193" i="1"/>
  <c r="E9192" i="1"/>
  <c r="E9191" i="1"/>
  <c r="E9190" i="1"/>
  <c r="E9189" i="1"/>
  <c r="E9188" i="1"/>
  <c r="E9187" i="1"/>
  <c r="E9186" i="1"/>
  <c r="E9185" i="1"/>
  <c r="E9184" i="1"/>
  <c r="E9183" i="1"/>
  <c r="E9182" i="1"/>
  <c r="E9181" i="1"/>
  <c r="E9180" i="1"/>
  <c r="E9179" i="1"/>
  <c r="E9178" i="1"/>
  <c r="E9177" i="1"/>
  <c r="E9176" i="1"/>
  <c r="E9175" i="1"/>
  <c r="E9174" i="1"/>
  <c r="E9173" i="1"/>
  <c r="E9172" i="1"/>
  <c r="E9171" i="1"/>
  <c r="E9170" i="1"/>
  <c r="E9169" i="1"/>
  <c r="E9168" i="1"/>
  <c r="E9167" i="1"/>
  <c r="E9166" i="1"/>
  <c r="E9165" i="1"/>
  <c r="E9164" i="1"/>
  <c r="E9163" i="1"/>
  <c r="E9162" i="1"/>
  <c r="E9161" i="1"/>
  <c r="E9160" i="1"/>
  <c r="E9159" i="1"/>
  <c r="E9158" i="1"/>
  <c r="E9157" i="1"/>
  <c r="E9156" i="1"/>
  <c r="E9155" i="1"/>
  <c r="E9154" i="1"/>
  <c r="E9153" i="1"/>
  <c r="E9152" i="1"/>
  <c r="E9151" i="1"/>
  <c r="E9150" i="1"/>
  <c r="E9149" i="1"/>
  <c r="E9148" i="1"/>
  <c r="E9147" i="1"/>
  <c r="E9146" i="1"/>
  <c r="E9145" i="1"/>
  <c r="E9144" i="1"/>
  <c r="E9143" i="1"/>
  <c r="E9142" i="1"/>
  <c r="E9141" i="1"/>
  <c r="E9140" i="1"/>
  <c r="E9139" i="1"/>
  <c r="E9138" i="1"/>
  <c r="E9137" i="1"/>
  <c r="E9136" i="1"/>
  <c r="E9135" i="1"/>
  <c r="E9134" i="1"/>
  <c r="E9133" i="1"/>
  <c r="E9132" i="1"/>
  <c r="E9131" i="1"/>
  <c r="E9130" i="1"/>
  <c r="E9129" i="1"/>
  <c r="E9128" i="1"/>
  <c r="E9127" i="1"/>
  <c r="E9126" i="1"/>
  <c r="E9125" i="1"/>
  <c r="E9124" i="1"/>
  <c r="E9123" i="1"/>
  <c r="E9122" i="1"/>
  <c r="E9121" i="1"/>
  <c r="E9120" i="1"/>
  <c r="E9119" i="1"/>
  <c r="E9118" i="1"/>
  <c r="E9117" i="1"/>
  <c r="E9116" i="1"/>
  <c r="E9115" i="1"/>
  <c r="E9114" i="1"/>
  <c r="E9113" i="1"/>
  <c r="E9112" i="1"/>
  <c r="E9111" i="1"/>
  <c r="E9110" i="1"/>
  <c r="E9109" i="1"/>
  <c r="E9108" i="1"/>
  <c r="E9107" i="1"/>
  <c r="E9106" i="1"/>
  <c r="E9105" i="1"/>
  <c r="E9104" i="1"/>
  <c r="E9103" i="1"/>
  <c r="E9102" i="1"/>
  <c r="E9101" i="1"/>
  <c r="E9100" i="1"/>
  <c r="E9099" i="1"/>
  <c r="E9098" i="1"/>
  <c r="E9097" i="1"/>
  <c r="E9096" i="1"/>
  <c r="E9095" i="1"/>
  <c r="E9094" i="1"/>
  <c r="E9093" i="1"/>
  <c r="E9092" i="1"/>
  <c r="E9091" i="1"/>
  <c r="E9090" i="1"/>
  <c r="E9089" i="1"/>
  <c r="E9088" i="1"/>
  <c r="E9087" i="1"/>
  <c r="E9086" i="1"/>
  <c r="E9085" i="1"/>
  <c r="E9084" i="1"/>
  <c r="E9083" i="1"/>
  <c r="E9082" i="1"/>
  <c r="E9081" i="1"/>
  <c r="E9080" i="1"/>
  <c r="E9079" i="1"/>
  <c r="E9078" i="1"/>
  <c r="E9077" i="1"/>
  <c r="E9076" i="1"/>
  <c r="E9075" i="1"/>
  <c r="E9074" i="1"/>
  <c r="E9073" i="1"/>
  <c r="E9072" i="1"/>
  <c r="E9071" i="1"/>
  <c r="E9070" i="1"/>
  <c r="E9069" i="1"/>
  <c r="E9068" i="1"/>
  <c r="E9067" i="1"/>
  <c r="E9066" i="1"/>
  <c r="E9065" i="1"/>
  <c r="E9064" i="1"/>
  <c r="E9063" i="1"/>
  <c r="E9062" i="1"/>
  <c r="E9061" i="1"/>
  <c r="E9060" i="1"/>
  <c r="E9059" i="1"/>
  <c r="E9058" i="1"/>
  <c r="E9057" i="1"/>
  <c r="E9056" i="1"/>
  <c r="E9055" i="1"/>
  <c r="E9054" i="1"/>
  <c r="E9053" i="1"/>
  <c r="E9052" i="1"/>
  <c r="E9051" i="1"/>
  <c r="E9050" i="1"/>
  <c r="E9049" i="1"/>
  <c r="E9048" i="1"/>
  <c r="E9047" i="1"/>
  <c r="E9046" i="1"/>
  <c r="E9045" i="1"/>
  <c r="E9044" i="1"/>
  <c r="E9043" i="1"/>
  <c r="E9042" i="1"/>
  <c r="E9041" i="1"/>
  <c r="E9040" i="1"/>
  <c r="E9039" i="1"/>
  <c r="E9038" i="1"/>
  <c r="E9037" i="1"/>
  <c r="E9036" i="1"/>
  <c r="E9035" i="1"/>
  <c r="E9034" i="1"/>
  <c r="E9033" i="1"/>
  <c r="E9032" i="1"/>
  <c r="E9031" i="1"/>
  <c r="E9030" i="1"/>
  <c r="E9029" i="1"/>
  <c r="E9028" i="1"/>
  <c r="E9027" i="1"/>
  <c r="E9026" i="1"/>
  <c r="E9025" i="1"/>
  <c r="E9024" i="1"/>
  <c r="E9023" i="1"/>
  <c r="E9022" i="1"/>
  <c r="E9021" i="1"/>
  <c r="E9020" i="1"/>
  <c r="E9019" i="1"/>
  <c r="E9018" i="1"/>
  <c r="E9017" i="1"/>
  <c r="E9016" i="1"/>
  <c r="E9015" i="1"/>
  <c r="E9014" i="1"/>
  <c r="E9013" i="1"/>
  <c r="E9012" i="1"/>
  <c r="E9011" i="1"/>
  <c r="E9010" i="1"/>
  <c r="E9009" i="1"/>
  <c r="E9008" i="1"/>
  <c r="E9007" i="1"/>
  <c r="E9006" i="1"/>
  <c r="E9005" i="1"/>
  <c r="E9004" i="1"/>
  <c r="E9003" i="1"/>
  <c r="E9002" i="1"/>
  <c r="E9001" i="1"/>
  <c r="E9000" i="1"/>
  <c r="E8999" i="1"/>
  <c r="E8998" i="1"/>
  <c r="E8997" i="1"/>
  <c r="E8996" i="1"/>
  <c r="E8995" i="1"/>
  <c r="E8994" i="1"/>
  <c r="E8993" i="1"/>
  <c r="E8992" i="1"/>
  <c r="E8991" i="1"/>
  <c r="E8990" i="1"/>
  <c r="E8989" i="1"/>
  <c r="E8988" i="1"/>
  <c r="E8987" i="1"/>
  <c r="E8986" i="1"/>
  <c r="E8985" i="1"/>
  <c r="E8984" i="1"/>
  <c r="E8983" i="1"/>
  <c r="E8982" i="1"/>
  <c r="E8981" i="1"/>
  <c r="E8980" i="1"/>
  <c r="E8979" i="1"/>
  <c r="E8978" i="1"/>
  <c r="E8977" i="1"/>
  <c r="E8976" i="1"/>
  <c r="E8975" i="1"/>
  <c r="E8974" i="1"/>
  <c r="E8973" i="1"/>
  <c r="E8972" i="1"/>
  <c r="E8971" i="1"/>
  <c r="E8970" i="1"/>
  <c r="E8969" i="1"/>
  <c r="E8968" i="1"/>
  <c r="E8967" i="1"/>
  <c r="E8966" i="1"/>
  <c r="E8965" i="1"/>
  <c r="E8964" i="1"/>
  <c r="E8963" i="1"/>
  <c r="E8962" i="1"/>
  <c r="E8961" i="1"/>
  <c r="E8960" i="1"/>
  <c r="E8959" i="1"/>
  <c r="E8958" i="1"/>
  <c r="E8957" i="1"/>
  <c r="E8956" i="1"/>
  <c r="E8955" i="1"/>
  <c r="E8954" i="1"/>
  <c r="E8953" i="1"/>
  <c r="E8952" i="1"/>
  <c r="E8951" i="1"/>
  <c r="E8950" i="1"/>
  <c r="E8949" i="1"/>
  <c r="E8948" i="1"/>
  <c r="E8947" i="1"/>
  <c r="E8946" i="1"/>
  <c r="E8945" i="1"/>
  <c r="E8944" i="1"/>
  <c r="E8943" i="1"/>
  <c r="E8942" i="1"/>
  <c r="E8941" i="1"/>
  <c r="E8940" i="1"/>
  <c r="E8939" i="1"/>
  <c r="E8938" i="1"/>
  <c r="E8937" i="1"/>
  <c r="E8936" i="1"/>
  <c r="E8935" i="1"/>
  <c r="E8934" i="1"/>
  <c r="E8933" i="1"/>
  <c r="E8932" i="1"/>
  <c r="E8931" i="1"/>
  <c r="E8930" i="1"/>
  <c r="E8929" i="1"/>
  <c r="E8928" i="1"/>
  <c r="E8927" i="1"/>
  <c r="E8926" i="1"/>
  <c r="E8925" i="1"/>
  <c r="E8924" i="1"/>
  <c r="E8923" i="1"/>
  <c r="E8922" i="1"/>
  <c r="E8921" i="1"/>
  <c r="E8920" i="1"/>
  <c r="E8919" i="1"/>
  <c r="E8918" i="1"/>
  <c r="E8917" i="1"/>
  <c r="E8916" i="1"/>
  <c r="E8915" i="1"/>
  <c r="E8914" i="1"/>
  <c r="E8913" i="1"/>
  <c r="E8912" i="1"/>
  <c r="E8911" i="1"/>
  <c r="E8910" i="1"/>
  <c r="E8909" i="1"/>
  <c r="E8908" i="1"/>
  <c r="E8907" i="1"/>
  <c r="E8906" i="1"/>
  <c r="E8905" i="1"/>
  <c r="E8904" i="1"/>
  <c r="E8903" i="1"/>
  <c r="E8902" i="1"/>
  <c r="E8901" i="1"/>
  <c r="E8900" i="1"/>
  <c r="E8899" i="1"/>
  <c r="E8898" i="1"/>
  <c r="E8897" i="1"/>
  <c r="E8896" i="1"/>
  <c r="E8895" i="1"/>
  <c r="E8894" i="1"/>
  <c r="E8893" i="1"/>
  <c r="E8892" i="1"/>
  <c r="E8891" i="1"/>
  <c r="E8890" i="1"/>
  <c r="E8889" i="1"/>
  <c r="E8888" i="1"/>
  <c r="E8887" i="1"/>
  <c r="E8886" i="1"/>
  <c r="E8885" i="1"/>
  <c r="E8884" i="1"/>
  <c r="E8883" i="1"/>
  <c r="E8882" i="1"/>
  <c r="E8881" i="1"/>
  <c r="E8880" i="1"/>
  <c r="E8879" i="1"/>
  <c r="E8878" i="1"/>
  <c r="E8877" i="1"/>
  <c r="E8876" i="1"/>
  <c r="E8875" i="1"/>
  <c r="E8874" i="1"/>
  <c r="E8873" i="1"/>
  <c r="E8872" i="1"/>
  <c r="E8871" i="1"/>
  <c r="E8870" i="1"/>
  <c r="E8869" i="1"/>
  <c r="E8868" i="1"/>
  <c r="E8867" i="1"/>
  <c r="E8866" i="1"/>
  <c r="E8865" i="1"/>
  <c r="E8864" i="1"/>
  <c r="E8863" i="1"/>
  <c r="E8862" i="1"/>
  <c r="E8861" i="1"/>
  <c r="E8860" i="1"/>
  <c r="E8859" i="1"/>
  <c r="E8858" i="1"/>
  <c r="E8857" i="1"/>
  <c r="E8856" i="1"/>
  <c r="E8855" i="1"/>
  <c r="E8854" i="1"/>
  <c r="E8853" i="1"/>
  <c r="E8852" i="1"/>
  <c r="E8851" i="1"/>
  <c r="E8850" i="1"/>
  <c r="E8849" i="1"/>
  <c r="E8848" i="1"/>
  <c r="E8847" i="1"/>
  <c r="E8846" i="1"/>
  <c r="E8845" i="1"/>
  <c r="E8844" i="1"/>
  <c r="E8843" i="1"/>
  <c r="E8842" i="1"/>
  <c r="E8841" i="1"/>
  <c r="E8840" i="1"/>
  <c r="E8839" i="1"/>
  <c r="E8838" i="1"/>
  <c r="E8837" i="1"/>
  <c r="E8836" i="1"/>
  <c r="E8835" i="1"/>
  <c r="E8834" i="1"/>
  <c r="E8833" i="1"/>
  <c r="E8832" i="1"/>
  <c r="E8831" i="1"/>
  <c r="E8830" i="1"/>
  <c r="E8829" i="1"/>
  <c r="E8828" i="1"/>
  <c r="E8827" i="1"/>
  <c r="E8826" i="1"/>
  <c r="E8825" i="1"/>
  <c r="E8824" i="1"/>
  <c r="E8823" i="1"/>
  <c r="E8822" i="1"/>
  <c r="E8821" i="1"/>
  <c r="E8820" i="1"/>
  <c r="E8819" i="1"/>
  <c r="E8818" i="1"/>
  <c r="E8817" i="1"/>
  <c r="E8816" i="1"/>
  <c r="E8815" i="1"/>
  <c r="E8814" i="1"/>
  <c r="E8813" i="1"/>
  <c r="E8812" i="1"/>
  <c r="E8811" i="1"/>
  <c r="E8810" i="1"/>
  <c r="E8809" i="1"/>
  <c r="E8808" i="1"/>
  <c r="E8807" i="1"/>
  <c r="E8806" i="1"/>
  <c r="E8805" i="1"/>
  <c r="E8804" i="1"/>
  <c r="E8803" i="1"/>
  <c r="E8802" i="1"/>
  <c r="E8801" i="1"/>
  <c r="E8800" i="1"/>
  <c r="E8799" i="1"/>
  <c r="E8798" i="1"/>
  <c r="E8797" i="1"/>
  <c r="E8796" i="1"/>
  <c r="E8795" i="1"/>
  <c r="E8794" i="1"/>
  <c r="E8793" i="1"/>
  <c r="E8792" i="1"/>
  <c r="E8791" i="1"/>
  <c r="E8790" i="1"/>
  <c r="E8789" i="1"/>
  <c r="E8788" i="1"/>
  <c r="E8787" i="1"/>
  <c r="E8786" i="1"/>
  <c r="E8785" i="1"/>
  <c r="E8784" i="1"/>
  <c r="E8783" i="1"/>
  <c r="E8782" i="1"/>
  <c r="E8781" i="1"/>
  <c r="E8780" i="1"/>
  <c r="E8779" i="1"/>
  <c r="E8778" i="1"/>
  <c r="E8777" i="1"/>
  <c r="E8776" i="1"/>
  <c r="E8775" i="1"/>
  <c r="E8774" i="1"/>
  <c r="E8773" i="1"/>
  <c r="E8772" i="1"/>
  <c r="E8771" i="1"/>
  <c r="E8770" i="1"/>
  <c r="E8769" i="1"/>
  <c r="E8768" i="1"/>
  <c r="E8767" i="1"/>
  <c r="E8766" i="1"/>
  <c r="E8765" i="1"/>
  <c r="E8764" i="1"/>
  <c r="E8763" i="1"/>
  <c r="E8762" i="1"/>
  <c r="E8761" i="1"/>
  <c r="E8760" i="1"/>
  <c r="E8759" i="1"/>
  <c r="E8758" i="1"/>
  <c r="E8757" i="1"/>
  <c r="E8756" i="1"/>
  <c r="E8755" i="1"/>
  <c r="E8754" i="1"/>
  <c r="E8753" i="1"/>
  <c r="E8752" i="1"/>
  <c r="E8751" i="1"/>
  <c r="E8750" i="1"/>
  <c r="E8749" i="1"/>
  <c r="E8748" i="1"/>
  <c r="E8747" i="1"/>
  <c r="E8746" i="1"/>
  <c r="E8745" i="1"/>
  <c r="E8744" i="1"/>
  <c r="E8743" i="1"/>
  <c r="E8742" i="1"/>
  <c r="E8741" i="1"/>
  <c r="E8740" i="1"/>
  <c r="E8739" i="1"/>
  <c r="E8738" i="1"/>
  <c r="E8737" i="1"/>
  <c r="E8736" i="1"/>
  <c r="E8735" i="1"/>
  <c r="E8734" i="1"/>
  <c r="E8733" i="1"/>
  <c r="E8732" i="1"/>
  <c r="E8731" i="1"/>
  <c r="E8730" i="1"/>
  <c r="E8729" i="1"/>
  <c r="E8728" i="1"/>
  <c r="E8727" i="1"/>
  <c r="E8726" i="1"/>
  <c r="E8725" i="1"/>
  <c r="E8724" i="1"/>
  <c r="E8723" i="1"/>
  <c r="E8722" i="1"/>
  <c r="E8721" i="1"/>
  <c r="E8720" i="1"/>
  <c r="E8719" i="1"/>
  <c r="E8718" i="1"/>
  <c r="E8717" i="1"/>
  <c r="E8716" i="1"/>
  <c r="E8715" i="1"/>
  <c r="E8714" i="1"/>
  <c r="E8713" i="1"/>
  <c r="E8712" i="1"/>
  <c r="E8711" i="1"/>
  <c r="E8710" i="1"/>
  <c r="E8709" i="1"/>
  <c r="E8708" i="1"/>
  <c r="E8707" i="1"/>
  <c r="E8706" i="1"/>
  <c r="E8705" i="1"/>
  <c r="E8704" i="1"/>
  <c r="E8703" i="1"/>
  <c r="E8702" i="1"/>
  <c r="E8701" i="1"/>
  <c r="E8700" i="1"/>
  <c r="E8699" i="1"/>
  <c r="E8698" i="1"/>
  <c r="E8697" i="1"/>
  <c r="E8696" i="1"/>
  <c r="E8695" i="1"/>
  <c r="E8694" i="1"/>
  <c r="E8693" i="1"/>
  <c r="E8692" i="1"/>
  <c r="E8691" i="1"/>
  <c r="E8690" i="1"/>
  <c r="E8689" i="1"/>
  <c r="E8688" i="1"/>
  <c r="E8687" i="1"/>
  <c r="E8686" i="1"/>
  <c r="E8685" i="1"/>
  <c r="E8684" i="1"/>
  <c r="E8683" i="1"/>
  <c r="E8682" i="1"/>
  <c r="E8681" i="1"/>
  <c r="E8680" i="1"/>
  <c r="E8679" i="1"/>
  <c r="E8678" i="1"/>
  <c r="E8677" i="1"/>
  <c r="E8676" i="1"/>
  <c r="E8675" i="1"/>
  <c r="E8674" i="1"/>
  <c r="E8673" i="1"/>
  <c r="E8672" i="1"/>
  <c r="E8671" i="1"/>
  <c r="E8670" i="1"/>
  <c r="E8669" i="1"/>
  <c r="E8668" i="1"/>
  <c r="E8667" i="1"/>
  <c r="E8666" i="1"/>
  <c r="E8665" i="1"/>
  <c r="E8664" i="1"/>
  <c r="E8663" i="1"/>
  <c r="E8662" i="1"/>
  <c r="E8661" i="1"/>
  <c r="E8660" i="1"/>
  <c r="E8659" i="1"/>
  <c r="E8658" i="1"/>
  <c r="E8657" i="1"/>
  <c r="E8656" i="1"/>
  <c r="E8655" i="1"/>
  <c r="E8654" i="1"/>
  <c r="E8653" i="1"/>
  <c r="E8652" i="1"/>
  <c r="E8651" i="1"/>
  <c r="E8650" i="1"/>
  <c r="E8649" i="1"/>
  <c r="E8648" i="1"/>
  <c r="E8647" i="1"/>
  <c r="E8646" i="1"/>
  <c r="E8645" i="1"/>
  <c r="E8644" i="1"/>
  <c r="E8643" i="1"/>
  <c r="E8642" i="1"/>
  <c r="E8641" i="1"/>
  <c r="E8640" i="1"/>
  <c r="E8639" i="1"/>
  <c r="E8638" i="1"/>
  <c r="E8637" i="1"/>
  <c r="E8636" i="1"/>
  <c r="E8635" i="1"/>
  <c r="E8634" i="1"/>
  <c r="E8633" i="1"/>
  <c r="E8632" i="1"/>
  <c r="E8631" i="1"/>
  <c r="E8630" i="1"/>
  <c r="E8629" i="1"/>
  <c r="E8628" i="1"/>
  <c r="E8627" i="1"/>
  <c r="E8626" i="1"/>
  <c r="E8625" i="1"/>
  <c r="E8624" i="1"/>
  <c r="E8623" i="1"/>
  <c r="E8622" i="1"/>
  <c r="E8621" i="1"/>
  <c r="E8620" i="1"/>
  <c r="E8619" i="1"/>
  <c r="E8618" i="1"/>
  <c r="E8617" i="1"/>
  <c r="E8616" i="1"/>
  <c r="E8615" i="1"/>
  <c r="E8614" i="1"/>
  <c r="E8613" i="1"/>
  <c r="E8612" i="1"/>
  <c r="E8611" i="1"/>
  <c r="E8610" i="1"/>
  <c r="E8609" i="1"/>
  <c r="E8608" i="1"/>
  <c r="E8607" i="1"/>
  <c r="E8606" i="1"/>
  <c r="E8605" i="1"/>
  <c r="E8604" i="1"/>
  <c r="E8603" i="1"/>
  <c r="E8602" i="1"/>
  <c r="E8601" i="1"/>
  <c r="E8600" i="1"/>
  <c r="E8599" i="1"/>
  <c r="E8598" i="1"/>
  <c r="E8597" i="1"/>
  <c r="E8596" i="1"/>
  <c r="E8595" i="1"/>
  <c r="E8594" i="1"/>
  <c r="E8593" i="1"/>
  <c r="E8592" i="1"/>
  <c r="E8591" i="1"/>
  <c r="E8590" i="1"/>
  <c r="E8589" i="1"/>
  <c r="E8588" i="1"/>
  <c r="E8587" i="1"/>
  <c r="E8586" i="1"/>
  <c r="E8585" i="1"/>
  <c r="E8584" i="1"/>
  <c r="E8583" i="1"/>
  <c r="E8582" i="1"/>
  <c r="E8581" i="1"/>
  <c r="E8580" i="1"/>
  <c r="E8579" i="1"/>
  <c r="E8578" i="1"/>
  <c r="E8577" i="1"/>
  <c r="E8576" i="1"/>
  <c r="E8575" i="1"/>
  <c r="E8574" i="1"/>
  <c r="E8573" i="1"/>
  <c r="E8572" i="1"/>
  <c r="E8571" i="1"/>
  <c r="E8570" i="1"/>
  <c r="E8569" i="1"/>
  <c r="E8568" i="1"/>
  <c r="E8567" i="1"/>
  <c r="E8566" i="1"/>
  <c r="E8565" i="1"/>
  <c r="E8564" i="1"/>
  <c r="E8563" i="1"/>
  <c r="E8562" i="1"/>
  <c r="E8561" i="1"/>
  <c r="E8560" i="1"/>
  <c r="E8559" i="1"/>
  <c r="E8558" i="1"/>
  <c r="E8557" i="1"/>
  <c r="E8556" i="1"/>
  <c r="E8555" i="1"/>
  <c r="E8554" i="1"/>
  <c r="E8553" i="1"/>
  <c r="E8552" i="1"/>
  <c r="E8551" i="1"/>
  <c r="E8550" i="1"/>
  <c r="E8549" i="1"/>
  <c r="E8548" i="1"/>
  <c r="E8547" i="1"/>
  <c r="E8546" i="1"/>
  <c r="E8545" i="1"/>
  <c r="E8544" i="1"/>
  <c r="E8543" i="1"/>
  <c r="E8542" i="1"/>
  <c r="E8541" i="1"/>
  <c r="E8540" i="1"/>
  <c r="E8539" i="1"/>
  <c r="E8538" i="1"/>
  <c r="E8537" i="1"/>
  <c r="E8536" i="1"/>
  <c r="E8535" i="1"/>
  <c r="E8534" i="1"/>
  <c r="E8533" i="1"/>
  <c r="E8532" i="1"/>
  <c r="E8531" i="1"/>
  <c r="E8530" i="1"/>
  <c r="E8529" i="1"/>
  <c r="E8528" i="1"/>
  <c r="E8527" i="1"/>
  <c r="E8526" i="1"/>
  <c r="E8525" i="1"/>
  <c r="E8524" i="1"/>
  <c r="E8523" i="1"/>
  <c r="E8522" i="1"/>
  <c r="E8521" i="1"/>
  <c r="E8520" i="1"/>
  <c r="E8519" i="1"/>
  <c r="E8518" i="1"/>
  <c r="E8517" i="1"/>
  <c r="E8516" i="1"/>
  <c r="E8515" i="1"/>
  <c r="E8514" i="1"/>
  <c r="E8513" i="1"/>
  <c r="E8512" i="1"/>
  <c r="E8511" i="1"/>
  <c r="E8510" i="1"/>
  <c r="E8509" i="1"/>
  <c r="E8508" i="1"/>
  <c r="E8507" i="1"/>
  <c r="E8506" i="1"/>
  <c r="E8505" i="1"/>
  <c r="E8504" i="1"/>
  <c r="E8503" i="1"/>
  <c r="E8502" i="1"/>
  <c r="E8501" i="1"/>
  <c r="E8500" i="1"/>
  <c r="E8499" i="1"/>
  <c r="E8498" i="1"/>
  <c r="E8497" i="1"/>
  <c r="E8496" i="1"/>
  <c r="E8495" i="1"/>
  <c r="E8494" i="1"/>
  <c r="E8493" i="1"/>
  <c r="E8492" i="1"/>
  <c r="E8491" i="1"/>
  <c r="E8490" i="1"/>
  <c r="E8489" i="1"/>
  <c r="E8488" i="1"/>
  <c r="E8487" i="1"/>
  <c r="E8486" i="1"/>
  <c r="E8485" i="1"/>
  <c r="E8484" i="1"/>
  <c r="E8483" i="1"/>
  <c r="E8482" i="1"/>
  <c r="E8481" i="1"/>
  <c r="E8480" i="1"/>
  <c r="E8479" i="1"/>
  <c r="E8478" i="1"/>
  <c r="E8477" i="1"/>
  <c r="E8476" i="1"/>
  <c r="E8475" i="1"/>
  <c r="E8474" i="1"/>
  <c r="E8473" i="1"/>
  <c r="E8472" i="1"/>
  <c r="E8471" i="1"/>
  <c r="E8470" i="1"/>
  <c r="E8469" i="1"/>
  <c r="E8468" i="1"/>
  <c r="E8467" i="1"/>
  <c r="E8466" i="1"/>
  <c r="E8465" i="1"/>
  <c r="E8464" i="1"/>
  <c r="E8463" i="1"/>
  <c r="E8462" i="1"/>
  <c r="E8461" i="1"/>
  <c r="E8460" i="1"/>
  <c r="E8459" i="1"/>
  <c r="E8458" i="1"/>
  <c r="E8457" i="1"/>
  <c r="E8456" i="1"/>
  <c r="E8455" i="1"/>
  <c r="E8454" i="1"/>
  <c r="E8453" i="1"/>
  <c r="E8452" i="1"/>
  <c r="E8451" i="1"/>
  <c r="E8450" i="1"/>
  <c r="E8449" i="1"/>
  <c r="E8448" i="1"/>
  <c r="E8447" i="1"/>
  <c r="E8446" i="1"/>
  <c r="E8445" i="1"/>
  <c r="E8444" i="1"/>
  <c r="E8443" i="1"/>
  <c r="E8442" i="1"/>
  <c r="E8441" i="1"/>
  <c r="E8440" i="1"/>
  <c r="E8439" i="1"/>
  <c r="E8438" i="1"/>
  <c r="E8437" i="1"/>
  <c r="E8436" i="1"/>
  <c r="E8435" i="1"/>
  <c r="E8434" i="1"/>
  <c r="E8433" i="1"/>
  <c r="E8432" i="1"/>
  <c r="E8431" i="1"/>
  <c r="E8430" i="1"/>
  <c r="E8429" i="1"/>
  <c r="E8428" i="1"/>
  <c r="E8427" i="1"/>
  <c r="E8426" i="1"/>
  <c r="E8425" i="1"/>
  <c r="E8424" i="1"/>
  <c r="E8423" i="1"/>
  <c r="E8422" i="1"/>
  <c r="E8421" i="1"/>
  <c r="E8420" i="1"/>
  <c r="E8419" i="1"/>
  <c r="E8418" i="1"/>
  <c r="E8417" i="1"/>
  <c r="E8416" i="1"/>
  <c r="E8415" i="1"/>
  <c r="E8414" i="1"/>
  <c r="E8413" i="1"/>
  <c r="E8412" i="1"/>
  <c r="E8411" i="1"/>
  <c r="E8410" i="1"/>
  <c r="E8409" i="1"/>
  <c r="E8408" i="1"/>
  <c r="E8407" i="1"/>
  <c r="E8406" i="1"/>
  <c r="E8405" i="1"/>
  <c r="E8404" i="1"/>
  <c r="E8403" i="1"/>
  <c r="E8402" i="1"/>
  <c r="E8401" i="1"/>
  <c r="E8400" i="1"/>
  <c r="E8399" i="1"/>
  <c r="E8398" i="1"/>
  <c r="E8397" i="1"/>
  <c r="E8396" i="1"/>
  <c r="E8395" i="1"/>
  <c r="E8394" i="1"/>
  <c r="E8393" i="1"/>
  <c r="E8392" i="1"/>
  <c r="E8391" i="1"/>
  <c r="E8390" i="1"/>
  <c r="E8389" i="1"/>
  <c r="E8388" i="1"/>
  <c r="E8387" i="1"/>
  <c r="E8386" i="1"/>
  <c r="E8385" i="1"/>
  <c r="E8384" i="1"/>
  <c r="E8383" i="1"/>
  <c r="E8382" i="1"/>
  <c r="E8381" i="1"/>
  <c r="E8380" i="1"/>
  <c r="E8379" i="1"/>
  <c r="E8378" i="1"/>
  <c r="E8377" i="1"/>
  <c r="E8376" i="1"/>
  <c r="E8375" i="1"/>
  <c r="E8374" i="1"/>
  <c r="E8373" i="1"/>
  <c r="E8372" i="1"/>
  <c r="E8371" i="1"/>
  <c r="E8370" i="1"/>
  <c r="E8369" i="1"/>
  <c r="E8368" i="1"/>
  <c r="E8367" i="1"/>
  <c r="E8366" i="1"/>
  <c r="E8365" i="1"/>
  <c r="E8364" i="1"/>
  <c r="E8363" i="1"/>
  <c r="E8362" i="1"/>
  <c r="E8361" i="1"/>
  <c r="E8360" i="1"/>
  <c r="E8359" i="1"/>
  <c r="E8358" i="1"/>
  <c r="E8357" i="1"/>
  <c r="E8356" i="1"/>
  <c r="E8355" i="1"/>
  <c r="E8354" i="1"/>
  <c r="E8353" i="1"/>
  <c r="E8352" i="1"/>
  <c r="E8351" i="1"/>
  <c r="E8350" i="1"/>
  <c r="E8349" i="1"/>
  <c r="E8348" i="1"/>
  <c r="E8347" i="1"/>
  <c r="E8346" i="1"/>
  <c r="E8345" i="1"/>
  <c r="E8344" i="1"/>
  <c r="E8343" i="1"/>
  <c r="E8342" i="1"/>
  <c r="E8341" i="1"/>
  <c r="E8340" i="1"/>
  <c r="E8339" i="1"/>
  <c r="E8338" i="1"/>
  <c r="E8337" i="1"/>
  <c r="E8336" i="1"/>
  <c r="E8335" i="1"/>
  <c r="E8334" i="1"/>
  <c r="E8333" i="1"/>
  <c r="E8332" i="1"/>
  <c r="E8331" i="1"/>
  <c r="E8330" i="1"/>
  <c r="E8329" i="1"/>
  <c r="E8328" i="1"/>
  <c r="E8327" i="1"/>
  <c r="E8326" i="1"/>
  <c r="E8325" i="1"/>
  <c r="E8324" i="1"/>
  <c r="E8323" i="1"/>
  <c r="E8322" i="1"/>
  <c r="E8321" i="1"/>
  <c r="E8320" i="1"/>
  <c r="E8319" i="1"/>
  <c r="E8318" i="1"/>
  <c r="E8317" i="1"/>
  <c r="E8316" i="1"/>
  <c r="E8315" i="1"/>
  <c r="E8314" i="1"/>
  <c r="E8313" i="1"/>
  <c r="E8312" i="1"/>
  <c r="E8311" i="1"/>
  <c r="E8310" i="1"/>
  <c r="E8309" i="1"/>
  <c r="E8308" i="1"/>
  <c r="E8307" i="1"/>
  <c r="E8306" i="1"/>
  <c r="E8305" i="1"/>
  <c r="E8304" i="1"/>
  <c r="E8303" i="1"/>
  <c r="E8302" i="1"/>
  <c r="E8301" i="1"/>
  <c r="E8300" i="1"/>
  <c r="E8299" i="1"/>
  <c r="E8298" i="1"/>
  <c r="E8297" i="1"/>
  <c r="E8296" i="1"/>
  <c r="E8295" i="1"/>
  <c r="E8294" i="1"/>
  <c r="E8293" i="1"/>
  <c r="E8292" i="1"/>
  <c r="E8291" i="1"/>
  <c r="E8290" i="1"/>
  <c r="E8289" i="1"/>
  <c r="E8288" i="1"/>
  <c r="E8287" i="1"/>
  <c r="E8286" i="1"/>
  <c r="E8285" i="1"/>
  <c r="E8284" i="1"/>
  <c r="E8283" i="1"/>
  <c r="E8282" i="1"/>
  <c r="E8281" i="1"/>
  <c r="E8280" i="1"/>
  <c r="E8279" i="1"/>
  <c r="E8278" i="1"/>
  <c r="E8277" i="1"/>
  <c r="E8276" i="1"/>
  <c r="E8275" i="1"/>
  <c r="E8274" i="1"/>
  <c r="E8273" i="1"/>
  <c r="E8272" i="1"/>
  <c r="E8271" i="1"/>
  <c r="E8270" i="1"/>
  <c r="E8269" i="1"/>
  <c r="E8268" i="1"/>
  <c r="E8267" i="1"/>
  <c r="E8266" i="1"/>
  <c r="E8265" i="1"/>
  <c r="E8264" i="1"/>
  <c r="E8263" i="1"/>
  <c r="E8262" i="1"/>
  <c r="E8261" i="1"/>
  <c r="E8260" i="1"/>
  <c r="E8259" i="1"/>
  <c r="E8258" i="1"/>
  <c r="E8257" i="1"/>
  <c r="E8256" i="1"/>
  <c r="E8255" i="1"/>
  <c r="E8254" i="1"/>
  <c r="E8253" i="1"/>
  <c r="E8252" i="1"/>
  <c r="E8251" i="1"/>
  <c r="E8250" i="1"/>
  <c r="E8249" i="1"/>
  <c r="E8248" i="1"/>
  <c r="E8247" i="1"/>
  <c r="E8246" i="1"/>
  <c r="E8245" i="1"/>
  <c r="E8244" i="1"/>
  <c r="E8243" i="1"/>
  <c r="E8242" i="1"/>
  <c r="E8241" i="1"/>
  <c r="E8240" i="1"/>
  <c r="E8239" i="1"/>
  <c r="E8238" i="1"/>
  <c r="E8237" i="1"/>
  <c r="E8236" i="1"/>
  <c r="E8235" i="1"/>
  <c r="E8234" i="1"/>
  <c r="E8233" i="1"/>
  <c r="E8232" i="1"/>
  <c r="E8231" i="1"/>
  <c r="E8230" i="1"/>
  <c r="E8229" i="1"/>
  <c r="E8228" i="1"/>
  <c r="E8227" i="1"/>
  <c r="E8226" i="1"/>
  <c r="E8225" i="1"/>
  <c r="E8224" i="1"/>
  <c r="E8223" i="1"/>
  <c r="E8222" i="1"/>
  <c r="E8221" i="1"/>
  <c r="E8220" i="1"/>
  <c r="E8219" i="1"/>
  <c r="E8218" i="1"/>
  <c r="E8217" i="1"/>
  <c r="E8216" i="1"/>
  <c r="E8215" i="1"/>
  <c r="E8214" i="1"/>
  <c r="E8213" i="1"/>
  <c r="E8212" i="1"/>
  <c r="E8211" i="1"/>
  <c r="E8210" i="1"/>
  <c r="E8209" i="1"/>
  <c r="E8208" i="1"/>
  <c r="E8207" i="1"/>
  <c r="E8206" i="1"/>
  <c r="E8205" i="1"/>
  <c r="E8204" i="1"/>
  <c r="E8203" i="1"/>
  <c r="E8202" i="1"/>
  <c r="E8201" i="1"/>
  <c r="E8200" i="1"/>
  <c r="E8199" i="1"/>
  <c r="E8198" i="1"/>
  <c r="E8197" i="1"/>
  <c r="E8196" i="1"/>
  <c r="E8195" i="1"/>
  <c r="E8194" i="1"/>
  <c r="E8193" i="1"/>
  <c r="E8192" i="1"/>
  <c r="E8191" i="1"/>
  <c r="E8190" i="1"/>
  <c r="E8189" i="1"/>
  <c r="E8188" i="1"/>
  <c r="E8187" i="1"/>
  <c r="E8186" i="1"/>
  <c r="E8185" i="1"/>
  <c r="E8184" i="1"/>
  <c r="E8183" i="1"/>
  <c r="E8182" i="1"/>
  <c r="E8181" i="1"/>
  <c r="E8180" i="1"/>
  <c r="E8179" i="1"/>
  <c r="E8178" i="1"/>
  <c r="E8177" i="1"/>
  <c r="E8176" i="1"/>
  <c r="E8175" i="1"/>
  <c r="E8174" i="1"/>
  <c r="E8173" i="1"/>
  <c r="E8172" i="1"/>
  <c r="E8171" i="1"/>
  <c r="E8170" i="1"/>
  <c r="E8169" i="1"/>
  <c r="E8168" i="1"/>
  <c r="E8167" i="1"/>
  <c r="E8166" i="1"/>
  <c r="E8165" i="1"/>
  <c r="E8164" i="1"/>
  <c r="E8163" i="1"/>
  <c r="E8162" i="1"/>
  <c r="E8161" i="1"/>
  <c r="E8160" i="1"/>
  <c r="E8159" i="1"/>
  <c r="E8158" i="1"/>
  <c r="E8157" i="1"/>
  <c r="E8156" i="1"/>
  <c r="E8155" i="1"/>
  <c r="E8154" i="1"/>
  <c r="E8153" i="1"/>
  <c r="E8152" i="1"/>
  <c r="E8151" i="1"/>
  <c r="E8150" i="1"/>
  <c r="E8149" i="1"/>
  <c r="E8148" i="1"/>
  <c r="E8147" i="1"/>
  <c r="E8146" i="1"/>
  <c r="E8145" i="1"/>
  <c r="E8144" i="1"/>
  <c r="E8143" i="1"/>
  <c r="E8142" i="1"/>
  <c r="E8141" i="1"/>
  <c r="E8140" i="1"/>
  <c r="E8139" i="1"/>
  <c r="E8138" i="1"/>
  <c r="E8137" i="1"/>
  <c r="E8136" i="1"/>
  <c r="E8135" i="1"/>
  <c r="E8134" i="1"/>
  <c r="E8133" i="1"/>
  <c r="E8132" i="1"/>
  <c r="E8131" i="1"/>
  <c r="E8130" i="1"/>
  <c r="E8129" i="1"/>
  <c r="E8128" i="1"/>
  <c r="E8127" i="1"/>
  <c r="E8126" i="1"/>
  <c r="E8125" i="1"/>
  <c r="E8124" i="1"/>
  <c r="E8123" i="1"/>
  <c r="E8122" i="1"/>
  <c r="E8121" i="1"/>
  <c r="E8120" i="1"/>
  <c r="E8119" i="1"/>
  <c r="E8118" i="1"/>
  <c r="E8117" i="1"/>
  <c r="E8116" i="1"/>
  <c r="E8115" i="1"/>
  <c r="E8114" i="1"/>
  <c r="E8113" i="1"/>
  <c r="E8112" i="1"/>
  <c r="E8111" i="1"/>
  <c r="E8110" i="1"/>
  <c r="E8109" i="1"/>
  <c r="E8108" i="1"/>
  <c r="E8107" i="1"/>
  <c r="E8106" i="1"/>
  <c r="E8105" i="1"/>
  <c r="E8104" i="1"/>
  <c r="E8103" i="1"/>
  <c r="E8102" i="1"/>
  <c r="E8101" i="1"/>
  <c r="E8100" i="1"/>
  <c r="E8099" i="1"/>
  <c r="E8098" i="1"/>
  <c r="E8097" i="1"/>
  <c r="E8096" i="1"/>
  <c r="E8095" i="1"/>
  <c r="E8094" i="1"/>
  <c r="E8093" i="1"/>
  <c r="E8092" i="1"/>
  <c r="E8091" i="1"/>
  <c r="E8090" i="1"/>
  <c r="E8089" i="1"/>
  <c r="E8088" i="1"/>
  <c r="E8087" i="1"/>
  <c r="E8086" i="1"/>
  <c r="E8085" i="1"/>
  <c r="E8084" i="1"/>
  <c r="E8083" i="1"/>
  <c r="E8082" i="1"/>
  <c r="E8081" i="1"/>
  <c r="E8080" i="1"/>
  <c r="E8079" i="1"/>
  <c r="E8078" i="1"/>
  <c r="E8077" i="1"/>
  <c r="E8076" i="1"/>
  <c r="E8075" i="1"/>
  <c r="E8074" i="1"/>
  <c r="E8073" i="1"/>
  <c r="E8072" i="1"/>
  <c r="E8071" i="1"/>
  <c r="E8070" i="1"/>
  <c r="E8069" i="1"/>
  <c r="E8068" i="1"/>
  <c r="E8067" i="1"/>
  <c r="E8066" i="1"/>
  <c r="E8065" i="1"/>
  <c r="E8064" i="1"/>
  <c r="E8063" i="1"/>
  <c r="E8062" i="1"/>
  <c r="E8061" i="1"/>
  <c r="E8060" i="1"/>
  <c r="E8059" i="1"/>
  <c r="E8058" i="1"/>
  <c r="E8057" i="1"/>
  <c r="E8056" i="1"/>
  <c r="E8055" i="1"/>
  <c r="E8054" i="1"/>
  <c r="E8053" i="1"/>
  <c r="E8052" i="1"/>
  <c r="E8051" i="1"/>
  <c r="E8050" i="1"/>
  <c r="E8049" i="1"/>
  <c r="E8048" i="1"/>
  <c r="E8047" i="1"/>
  <c r="E8046" i="1"/>
  <c r="E8045" i="1"/>
  <c r="E8044" i="1"/>
  <c r="E8043" i="1"/>
  <c r="E8042" i="1"/>
  <c r="E8041" i="1"/>
  <c r="E8040" i="1"/>
  <c r="E8039" i="1"/>
  <c r="E8038" i="1"/>
  <c r="E8037" i="1"/>
  <c r="E8036" i="1"/>
  <c r="E8035" i="1"/>
  <c r="E8034" i="1"/>
  <c r="E8033" i="1"/>
  <c r="E8032" i="1"/>
  <c r="E8031" i="1"/>
  <c r="E8030" i="1"/>
  <c r="E8029" i="1"/>
  <c r="E8028" i="1"/>
  <c r="E8027" i="1"/>
  <c r="E8026" i="1"/>
  <c r="E8025" i="1"/>
  <c r="E8024" i="1"/>
  <c r="E8023" i="1"/>
  <c r="E8022" i="1"/>
  <c r="E8021" i="1"/>
  <c r="E8020" i="1"/>
  <c r="E8019" i="1"/>
  <c r="E8018" i="1"/>
  <c r="E8017" i="1"/>
  <c r="E8016" i="1"/>
  <c r="E8015" i="1"/>
  <c r="E8014" i="1"/>
  <c r="E8013" i="1"/>
  <c r="E8012" i="1"/>
  <c r="E8011" i="1"/>
  <c r="E8010" i="1"/>
  <c r="E8009" i="1"/>
  <c r="E8008" i="1"/>
  <c r="E8007" i="1"/>
  <c r="E8006" i="1"/>
  <c r="E8005" i="1"/>
  <c r="E8004" i="1"/>
  <c r="E8003" i="1"/>
  <c r="E8002" i="1"/>
  <c r="E8001" i="1"/>
  <c r="E8000" i="1"/>
  <c r="E7999" i="1"/>
  <c r="E7998" i="1"/>
  <c r="E7997" i="1"/>
  <c r="E7996" i="1"/>
  <c r="E7995" i="1"/>
  <c r="E7994" i="1"/>
  <c r="E7993" i="1"/>
  <c r="E7992" i="1"/>
  <c r="E7991" i="1"/>
  <c r="E7990" i="1"/>
  <c r="E7989" i="1"/>
  <c r="E7988" i="1"/>
  <c r="E7987" i="1"/>
  <c r="E7986" i="1"/>
  <c r="E7985" i="1"/>
  <c r="E7984" i="1"/>
  <c r="E7983" i="1"/>
  <c r="E7982" i="1"/>
  <c r="E7981" i="1"/>
  <c r="E7980" i="1"/>
  <c r="E7979" i="1"/>
  <c r="E7978" i="1"/>
  <c r="E7977" i="1"/>
  <c r="E7976" i="1"/>
  <c r="E7975" i="1"/>
  <c r="E7974" i="1"/>
  <c r="E7973" i="1"/>
  <c r="E7972" i="1"/>
  <c r="E7971" i="1"/>
  <c r="E7970" i="1"/>
  <c r="E7969" i="1"/>
  <c r="E7968" i="1"/>
  <c r="E7967" i="1"/>
  <c r="E7966" i="1"/>
  <c r="E7965" i="1"/>
  <c r="E7964" i="1"/>
  <c r="E7963" i="1"/>
  <c r="E7962" i="1"/>
  <c r="E7961" i="1"/>
  <c r="E7960" i="1"/>
  <c r="E7959" i="1"/>
  <c r="E7958" i="1"/>
  <c r="E7957" i="1"/>
  <c r="E7956" i="1"/>
  <c r="E7955" i="1"/>
  <c r="E7954" i="1"/>
  <c r="E7953" i="1"/>
  <c r="E7952" i="1"/>
  <c r="E7951" i="1"/>
  <c r="E7950" i="1"/>
  <c r="E7949" i="1"/>
  <c r="E7948" i="1"/>
  <c r="E7947" i="1"/>
  <c r="E7946" i="1"/>
  <c r="E7945" i="1"/>
  <c r="E7944" i="1"/>
  <c r="E7943" i="1"/>
  <c r="E7942" i="1"/>
  <c r="E7941" i="1"/>
  <c r="E7940" i="1"/>
  <c r="E7939" i="1"/>
  <c r="E7938" i="1"/>
  <c r="E7937" i="1"/>
  <c r="E7936" i="1"/>
  <c r="E7935" i="1"/>
  <c r="E7934" i="1"/>
  <c r="E7933" i="1"/>
  <c r="E7932" i="1"/>
  <c r="E7931" i="1"/>
  <c r="E7930" i="1"/>
  <c r="E7929" i="1"/>
  <c r="E7928" i="1"/>
  <c r="E7927" i="1"/>
  <c r="E7926" i="1"/>
  <c r="E7925" i="1"/>
  <c r="E7924" i="1"/>
  <c r="E7923" i="1"/>
  <c r="E7922" i="1"/>
  <c r="E7921" i="1"/>
  <c r="E7920" i="1"/>
  <c r="E7919" i="1"/>
  <c r="E7918" i="1"/>
  <c r="E7917" i="1"/>
  <c r="E7916" i="1"/>
  <c r="E7915" i="1"/>
  <c r="E7914" i="1"/>
  <c r="E7913" i="1"/>
  <c r="E7912" i="1"/>
  <c r="E7911" i="1"/>
  <c r="E7910" i="1"/>
  <c r="E7909" i="1"/>
  <c r="E7908" i="1"/>
  <c r="E7907" i="1"/>
  <c r="E7906" i="1"/>
  <c r="E7905" i="1"/>
  <c r="E7904" i="1"/>
  <c r="E7903" i="1"/>
  <c r="E7902" i="1"/>
  <c r="E7901" i="1"/>
  <c r="E7900" i="1"/>
  <c r="E7899" i="1"/>
  <c r="E7898" i="1"/>
  <c r="E7897" i="1"/>
  <c r="E7896" i="1"/>
  <c r="E7895" i="1"/>
  <c r="E7894" i="1"/>
  <c r="E7893" i="1"/>
  <c r="E7892" i="1"/>
  <c r="E7891" i="1"/>
  <c r="E7890" i="1"/>
  <c r="E7889" i="1"/>
  <c r="E7888" i="1"/>
  <c r="E7887" i="1"/>
  <c r="E7886" i="1"/>
  <c r="E7885" i="1"/>
  <c r="E7884" i="1"/>
  <c r="E7883" i="1"/>
  <c r="E7882" i="1"/>
  <c r="E7881" i="1"/>
  <c r="E7880" i="1"/>
  <c r="E7879" i="1"/>
  <c r="E7878" i="1"/>
  <c r="E7877" i="1"/>
  <c r="E7876" i="1"/>
  <c r="E7875" i="1"/>
  <c r="E7874" i="1"/>
  <c r="E7873" i="1"/>
  <c r="E7872" i="1"/>
  <c r="E7871" i="1"/>
  <c r="E7870" i="1"/>
  <c r="E7869" i="1"/>
  <c r="E7868" i="1"/>
  <c r="E7867" i="1"/>
  <c r="E7866" i="1"/>
  <c r="E7865" i="1"/>
  <c r="E7864" i="1"/>
  <c r="E7863" i="1"/>
  <c r="E7862" i="1"/>
  <c r="E7861" i="1"/>
  <c r="E7860" i="1"/>
  <c r="E7859" i="1"/>
  <c r="E7858" i="1"/>
  <c r="E7857" i="1"/>
  <c r="E7856" i="1"/>
  <c r="E7855" i="1"/>
  <c r="E7854" i="1"/>
  <c r="E7853" i="1"/>
  <c r="E7852" i="1"/>
  <c r="E7851" i="1"/>
  <c r="E7850" i="1"/>
  <c r="E7849" i="1"/>
  <c r="E7848" i="1"/>
  <c r="E7847" i="1"/>
  <c r="E7846" i="1"/>
  <c r="E7845" i="1"/>
  <c r="E7844" i="1"/>
  <c r="E7843" i="1"/>
  <c r="E7842" i="1"/>
  <c r="E7841" i="1"/>
  <c r="E7840" i="1"/>
  <c r="E7839" i="1"/>
  <c r="E7838" i="1"/>
  <c r="E7837" i="1"/>
  <c r="E7836" i="1"/>
  <c r="E7835" i="1"/>
  <c r="E7834" i="1"/>
  <c r="E7833" i="1"/>
  <c r="E7832" i="1"/>
  <c r="E7831" i="1"/>
  <c r="E7830" i="1"/>
  <c r="E7829" i="1"/>
  <c r="E7828" i="1"/>
  <c r="E7827" i="1"/>
  <c r="E7826" i="1"/>
  <c r="E7825" i="1"/>
  <c r="E7824" i="1"/>
  <c r="E7823" i="1"/>
  <c r="E7822" i="1"/>
  <c r="E7821" i="1"/>
  <c r="E7820" i="1"/>
  <c r="E7819" i="1"/>
  <c r="E7818" i="1"/>
  <c r="E7817" i="1"/>
  <c r="E7816" i="1"/>
  <c r="E7815" i="1"/>
  <c r="E7814" i="1"/>
  <c r="E7813" i="1"/>
  <c r="E7812" i="1"/>
  <c r="E7811" i="1"/>
  <c r="E7810" i="1"/>
  <c r="E7809" i="1"/>
  <c r="E7808" i="1"/>
  <c r="E7807" i="1"/>
  <c r="E7806" i="1"/>
  <c r="E7805" i="1"/>
  <c r="E7804" i="1"/>
  <c r="E7803" i="1"/>
  <c r="E7802" i="1"/>
  <c r="E7801" i="1"/>
  <c r="E7800" i="1"/>
  <c r="E7799" i="1"/>
  <c r="E7798" i="1"/>
  <c r="E7797" i="1"/>
  <c r="E7796" i="1"/>
  <c r="E7795" i="1"/>
  <c r="E7794" i="1"/>
  <c r="E7793" i="1"/>
  <c r="E7792" i="1"/>
  <c r="E7791" i="1"/>
  <c r="E7790" i="1"/>
  <c r="E7789" i="1"/>
  <c r="E7788" i="1"/>
  <c r="E7787" i="1"/>
  <c r="E7786" i="1"/>
  <c r="E7785" i="1"/>
  <c r="E7784" i="1"/>
  <c r="E7783" i="1"/>
  <c r="E7782" i="1"/>
  <c r="E7781" i="1"/>
  <c r="E7780" i="1"/>
  <c r="E7779" i="1"/>
  <c r="E7778" i="1"/>
  <c r="E7777" i="1"/>
  <c r="E7776" i="1"/>
  <c r="E7775" i="1"/>
  <c r="E7774" i="1"/>
  <c r="E7773" i="1"/>
  <c r="E7772" i="1"/>
  <c r="E7771" i="1"/>
  <c r="E7770" i="1"/>
  <c r="E7769" i="1"/>
  <c r="E7768" i="1"/>
  <c r="E7767" i="1"/>
  <c r="E7766" i="1"/>
  <c r="E7765" i="1"/>
  <c r="E7764" i="1"/>
  <c r="E7763" i="1"/>
  <c r="E7762" i="1"/>
  <c r="E7761" i="1"/>
  <c r="E7760" i="1"/>
  <c r="E7759" i="1"/>
  <c r="E7758" i="1"/>
  <c r="E7757" i="1"/>
  <c r="E7756" i="1"/>
  <c r="E7755" i="1"/>
  <c r="E7754" i="1"/>
  <c r="E7753" i="1"/>
  <c r="E7752" i="1"/>
  <c r="E7751" i="1"/>
  <c r="E7750" i="1"/>
  <c r="E7749" i="1"/>
  <c r="E7748" i="1"/>
  <c r="E7747" i="1"/>
  <c r="E7746" i="1"/>
  <c r="E7745" i="1"/>
  <c r="E7744" i="1"/>
  <c r="E7743" i="1"/>
  <c r="E7742" i="1"/>
  <c r="E7741" i="1"/>
  <c r="E7740" i="1"/>
  <c r="E7739" i="1"/>
  <c r="E7738" i="1"/>
  <c r="E7737" i="1"/>
  <c r="E7736" i="1"/>
  <c r="E7735" i="1"/>
  <c r="E7734" i="1"/>
  <c r="E7733" i="1"/>
  <c r="E7732" i="1"/>
  <c r="E7731" i="1"/>
  <c r="E7730" i="1"/>
  <c r="E7729" i="1"/>
  <c r="E7728" i="1"/>
  <c r="E7727" i="1"/>
  <c r="E7726" i="1"/>
  <c r="E7725" i="1"/>
  <c r="E7724" i="1"/>
  <c r="E7723" i="1"/>
  <c r="E7722" i="1"/>
  <c r="E7721" i="1"/>
  <c r="E7720" i="1"/>
  <c r="E7719" i="1"/>
  <c r="E7718" i="1"/>
  <c r="E7717" i="1"/>
  <c r="E7716" i="1"/>
  <c r="E7715" i="1"/>
  <c r="E7714" i="1"/>
  <c r="E7713" i="1"/>
  <c r="E7712" i="1"/>
  <c r="E7711" i="1"/>
  <c r="E7710" i="1"/>
  <c r="E7709" i="1"/>
  <c r="E7708" i="1"/>
  <c r="E7707" i="1"/>
  <c r="E7706" i="1"/>
  <c r="E7705" i="1"/>
  <c r="E7704" i="1"/>
  <c r="E7703" i="1"/>
  <c r="E7702" i="1"/>
  <c r="E7701" i="1"/>
  <c r="E7700" i="1"/>
  <c r="E7699" i="1"/>
  <c r="E7698" i="1"/>
  <c r="E7697" i="1"/>
  <c r="E7696" i="1"/>
  <c r="E7695" i="1"/>
  <c r="E7694" i="1"/>
  <c r="E7693" i="1"/>
  <c r="E7692" i="1"/>
  <c r="E7691" i="1"/>
  <c r="E7690" i="1"/>
  <c r="E7689" i="1"/>
  <c r="E7688" i="1"/>
  <c r="E7687" i="1"/>
  <c r="E7686" i="1"/>
  <c r="E7685" i="1"/>
  <c r="E7684" i="1"/>
  <c r="E7683" i="1"/>
  <c r="E7682" i="1"/>
  <c r="E7681" i="1"/>
  <c r="E7680" i="1"/>
  <c r="E7679" i="1"/>
  <c r="E7678" i="1"/>
  <c r="E7677" i="1"/>
  <c r="E7676" i="1"/>
  <c r="E7675" i="1"/>
  <c r="E7674" i="1"/>
  <c r="E7673" i="1"/>
  <c r="E7672" i="1"/>
  <c r="E7671" i="1"/>
  <c r="E7670" i="1"/>
  <c r="E7669" i="1"/>
  <c r="E7668" i="1"/>
  <c r="E7667" i="1"/>
  <c r="E7666" i="1"/>
  <c r="E7665" i="1"/>
  <c r="E7664" i="1"/>
  <c r="E7663" i="1"/>
  <c r="E7662" i="1"/>
  <c r="E7661" i="1"/>
  <c r="E7660" i="1"/>
  <c r="E7659" i="1"/>
  <c r="E7658" i="1"/>
  <c r="E7657" i="1"/>
  <c r="E7656" i="1"/>
  <c r="E7655" i="1"/>
  <c r="E7654" i="1"/>
  <c r="E7653" i="1"/>
  <c r="E7652" i="1"/>
  <c r="E7651" i="1"/>
  <c r="E7650" i="1"/>
  <c r="E7649" i="1"/>
  <c r="E7648" i="1"/>
  <c r="E7647" i="1"/>
  <c r="E7646" i="1"/>
  <c r="E7645" i="1"/>
  <c r="E7644" i="1"/>
  <c r="E7643" i="1"/>
  <c r="E7642" i="1"/>
  <c r="E7641" i="1"/>
  <c r="E7640" i="1"/>
  <c r="E7639" i="1"/>
  <c r="E7638" i="1"/>
  <c r="E7637" i="1"/>
  <c r="E7636" i="1"/>
  <c r="E7635" i="1"/>
  <c r="E7634" i="1"/>
  <c r="E7633" i="1"/>
  <c r="E7632" i="1"/>
  <c r="E7631" i="1"/>
  <c r="E7630" i="1"/>
  <c r="E7629" i="1"/>
  <c r="E7628" i="1"/>
  <c r="E7627" i="1"/>
  <c r="E7626" i="1"/>
  <c r="E7625" i="1"/>
  <c r="E7624" i="1"/>
  <c r="E7623" i="1"/>
  <c r="E7622" i="1"/>
  <c r="E7621" i="1"/>
  <c r="E7620" i="1"/>
  <c r="E7619" i="1"/>
  <c r="E7618" i="1"/>
  <c r="E7617" i="1"/>
  <c r="E7616" i="1"/>
  <c r="E7615" i="1"/>
  <c r="E7614" i="1"/>
  <c r="E7613" i="1"/>
  <c r="E7612" i="1"/>
  <c r="E7611" i="1"/>
  <c r="E7610" i="1"/>
  <c r="E7609" i="1"/>
  <c r="E7608" i="1"/>
  <c r="E7607" i="1"/>
  <c r="E7606" i="1"/>
  <c r="E7605" i="1"/>
  <c r="E7604" i="1"/>
  <c r="E7603" i="1"/>
  <c r="E7602" i="1"/>
  <c r="E7601" i="1"/>
  <c r="E7600" i="1"/>
  <c r="E7599" i="1"/>
  <c r="E7598" i="1"/>
  <c r="E7597" i="1"/>
  <c r="E7596" i="1"/>
  <c r="E7595" i="1"/>
  <c r="E7594" i="1"/>
  <c r="E7593" i="1"/>
  <c r="E7592" i="1"/>
  <c r="E7591" i="1"/>
  <c r="E7590" i="1"/>
  <c r="E7589" i="1"/>
  <c r="E7588" i="1"/>
  <c r="E7587" i="1"/>
  <c r="E7586" i="1"/>
  <c r="E7585" i="1"/>
  <c r="E7584" i="1"/>
  <c r="E7583" i="1"/>
  <c r="E7582" i="1"/>
  <c r="E7581" i="1"/>
  <c r="E7580" i="1"/>
  <c r="E7579" i="1"/>
  <c r="E7578" i="1"/>
  <c r="E7577" i="1"/>
  <c r="E7576" i="1"/>
  <c r="E7575" i="1"/>
  <c r="E7574" i="1"/>
  <c r="E7573" i="1"/>
  <c r="E7572" i="1"/>
  <c r="E7571" i="1"/>
  <c r="E7570" i="1"/>
  <c r="E7569" i="1"/>
  <c r="E7568" i="1"/>
  <c r="E7567" i="1"/>
  <c r="E7566" i="1"/>
  <c r="E7565" i="1"/>
  <c r="E7564" i="1"/>
  <c r="E7563" i="1"/>
  <c r="E7562" i="1"/>
  <c r="E7561" i="1"/>
  <c r="E7560" i="1"/>
  <c r="E7559" i="1"/>
  <c r="E7558" i="1"/>
  <c r="E7557" i="1"/>
  <c r="E7556" i="1"/>
  <c r="E7555" i="1"/>
  <c r="E7554" i="1"/>
  <c r="E7553" i="1"/>
  <c r="E7552" i="1"/>
  <c r="E7551" i="1"/>
  <c r="E7550" i="1"/>
  <c r="E7549" i="1"/>
  <c r="E7548" i="1"/>
  <c r="E7547" i="1"/>
  <c r="E7546" i="1"/>
  <c r="E7545" i="1"/>
  <c r="E7544" i="1"/>
  <c r="E7543" i="1"/>
  <c r="E7542" i="1"/>
  <c r="E7541" i="1"/>
  <c r="E7540" i="1"/>
  <c r="E7539" i="1"/>
  <c r="E7538" i="1"/>
  <c r="E7537" i="1"/>
  <c r="E7536" i="1"/>
  <c r="E7535" i="1"/>
  <c r="E7534" i="1"/>
  <c r="E7533" i="1"/>
  <c r="E7532" i="1"/>
  <c r="E7531" i="1"/>
  <c r="E7530" i="1"/>
  <c r="E7529" i="1"/>
  <c r="E7528" i="1"/>
  <c r="E7527" i="1"/>
  <c r="E7526" i="1"/>
  <c r="E7525" i="1"/>
  <c r="E7524" i="1"/>
  <c r="E7523" i="1"/>
  <c r="E7522" i="1"/>
  <c r="E7521" i="1"/>
  <c r="E7520" i="1"/>
  <c r="E7519" i="1"/>
  <c r="E7518" i="1"/>
  <c r="E7517" i="1"/>
  <c r="E7516" i="1"/>
  <c r="E7515" i="1"/>
  <c r="E7514" i="1"/>
  <c r="E7513" i="1"/>
  <c r="E7512" i="1"/>
  <c r="E7511" i="1"/>
  <c r="E7510" i="1"/>
  <c r="E7509" i="1"/>
  <c r="E7508" i="1"/>
  <c r="E7507" i="1"/>
  <c r="E7506" i="1"/>
  <c r="E7505" i="1"/>
  <c r="E7504" i="1"/>
  <c r="E7503" i="1"/>
  <c r="E7502" i="1"/>
  <c r="E7501" i="1"/>
  <c r="E7500" i="1"/>
  <c r="E7499" i="1"/>
  <c r="E7498" i="1"/>
  <c r="E7497" i="1"/>
  <c r="E7496" i="1"/>
  <c r="E7495" i="1"/>
  <c r="E7494" i="1"/>
  <c r="E7493" i="1"/>
  <c r="E7492" i="1"/>
  <c r="E7491" i="1"/>
  <c r="E7490" i="1"/>
  <c r="E7489" i="1"/>
  <c r="E7488" i="1"/>
  <c r="E7487" i="1"/>
  <c r="E7486" i="1"/>
  <c r="E7485" i="1"/>
  <c r="E7484" i="1"/>
  <c r="E7483" i="1"/>
  <c r="E7482" i="1"/>
  <c r="E7481" i="1"/>
  <c r="E7480" i="1"/>
  <c r="E7479" i="1"/>
  <c r="E7478" i="1"/>
  <c r="E7477" i="1"/>
  <c r="E7476" i="1"/>
  <c r="E7475" i="1"/>
  <c r="E7474" i="1"/>
  <c r="E7473" i="1"/>
  <c r="E7472" i="1"/>
  <c r="E7471" i="1"/>
  <c r="E7470" i="1"/>
  <c r="E7469" i="1"/>
  <c r="E7468" i="1"/>
  <c r="E7467" i="1"/>
  <c r="E7466" i="1"/>
  <c r="E7465" i="1"/>
  <c r="E7464" i="1"/>
  <c r="E7463" i="1"/>
  <c r="E7462" i="1"/>
  <c r="E7461" i="1"/>
  <c r="E7460" i="1"/>
  <c r="E7459" i="1"/>
  <c r="E7458" i="1"/>
  <c r="E7457" i="1"/>
  <c r="E7456" i="1"/>
  <c r="E7455" i="1"/>
  <c r="E7454" i="1"/>
  <c r="E7453" i="1"/>
  <c r="E7452" i="1"/>
  <c r="E7451" i="1"/>
  <c r="E7450" i="1"/>
  <c r="E7449" i="1"/>
  <c r="E7448" i="1"/>
  <c r="E7447" i="1"/>
  <c r="E7446" i="1"/>
  <c r="E7445" i="1"/>
  <c r="E7444" i="1"/>
  <c r="E7443" i="1"/>
  <c r="E7442" i="1"/>
  <c r="E7441" i="1"/>
  <c r="E7440" i="1"/>
  <c r="E7439" i="1"/>
  <c r="E7438" i="1"/>
  <c r="E7437" i="1"/>
  <c r="E7436" i="1"/>
  <c r="E7435" i="1"/>
  <c r="E7434" i="1"/>
  <c r="E7433" i="1"/>
  <c r="E7432" i="1"/>
  <c r="E7431" i="1"/>
  <c r="E7430" i="1"/>
  <c r="E7429" i="1"/>
  <c r="E7428" i="1"/>
  <c r="E7427" i="1"/>
  <c r="E7426" i="1"/>
  <c r="E7425" i="1"/>
  <c r="E7424" i="1"/>
  <c r="E7423" i="1"/>
  <c r="E7422" i="1"/>
  <c r="E7421" i="1"/>
  <c r="E7420" i="1"/>
  <c r="E7419" i="1"/>
  <c r="E7418" i="1"/>
  <c r="E7417" i="1"/>
  <c r="E7416" i="1"/>
  <c r="E7415" i="1"/>
  <c r="E7414" i="1"/>
  <c r="E7413" i="1"/>
  <c r="E7412" i="1"/>
  <c r="E7411" i="1"/>
  <c r="E7410" i="1"/>
  <c r="E7409" i="1"/>
  <c r="E7408" i="1"/>
  <c r="E7407" i="1"/>
  <c r="E7406" i="1"/>
  <c r="E7405" i="1"/>
  <c r="E7404" i="1"/>
  <c r="E7403" i="1"/>
  <c r="E7402" i="1"/>
  <c r="E7401" i="1"/>
  <c r="E7400" i="1"/>
  <c r="E7399" i="1"/>
  <c r="E7398" i="1"/>
  <c r="E7397" i="1"/>
  <c r="E7396" i="1"/>
  <c r="E7395" i="1"/>
  <c r="E7394" i="1"/>
  <c r="E7393" i="1"/>
  <c r="E7392" i="1"/>
  <c r="E7391" i="1"/>
  <c r="E7390" i="1"/>
  <c r="E7389" i="1"/>
  <c r="E7388" i="1"/>
  <c r="E7387" i="1"/>
  <c r="E7386" i="1"/>
  <c r="E7385" i="1"/>
  <c r="E7384" i="1"/>
  <c r="E7383" i="1"/>
  <c r="E7382" i="1"/>
  <c r="E7381" i="1"/>
  <c r="E7380" i="1"/>
  <c r="E7379" i="1"/>
  <c r="E7378" i="1"/>
  <c r="E7377" i="1"/>
  <c r="E7376" i="1"/>
  <c r="E7375" i="1"/>
  <c r="E7374" i="1"/>
  <c r="E7373" i="1"/>
  <c r="E7372" i="1"/>
  <c r="E7371" i="1"/>
  <c r="E7370" i="1"/>
  <c r="E7369" i="1"/>
  <c r="E7368" i="1"/>
  <c r="E7367" i="1"/>
  <c r="E7366" i="1"/>
  <c r="E7365" i="1"/>
  <c r="E7364" i="1"/>
  <c r="E7363" i="1"/>
  <c r="E7362" i="1"/>
  <c r="E7361" i="1"/>
  <c r="E7360" i="1"/>
  <c r="E7359" i="1"/>
  <c r="E7358" i="1"/>
  <c r="E7357" i="1"/>
  <c r="E7356" i="1"/>
  <c r="E7355" i="1"/>
  <c r="E7354" i="1"/>
  <c r="E7353" i="1"/>
  <c r="E7352" i="1"/>
  <c r="E7351" i="1"/>
  <c r="E7350" i="1"/>
  <c r="E7349" i="1"/>
  <c r="E7348" i="1"/>
  <c r="E7347" i="1"/>
  <c r="E7346" i="1"/>
  <c r="E7345" i="1"/>
  <c r="E7344" i="1"/>
  <c r="E7343" i="1"/>
  <c r="E7342" i="1"/>
  <c r="E7341" i="1"/>
  <c r="E7340" i="1"/>
  <c r="E7339" i="1"/>
  <c r="E7338" i="1"/>
  <c r="E7337" i="1"/>
  <c r="E7336" i="1"/>
  <c r="E7335" i="1"/>
  <c r="E7334" i="1"/>
  <c r="E7333" i="1"/>
  <c r="E7332" i="1"/>
  <c r="E7331" i="1"/>
  <c r="E7330" i="1"/>
  <c r="E7329" i="1"/>
  <c r="E7328" i="1"/>
  <c r="E7327" i="1"/>
  <c r="E7326" i="1"/>
  <c r="E7325" i="1"/>
  <c r="E7324" i="1"/>
  <c r="E7323" i="1"/>
  <c r="E7322" i="1"/>
  <c r="E7321" i="1"/>
  <c r="E7320" i="1"/>
  <c r="E7319" i="1"/>
  <c r="E7318" i="1"/>
  <c r="E7317" i="1"/>
  <c r="E7316" i="1"/>
  <c r="E7315" i="1"/>
  <c r="E7314" i="1"/>
  <c r="E7313" i="1"/>
  <c r="E7312" i="1"/>
  <c r="E7311" i="1"/>
  <c r="E7310" i="1"/>
  <c r="E7309" i="1"/>
  <c r="E7308" i="1"/>
  <c r="E7307" i="1"/>
  <c r="E7306" i="1"/>
  <c r="E7305" i="1"/>
  <c r="E7304" i="1"/>
  <c r="E7303" i="1"/>
  <c r="E7302" i="1"/>
  <c r="E7301" i="1"/>
  <c r="E7300" i="1"/>
  <c r="E7299" i="1"/>
  <c r="E7298" i="1"/>
  <c r="E7297" i="1"/>
  <c r="E7296" i="1"/>
  <c r="E7295" i="1"/>
  <c r="E7294" i="1"/>
  <c r="E7293" i="1"/>
  <c r="E7292" i="1"/>
  <c r="E7291" i="1"/>
  <c r="E7290" i="1"/>
  <c r="E7289" i="1"/>
  <c r="E7288" i="1"/>
  <c r="E7287" i="1"/>
  <c r="E7286" i="1"/>
  <c r="E7285" i="1"/>
  <c r="E7284" i="1"/>
  <c r="E7283" i="1"/>
  <c r="E7282" i="1"/>
  <c r="E7281" i="1"/>
  <c r="E7280" i="1"/>
  <c r="E7279" i="1"/>
  <c r="E7278" i="1"/>
  <c r="E7277" i="1"/>
  <c r="E7276" i="1"/>
  <c r="E7275" i="1"/>
  <c r="E7274" i="1"/>
  <c r="E7273" i="1"/>
  <c r="E7272" i="1"/>
  <c r="E7271" i="1"/>
  <c r="E7270" i="1"/>
  <c r="E7269" i="1"/>
  <c r="E7268" i="1"/>
  <c r="E7267" i="1"/>
  <c r="E7266" i="1"/>
  <c r="E7265" i="1"/>
  <c r="E7264" i="1"/>
  <c r="E7263" i="1"/>
  <c r="E7262" i="1"/>
  <c r="E7261" i="1"/>
  <c r="E7260" i="1"/>
  <c r="E7259" i="1"/>
  <c r="E7258" i="1"/>
  <c r="E7257" i="1"/>
  <c r="E7256" i="1"/>
  <c r="E7255" i="1"/>
  <c r="E7254" i="1"/>
  <c r="E7253" i="1"/>
  <c r="E7252" i="1"/>
  <c r="E7251" i="1"/>
  <c r="E7250" i="1"/>
  <c r="E7249" i="1"/>
  <c r="E7248" i="1"/>
  <c r="E7247" i="1"/>
  <c r="E7246" i="1"/>
  <c r="E7245" i="1"/>
  <c r="E7244" i="1"/>
  <c r="E7243" i="1"/>
  <c r="E7242" i="1"/>
  <c r="E7241" i="1"/>
  <c r="E7240" i="1"/>
  <c r="E7239" i="1"/>
  <c r="E7238" i="1"/>
  <c r="E7237" i="1"/>
  <c r="E7236" i="1"/>
  <c r="E7235" i="1"/>
  <c r="E7234" i="1"/>
  <c r="E7233" i="1"/>
  <c r="E7232" i="1"/>
  <c r="E7231" i="1"/>
  <c r="E7230" i="1"/>
  <c r="E7229" i="1"/>
  <c r="E7228" i="1"/>
  <c r="E7227" i="1"/>
  <c r="E7226" i="1"/>
  <c r="E7225" i="1"/>
  <c r="E7224" i="1"/>
  <c r="E7223" i="1"/>
  <c r="E7222" i="1"/>
  <c r="E7221" i="1"/>
  <c r="E7220" i="1"/>
  <c r="E7219" i="1"/>
  <c r="E7218" i="1"/>
  <c r="E7217" i="1"/>
  <c r="E7216" i="1"/>
  <c r="E7215" i="1"/>
  <c r="E7214" i="1"/>
  <c r="E7213" i="1"/>
  <c r="E7212" i="1"/>
  <c r="E7211" i="1"/>
  <c r="E7210" i="1"/>
  <c r="E7209" i="1"/>
  <c r="E7208" i="1"/>
  <c r="E7207" i="1"/>
  <c r="E7206" i="1"/>
  <c r="E7205" i="1"/>
  <c r="E7204" i="1"/>
  <c r="E7203" i="1"/>
  <c r="E7202" i="1"/>
  <c r="E7201" i="1"/>
  <c r="E7200" i="1"/>
  <c r="E7199" i="1"/>
  <c r="E7198" i="1"/>
  <c r="E7197" i="1"/>
  <c r="E7196" i="1"/>
  <c r="E7195" i="1"/>
  <c r="E7194" i="1"/>
  <c r="E7193" i="1"/>
  <c r="E7192" i="1"/>
  <c r="E7191" i="1"/>
  <c r="E7190" i="1"/>
  <c r="E7189" i="1"/>
  <c r="E7188" i="1"/>
  <c r="E7187" i="1"/>
  <c r="E7186" i="1"/>
  <c r="E7185" i="1"/>
  <c r="E7184" i="1"/>
  <c r="E7183" i="1"/>
  <c r="E7182" i="1"/>
  <c r="E7181" i="1"/>
  <c r="E7180" i="1"/>
  <c r="E7179" i="1"/>
  <c r="E7178" i="1"/>
  <c r="E7177" i="1"/>
  <c r="E7176" i="1"/>
  <c r="E7175" i="1"/>
  <c r="E7174" i="1"/>
  <c r="E7173" i="1"/>
  <c r="E7172" i="1"/>
  <c r="E7171" i="1"/>
  <c r="E7170" i="1"/>
  <c r="E7169" i="1"/>
  <c r="E7168" i="1"/>
  <c r="E7167" i="1"/>
  <c r="E7166" i="1"/>
  <c r="E7165" i="1"/>
  <c r="E7164" i="1"/>
  <c r="E7163" i="1"/>
  <c r="E7162" i="1"/>
  <c r="E7161" i="1"/>
  <c r="E7160" i="1"/>
  <c r="E7159" i="1"/>
  <c r="E7158" i="1"/>
  <c r="E7157" i="1"/>
  <c r="E7156" i="1"/>
  <c r="E7155" i="1"/>
  <c r="E7154" i="1"/>
  <c r="E7153" i="1"/>
  <c r="E7152" i="1"/>
  <c r="E7151" i="1"/>
  <c r="E7150" i="1"/>
  <c r="E7149" i="1"/>
  <c r="E7148" i="1"/>
  <c r="E7147" i="1"/>
  <c r="E7146" i="1"/>
  <c r="E7145" i="1"/>
  <c r="E7144" i="1"/>
  <c r="E7143" i="1"/>
  <c r="E7142" i="1"/>
  <c r="E7141" i="1"/>
  <c r="E7140" i="1"/>
  <c r="E7139" i="1"/>
  <c r="E7138" i="1"/>
  <c r="E7137" i="1"/>
  <c r="E7136" i="1"/>
  <c r="E7135" i="1"/>
  <c r="E7134" i="1"/>
  <c r="E7133" i="1"/>
  <c r="E7132" i="1"/>
  <c r="E7131" i="1"/>
  <c r="E7130" i="1"/>
  <c r="E7129" i="1"/>
  <c r="E7128" i="1"/>
  <c r="E7127" i="1"/>
  <c r="E7126" i="1"/>
  <c r="E7125" i="1"/>
  <c r="E7124" i="1"/>
  <c r="E7123" i="1"/>
  <c r="E7122" i="1"/>
  <c r="E7121" i="1"/>
  <c r="E7120" i="1"/>
  <c r="E7119" i="1"/>
  <c r="E7118" i="1"/>
  <c r="E7117" i="1"/>
  <c r="E7116" i="1"/>
  <c r="E7115" i="1"/>
  <c r="E7114" i="1"/>
  <c r="E7113" i="1"/>
  <c r="E7112" i="1"/>
  <c r="E7111" i="1"/>
  <c r="E7110" i="1"/>
  <c r="E7109" i="1"/>
  <c r="E7108" i="1"/>
  <c r="E7107" i="1"/>
  <c r="E7106" i="1"/>
  <c r="E7105" i="1"/>
  <c r="E7104" i="1"/>
  <c r="E7103" i="1"/>
  <c r="E7102" i="1"/>
  <c r="E7101" i="1"/>
  <c r="E7100" i="1"/>
  <c r="E7099" i="1"/>
  <c r="E7098" i="1"/>
  <c r="E7097" i="1"/>
  <c r="E7096" i="1"/>
  <c r="E7095" i="1"/>
  <c r="E7094" i="1"/>
  <c r="E7093" i="1"/>
  <c r="E7092" i="1"/>
  <c r="E7091" i="1"/>
  <c r="E7090" i="1"/>
  <c r="E7089" i="1"/>
  <c r="E7088" i="1"/>
  <c r="E7087" i="1"/>
  <c r="E7086" i="1"/>
  <c r="E7085" i="1"/>
  <c r="E7084" i="1"/>
  <c r="E7083" i="1"/>
  <c r="E7082" i="1"/>
  <c r="E7081" i="1"/>
  <c r="E7080" i="1"/>
  <c r="E7079" i="1"/>
  <c r="E7078" i="1"/>
  <c r="E7077" i="1"/>
  <c r="E7076" i="1"/>
  <c r="E7075" i="1"/>
  <c r="E7074" i="1"/>
  <c r="E7073" i="1"/>
  <c r="E7072" i="1"/>
  <c r="E7071" i="1"/>
  <c r="E7070" i="1"/>
  <c r="E7069" i="1"/>
  <c r="E7068" i="1"/>
  <c r="E7067" i="1"/>
  <c r="E7066" i="1"/>
  <c r="E7065" i="1"/>
  <c r="E7064" i="1"/>
  <c r="E7063" i="1"/>
  <c r="E7062" i="1"/>
  <c r="E7061" i="1"/>
  <c r="E7060" i="1"/>
  <c r="E7059" i="1"/>
  <c r="E7058" i="1"/>
  <c r="E7057" i="1"/>
  <c r="E7056" i="1"/>
  <c r="E7055" i="1"/>
  <c r="E7054" i="1"/>
  <c r="E7053" i="1"/>
  <c r="E7052" i="1"/>
  <c r="E7051" i="1"/>
  <c r="E7050" i="1"/>
  <c r="E7049" i="1"/>
  <c r="E7048" i="1"/>
  <c r="E7047" i="1"/>
  <c r="E7046" i="1"/>
  <c r="E7045" i="1"/>
  <c r="E7044" i="1"/>
  <c r="E7043" i="1"/>
  <c r="E7042" i="1"/>
  <c r="E7041" i="1"/>
  <c r="E7040" i="1"/>
  <c r="E7039" i="1"/>
  <c r="E7038" i="1"/>
  <c r="E7037" i="1"/>
  <c r="E7036" i="1"/>
  <c r="E7035" i="1"/>
  <c r="E7034" i="1"/>
  <c r="E7033" i="1"/>
  <c r="E7032" i="1"/>
  <c r="E7031" i="1"/>
  <c r="E7030" i="1"/>
  <c r="E7029" i="1"/>
  <c r="E7028" i="1"/>
  <c r="E7027" i="1"/>
  <c r="E7026" i="1"/>
  <c r="E7025" i="1"/>
  <c r="E7024" i="1"/>
  <c r="E7023" i="1"/>
  <c r="E7022" i="1"/>
  <c r="E7021" i="1"/>
  <c r="E7020" i="1"/>
  <c r="E7019" i="1"/>
  <c r="E7018" i="1"/>
  <c r="E7017" i="1"/>
  <c r="E7016" i="1"/>
  <c r="E7015" i="1"/>
  <c r="E7014" i="1"/>
  <c r="E7013" i="1"/>
  <c r="E7012" i="1"/>
  <c r="E7011" i="1"/>
  <c r="E7010" i="1"/>
  <c r="E7009" i="1"/>
  <c r="E7008" i="1"/>
  <c r="E7007" i="1"/>
  <c r="E7006" i="1"/>
  <c r="E7005" i="1"/>
  <c r="E7004" i="1"/>
  <c r="E7003" i="1"/>
  <c r="E7002" i="1"/>
  <c r="E7001" i="1"/>
  <c r="E7000" i="1"/>
  <c r="E6999" i="1"/>
  <c r="E6998" i="1"/>
  <c r="E6997" i="1"/>
  <c r="E6996" i="1"/>
  <c r="E6995" i="1"/>
  <c r="E6994" i="1"/>
  <c r="E6993" i="1"/>
  <c r="E6992" i="1"/>
  <c r="E6991" i="1"/>
  <c r="E6990" i="1"/>
  <c r="E6989" i="1"/>
  <c r="E6988" i="1"/>
  <c r="E6987" i="1"/>
  <c r="E6986" i="1"/>
  <c r="E6985" i="1"/>
  <c r="E6984" i="1"/>
  <c r="E6983" i="1"/>
  <c r="E6982" i="1"/>
  <c r="E6981" i="1"/>
  <c r="E6980" i="1"/>
  <c r="E6979" i="1"/>
  <c r="E6978" i="1"/>
  <c r="E6977" i="1"/>
  <c r="E6976" i="1"/>
  <c r="E6975" i="1"/>
  <c r="E6974" i="1"/>
  <c r="E6973" i="1"/>
  <c r="E6972" i="1"/>
  <c r="E6971" i="1"/>
  <c r="E6970" i="1"/>
  <c r="E6969" i="1"/>
  <c r="E6968" i="1"/>
  <c r="E6967" i="1"/>
  <c r="E6966" i="1"/>
  <c r="E6965" i="1"/>
  <c r="E6964" i="1"/>
  <c r="E6963" i="1"/>
  <c r="E6962" i="1"/>
  <c r="E6961" i="1"/>
  <c r="E6960" i="1"/>
  <c r="E6959" i="1"/>
  <c r="E6958" i="1"/>
  <c r="E6957" i="1"/>
  <c r="E6956" i="1"/>
  <c r="E6955" i="1"/>
  <c r="E6954" i="1"/>
  <c r="E6953" i="1"/>
  <c r="E6952" i="1"/>
  <c r="E6951" i="1"/>
  <c r="E6950" i="1"/>
  <c r="E6949" i="1"/>
  <c r="E6948" i="1"/>
  <c r="E6947" i="1"/>
  <c r="E6946" i="1"/>
  <c r="E6945" i="1"/>
  <c r="E6944" i="1"/>
  <c r="E6943" i="1"/>
  <c r="E6942" i="1"/>
  <c r="E6941" i="1"/>
  <c r="E6940" i="1"/>
  <c r="E6939" i="1"/>
  <c r="E6938" i="1"/>
  <c r="E6937" i="1"/>
  <c r="E6936" i="1"/>
  <c r="E6935" i="1"/>
  <c r="E6934" i="1"/>
  <c r="E6933" i="1"/>
  <c r="E6932" i="1"/>
  <c r="E6931" i="1"/>
  <c r="E6930" i="1"/>
  <c r="E6929" i="1"/>
  <c r="E6928" i="1"/>
  <c r="E6927" i="1"/>
  <c r="E6926" i="1"/>
  <c r="E6925" i="1"/>
  <c r="E6924" i="1"/>
  <c r="E6923" i="1"/>
  <c r="E6922" i="1"/>
  <c r="E6921" i="1"/>
  <c r="E6920" i="1"/>
  <c r="E6919" i="1"/>
  <c r="E6918" i="1"/>
  <c r="E6917" i="1"/>
  <c r="E6916" i="1"/>
  <c r="E6915" i="1"/>
  <c r="E6914" i="1"/>
  <c r="E6913" i="1"/>
  <c r="E6912" i="1"/>
  <c r="E6911" i="1"/>
  <c r="E6910" i="1"/>
  <c r="E6909" i="1"/>
  <c r="E6908" i="1"/>
  <c r="E6907" i="1"/>
  <c r="E6906" i="1"/>
  <c r="E6905" i="1"/>
  <c r="E6904" i="1"/>
  <c r="E6903" i="1"/>
  <c r="E6902" i="1"/>
  <c r="E6901" i="1"/>
  <c r="E6900" i="1"/>
  <c r="E6899" i="1"/>
  <c r="E6898" i="1"/>
  <c r="E6897" i="1"/>
  <c r="E6896" i="1"/>
  <c r="E6895" i="1"/>
  <c r="E6894" i="1"/>
  <c r="E6893" i="1"/>
  <c r="E6892" i="1"/>
  <c r="E6891" i="1"/>
  <c r="E6890" i="1"/>
  <c r="E6889" i="1"/>
  <c r="E6888" i="1"/>
  <c r="E6887" i="1"/>
  <c r="E6886" i="1"/>
  <c r="E6885" i="1"/>
  <c r="E6884" i="1"/>
  <c r="E6883" i="1"/>
  <c r="E6882" i="1"/>
  <c r="E6881" i="1"/>
  <c r="E6880" i="1"/>
  <c r="E6879" i="1"/>
  <c r="E6878" i="1"/>
  <c r="E6877" i="1"/>
  <c r="E6876" i="1"/>
  <c r="E6875" i="1"/>
  <c r="E6874" i="1"/>
  <c r="E6873" i="1"/>
  <c r="E6872" i="1"/>
  <c r="E6871" i="1"/>
  <c r="E6870" i="1"/>
  <c r="E6869" i="1"/>
  <c r="E6868" i="1"/>
  <c r="E6867" i="1"/>
  <c r="E6866" i="1"/>
  <c r="E6865" i="1"/>
  <c r="E6864" i="1"/>
  <c r="E6863" i="1"/>
  <c r="E6862" i="1"/>
  <c r="E6861" i="1"/>
  <c r="E6860" i="1"/>
  <c r="E6859" i="1"/>
  <c r="E6858" i="1"/>
  <c r="E6857" i="1"/>
  <c r="E6856" i="1"/>
  <c r="E6855" i="1"/>
  <c r="E6854" i="1"/>
  <c r="E6853" i="1"/>
  <c r="E6852" i="1"/>
  <c r="E6851" i="1"/>
  <c r="E6850" i="1"/>
  <c r="E6849" i="1"/>
  <c r="E6848" i="1"/>
  <c r="E6847" i="1"/>
  <c r="E6846" i="1"/>
  <c r="E6845" i="1"/>
  <c r="E6844" i="1"/>
  <c r="E6843" i="1"/>
  <c r="E6842" i="1"/>
  <c r="E6841" i="1"/>
  <c r="E6840" i="1"/>
  <c r="E6839" i="1"/>
  <c r="E6838" i="1"/>
  <c r="E6837" i="1"/>
  <c r="E6836" i="1"/>
  <c r="E6835" i="1"/>
  <c r="E6834" i="1"/>
  <c r="E6833" i="1"/>
  <c r="E6832" i="1"/>
  <c r="E6831" i="1"/>
  <c r="E6830" i="1"/>
  <c r="E6829" i="1"/>
  <c r="E6828" i="1"/>
  <c r="E6827" i="1"/>
  <c r="E6826" i="1"/>
  <c r="E6825" i="1"/>
  <c r="E6824" i="1"/>
  <c r="E6823" i="1"/>
  <c r="E6822" i="1"/>
  <c r="E6821" i="1"/>
  <c r="E6820" i="1"/>
  <c r="E6819" i="1"/>
  <c r="E6818" i="1"/>
  <c r="E6817" i="1"/>
  <c r="E6816" i="1"/>
  <c r="E6815" i="1"/>
  <c r="E6814" i="1"/>
  <c r="E6813" i="1"/>
  <c r="E6812" i="1"/>
  <c r="E6811" i="1"/>
  <c r="E6810" i="1"/>
  <c r="E6809" i="1"/>
  <c r="E6808" i="1"/>
  <c r="E6807" i="1"/>
  <c r="E6806" i="1"/>
  <c r="E6805" i="1"/>
  <c r="E6804" i="1"/>
  <c r="E6803" i="1"/>
  <c r="E6802" i="1"/>
  <c r="E6801" i="1"/>
  <c r="E6800" i="1"/>
  <c r="E6799" i="1"/>
  <c r="E6798" i="1"/>
  <c r="E6797" i="1"/>
  <c r="E6796" i="1"/>
  <c r="E6795" i="1"/>
  <c r="E6794" i="1"/>
  <c r="E6793" i="1"/>
  <c r="E6792" i="1"/>
  <c r="E6791" i="1"/>
  <c r="E6790" i="1"/>
  <c r="E6789" i="1"/>
  <c r="E6788" i="1"/>
  <c r="E6787" i="1"/>
  <c r="E6786" i="1"/>
  <c r="E6785" i="1"/>
  <c r="E6784" i="1"/>
  <c r="E6783" i="1"/>
  <c r="E6782" i="1"/>
  <c r="E6781" i="1"/>
  <c r="E6780" i="1"/>
  <c r="E6779" i="1"/>
  <c r="E6778" i="1"/>
  <c r="E6777" i="1"/>
  <c r="E6776" i="1"/>
  <c r="E6775" i="1"/>
  <c r="E6774" i="1"/>
  <c r="E6773" i="1"/>
  <c r="E6772" i="1"/>
  <c r="E6771" i="1"/>
  <c r="E6770" i="1"/>
  <c r="E6769" i="1"/>
  <c r="E6768" i="1"/>
  <c r="E6767" i="1"/>
  <c r="E6766" i="1"/>
  <c r="E6765" i="1"/>
  <c r="E6764" i="1"/>
  <c r="E6763" i="1"/>
  <c r="E6762" i="1"/>
  <c r="E6761" i="1"/>
  <c r="E6760" i="1"/>
  <c r="E6759" i="1"/>
  <c r="E6758" i="1"/>
  <c r="E6757" i="1"/>
  <c r="E6756" i="1"/>
  <c r="E6755" i="1"/>
  <c r="E6754" i="1"/>
  <c r="E6753" i="1"/>
  <c r="E6752" i="1"/>
  <c r="E6751" i="1"/>
  <c r="E6750" i="1"/>
  <c r="E6749" i="1"/>
  <c r="E6748" i="1"/>
  <c r="E6747" i="1"/>
  <c r="E6746" i="1"/>
  <c r="E6745" i="1"/>
  <c r="E6744" i="1"/>
  <c r="E6743" i="1"/>
  <c r="E6742" i="1"/>
  <c r="E6741" i="1"/>
  <c r="E6740" i="1"/>
  <c r="E6739" i="1"/>
  <c r="E6738" i="1"/>
  <c r="E6737" i="1"/>
  <c r="E6736" i="1"/>
  <c r="E6735" i="1"/>
  <c r="E6734" i="1"/>
  <c r="E6733" i="1"/>
  <c r="E6732" i="1"/>
  <c r="E6731" i="1"/>
  <c r="E6730" i="1"/>
  <c r="E6729" i="1"/>
  <c r="E6728" i="1"/>
  <c r="E6727" i="1"/>
  <c r="E6726" i="1"/>
  <c r="E6725" i="1"/>
  <c r="E6724" i="1"/>
  <c r="E6723" i="1"/>
  <c r="E6722" i="1"/>
  <c r="E6721" i="1"/>
  <c r="E6720" i="1"/>
  <c r="E6719" i="1"/>
  <c r="E6718" i="1"/>
  <c r="E6717" i="1"/>
  <c r="E6716" i="1"/>
  <c r="E6715" i="1"/>
  <c r="E6714" i="1"/>
  <c r="E6713" i="1"/>
  <c r="E6712" i="1"/>
  <c r="E6711" i="1"/>
  <c r="E6710" i="1"/>
  <c r="E6709" i="1"/>
  <c r="E6708" i="1"/>
  <c r="E6707" i="1"/>
  <c r="E6706" i="1"/>
  <c r="E6705" i="1"/>
  <c r="E6704" i="1"/>
  <c r="E6703" i="1"/>
  <c r="E6702" i="1"/>
  <c r="E6701" i="1"/>
  <c r="E6700" i="1"/>
  <c r="E6699" i="1"/>
  <c r="E6698" i="1"/>
  <c r="E6697" i="1"/>
  <c r="E6696" i="1"/>
  <c r="E6695" i="1"/>
  <c r="E6694" i="1"/>
  <c r="E6693" i="1"/>
  <c r="E6692" i="1"/>
  <c r="E6691" i="1"/>
  <c r="E6690" i="1"/>
  <c r="E6689" i="1"/>
  <c r="E6688" i="1"/>
  <c r="E6687" i="1"/>
  <c r="E6686" i="1"/>
  <c r="E6685" i="1"/>
  <c r="E6684" i="1"/>
  <c r="E6683" i="1"/>
  <c r="E6682" i="1"/>
  <c r="E6681" i="1"/>
  <c r="E6680" i="1"/>
  <c r="E6679" i="1"/>
  <c r="E6678" i="1"/>
  <c r="E6677" i="1"/>
  <c r="E6676" i="1"/>
  <c r="E6675" i="1"/>
  <c r="E6674" i="1"/>
  <c r="E6673" i="1"/>
  <c r="E6672" i="1"/>
  <c r="E6671" i="1"/>
  <c r="E6670" i="1"/>
  <c r="E6669" i="1"/>
  <c r="E6668" i="1"/>
  <c r="E6667" i="1"/>
  <c r="E6666" i="1"/>
  <c r="E6665" i="1"/>
  <c r="E6664" i="1"/>
  <c r="E6663" i="1"/>
  <c r="E6662" i="1"/>
  <c r="E6661" i="1"/>
  <c r="E6660" i="1"/>
  <c r="E6659" i="1"/>
  <c r="E6658" i="1"/>
  <c r="E6657" i="1"/>
  <c r="E6656" i="1"/>
  <c r="E6655" i="1"/>
  <c r="E6654" i="1"/>
  <c r="E6653" i="1"/>
  <c r="E6652" i="1"/>
  <c r="E6651" i="1"/>
  <c r="E6650" i="1"/>
  <c r="E6649" i="1"/>
  <c r="E6648" i="1"/>
  <c r="E6647" i="1"/>
  <c r="E6646" i="1"/>
  <c r="E6645" i="1"/>
  <c r="E6644" i="1"/>
  <c r="E6643" i="1"/>
  <c r="E6642" i="1"/>
  <c r="E6641" i="1"/>
  <c r="E6640" i="1"/>
  <c r="E6639" i="1"/>
  <c r="E6638" i="1"/>
  <c r="E6637" i="1"/>
  <c r="E6636" i="1"/>
  <c r="E6635" i="1"/>
  <c r="E6634" i="1"/>
  <c r="E6633" i="1"/>
  <c r="E6632" i="1"/>
  <c r="E6631" i="1"/>
  <c r="E6630" i="1"/>
  <c r="E6629" i="1"/>
  <c r="E6628" i="1"/>
  <c r="E6627" i="1"/>
  <c r="E6626" i="1"/>
  <c r="E6625" i="1"/>
  <c r="E6624" i="1"/>
  <c r="E6623" i="1"/>
  <c r="E6622" i="1"/>
  <c r="E6621" i="1"/>
  <c r="E6620" i="1"/>
  <c r="E6619" i="1"/>
  <c r="E6618" i="1"/>
  <c r="E6617" i="1"/>
  <c r="E6616" i="1"/>
  <c r="E6615" i="1"/>
  <c r="E6614" i="1"/>
  <c r="E6613" i="1"/>
  <c r="E6612" i="1"/>
  <c r="E6611" i="1"/>
  <c r="E6610" i="1"/>
  <c r="E6609" i="1"/>
  <c r="E6608" i="1"/>
  <c r="E6607" i="1"/>
  <c r="E6606" i="1"/>
  <c r="E6605" i="1"/>
  <c r="E6604" i="1"/>
  <c r="E6603" i="1"/>
  <c r="E6602" i="1"/>
  <c r="E6601" i="1"/>
  <c r="E6600" i="1"/>
  <c r="E6599" i="1"/>
  <c r="E6598" i="1"/>
  <c r="E6597" i="1"/>
  <c r="E6596" i="1"/>
  <c r="E6595" i="1"/>
  <c r="E6594" i="1"/>
  <c r="E6593" i="1"/>
  <c r="E6592" i="1"/>
  <c r="E6591" i="1"/>
  <c r="E6590" i="1"/>
  <c r="E6589" i="1"/>
  <c r="E6588" i="1"/>
  <c r="E6587" i="1"/>
  <c r="E6586" i="1"/>
  <c r="E6585" i="1"/>
  <c r="E6584" i="1"/>
  <c r="E6583" i="1"/>
  <c r="E6582" i="1"/>
  <c r="E6581" i="1"/>
  <c r="E6580" i="1"/>
  <c r="E6579" i="1"/>
  <c r="E6578" i="1"/>
  <c r="E6577" i="1"/>
  <c r="E6576" i="1"/>
  <c r="E6575" i="1"/>
  <c r="E6574" i="1"/>
  <c r="E6573" i="1"/>
  <c r="E6572" i="1"/>
  <c r="E6571" i="1"/>
  <c r="E6570" i="1"/>
  <c r="E6569" i="1"/>
  <c r="E6568" i="1"/>
  <c r="E6567" i="1"/>
  <c r="E6566" i="1"/>
  <c r="E6565" i="1"/>
  <c r="E6564" i="1"/>
  <c r="E6563" i="1"/>
  <c r="E6562" i="1"/>
  <c r="E6561" i="1"/>
  <c r="E6560" i="1"/>
  <c r="E6559" i="1"/>
  <c r="E6558" i="1"/>
  <c r="E6557" i="1"/>
  <c r="E6556" i="1"/>
  <c r="E6555" i="1"/>
  <c r="E6554" i="1"/>
  <c r="E6553" i="1"/>
  <c r="E6552" i="1"/>
  <c r="E6551" i="1"/>
  <c r="E6550" i="1"/>
  <c r="E6549" i="1"/>
  <c r="E6548" i="1"/>
  <c r="E6547" i="1"/>
  <c r="E6546" i="1"/>
  <c r="E6545" i="1"/>
  <c r="E6544" i="1"/>
  <c r="E6543" i="1"/>
  <c r="E6542" i="1"/>
  <c r="E6541" i="1"/>
  <c r="E6540" i="1"/>
  <c r="E6539" i="1"/>
  <c r="E6538" i="1"/>
  <c r="E6537" i="1"/>
  <c r="E6536" i="1"/>
  <c r="E6535" i="1"/>
  <c r="E6534" i="1"/>
  <c r="E6533" i="1"/>
  <c r="E6532" i="1"/>
  <c r="E6531" i="1"/>
  <c r="E6530" i="1"/>
  <c r="E6529" i="1"/>
  <c r="E6528" i="1"/>
  <c r="E6527" i="1"/>
  <c r="E6526" i="1"/>
  <c r="E6525" i="1"/>
  <c r="E6524" i="1"/>
  <c r="E6523" i="1"/>
  <c r="E6522" i="1"/>
  <c r="E6521" i="1"/>
  <c r="E6520" i="1"/>
  <c r="E6519" i="1"/>
  <c r="E6518" i="1"/>
  <c r="E6517" i="1"/>
  <c r="E6516" i="1"/>
  <c r="E6515" i="1"/>
  <c r="E6514" i="1"/>
  <c r="E6513" i="1"/>
  <c r="E6512" i="1"/>
  <c r="E6511" i="1"/>
  <c r="E6510" i="1"/>
  <c r="E6509" i="1"/>
  <c r="E6508" i="1"/>
  <c r="E6507" i="1"/>
  <c r="E6506" i="1"/>
  <c r="E6505" i="1"/>
  <c r="E6504" i="1"/>
  <c r="E6503" i="1"/>
  <c r="E6502" i="1"/>
  <c r="E6501" i="1"/>
  <c r="E6500" i="1"/>
  <c r="E6499" i="1"/>
  <c r="E6498" i="1"/>
  <c r="E6497" i="1"/>
  <c r="E6496" i="1"/>
  <c r="E6495" i="1"/>
  <c r="E6494" i="1"/>
  <c r="E6493" i="1"/>
  <c r="E6492" i="1"/>
  <c r="E6491" i="1"/>
  <c r="E6490" i="1"/>
  <c r="E6489" i="1"/>
  <c r="E6488" i="1"/>
  <c r="E6487" i="1"/>
  <c r="E6486" i="1"/>
  <c r="E6485" i="1"/>
  <c r="E6484" i="1"/>
  <c r="E6483" i="1"/>
  <c r="E6482" i="1"/>
  <c r="E6481" i="1"/>
  <c r="E6480" i="1"/>
  <c r="E6479" i="1"/>
  <c r="E6478" i="1"/>
  <c r="E6477" i="1"/>
  <c r="E6476" i="1"/>
  <c r="E6475" i="1"/>
  <c r="E6474" i="1"/>
  <c r="E6473" i="1"/>
  <c r="E6472" i="1"/>
  <c r="E6471" i="1"/>
  <c r="E6470" i="1"/>
  <c r="E6469" i="1"/>
  <c r="E6468" i="1"/>
  <c r="E6467" i="1"/>
  <c r="E6466" i="1"/>
  <c r="E6465" i="1"/>
  <c r="E6464" i="1"/>
  <c r="E6463" i="1"/>
  <c r="E6462" i="1"/>
  <c r="E6461" i="1"/>
  <c r="E6460" i="1"/>
  <c r="E6459" i="1"/>
  <c r="E6458" i="1"/>
  <c r="E6457" i="1"/>
  <c r="E6456" i="1"/>
  <c r="E6455" i="1"/>
  <c r="E6454" i="1"/>
  <c r="E6453" i="1"/>
  <c r="E6452" i="1"/>
  <c r="E6451" i="1"/>
  <c r="E6450" i="1"/>
  <c r="E6449" i="1"/>
  <c r="E6448" i="1"/>
  <c r="E6447" i="1"/>
  <c r="E6446" i="1"/>
  <c r="E6445" i="1"/>
  <c r="E6444" i="1"/>
  <c r="E6443" i="1"/>
  <c r="E6442" i="1"/>
  <c r="E6441" i="1"/>
  <c r="E6440" i="1"/>
  <c r="E6439" i="1"/>
  <c r="E6438" i="1"/>
  <c r="E6437" i="1"/>
  <c r="E6436" i="1"/>
  <c r="E6435" i="1"/>
  <c r="E6434" i="1"/>
  <c r="E6433" i="1"/>
  <c r="E6432" i="1"/>
  <c r="E6431" i="1"/>
  <c r="E6430" i="1"/>
  <c r="E6429" i="1"/>
  <c r="E6428" i="1"/>
  <c r="E6427" i="1"/>
  <c r="E6426" i="1"/>
  <c r="E6425" i="1"/>
  <c r="E6424" i="1"/>
  <c r="E6423" i="1"/>
  <c r="E6422" i="1"/>
  <c r="E6421" i="1"/>
  <c r="E6420" i="1"/>
  <c r="E6419" i="1"/>
  <c r="E6418" i="1"/>
  <c r="E6417" i="1"/>
  <c r="E6416" i="1"/>
  <c r="E6415" i="1"/>
  <c r="E6414" i="1"/>
  <c r="E6413" i="1"/>
  <c r="E6412" i="1"/>
  <c r="E6411" i="1"/>
  <c r="E6410" i="1"/>
  <c r="E6409" i="1"/>
  <c r="E6408" i="1"/>
  <c r="E6407" i="1"/>
  <c r="E6406" i="1"/>
  <c r="E6405" i="1"/>
  <c r="E6404" i="1"/>
  <c r="E6403" i="1"/>
  <c r="E6402" i="1"/>
  <c r="E6401" i="1"/>
  <c r="E6400" i="1"/>
  <c r="E6399" i="1"/>
  <c r="E6398" i="1"/>
  <c r="E6397" i="1"/>
  <c r="E6396" i="1"/>
  <c r="E6395" i="1"/>
  <c r="E6394" i="1"/>
  <c r="E6393" i="1"/>
  <c r="E6392" i="1"/>
  <c r="E6391" i="1"/>
  <c r="E6390" i="1"/>
  <c r="E6389" i="1"/>
  <c r="E6388" i="1"/>
  <c r="E6387" i="1"/>
  <c r="E6386" i="1"/>
  <c r="E6385" i="1"/>
  <c r="E6384" i="1"/>
  <c r="E6383" i="1"/>
  <c r="E6382" i="1"/>
  <c r="E6381" i="1"/>
  <c r="E6380" i="1"/>
  <c r="E6379" i="1"/>
  <c r="E6378" i="1"/>
  <c r="E6377" i="1"/>
  <c r="E6376" i="1"/>
  <c r="E6375" i="1"/>
  <c r="E6374" i="1"/>
  <c r="E6373" i="1"/>
  <c r="E6372" i="1"/>
  <c r="E6371" i="1"/>
  <c r="E6370" i="1"/>
  <c r="E6369" i="1"/>
  <c r="E6368" i="1"/>
  <c r="E6367" i="1"/>
  <c r="E6366" i="1"/>
  <c r="E6365" i="1"/>
  <c r="E6364" i="1"/>
  <c r="E6363" i="1"/>
  <c r="E6362" i="1"/>
  <c r="E6361" i="1"/>
  <c r="E6360" i="1"/>
  <c r="E6359" i="1"/>
  <c r="E6358" i="1"/>
  <c r="E6357" i="1"/>
  <c r="E6356" i="1"/>
  <c r="E6355" i="1"/>
  <c r="E6354" i="1"/>
  <c r="E6353" i="1"/>
  <c r="E6352" i="1"/>
  <c r="E6351" i="1"/>
  <c r="E6350" i="1"/>
  <c r="E6349" i="1"/>
  <c r="E6348" i="1"/>
  <c r="E6347" i="1"/>
  <c r="E6346" i="1"/>
  <c r="E6345" i="1"/>
  <c r="E6344" i="1"/>
  <c r="E6343" i="1"/>
  <c r="E6342" i="1"/>
  <c r="E6341" i="1"/>
  <c r="E6340" i="1"/>
  <c r="E6339" i="1"/>
  <c r="E6338" i="1"/>
  <c r="E6337" i="1"/>
  <c r="E6336" i="1"/>
  <c r="E6335" i="1"/>
  <c r="E6334" i="1"/>
  <c r="E6333" i="1"/>
  <c r="E6332" i="1"/>
  <c r="E6331" i="1"/>
  <c r="E6330" i="1"/>
  <c r="E6329" i="1"/>
  <c r="E6328" i="1"/>
  <c r="E6327" i="1"/>
  <c r="E6326" i="1"/>
  <c r="E6325" i="1"/>
  <c r="E6324" i="1"/>
  <c r="E6323" i="1"/>
  <c r="E6322" i="1"/>
  <c r="E6321" i="1"/>
  <c r="E6320" i="1"/>
  <c r="E6319" i="1"/>
  <c r="E6318" i="1"/>
  <c r="E6317" i="1"/>
  <c r="E6316" i="1"/>
  <c r="E6315" i="1"/>
  <c r="E6314" i="1"/>
  <c r="E6313" i="1"/>
  <c r="E6312" i="1"/>
  <c r="E6311" i="1"/>
  <c r="E6310" i="1"/>
  <c r="E6309" i="1"/>
  <c r="E6308" i="1"/>
  <c r="E6307" i="1"/>
  <c r="E6306" i="1"/>
  <c r="E6305" i="1"/>
  <c r="E6304" i="1"/>
  <c r="E6303" i="1"/>
  <c r="E6302" i="1"/>
  <c r="E6301" i="1"/>
  <c r="E6300" i="1"/>
  <c r="E6299" i="1"/>
  <c r="E6298" i="1"/>
  <c r="E6297" i="1"/>
  <c r="E6296" i="1"/>
  <c r="E6295" i="1"/>
  <c r="E6294" i="1"/>
  <c r="E6293" i="1"/>
  <c r="E6292" i="1"/>
  <c r="E6291" i="1"/>
  <c r="E6290" i="1"/>
  <c r="E6289" i="1"/>
  <c r="E6288" i="1"/>
  <c r="E6287" i="1"/>
  <c r="E6286" i="1"/>
  <c r="E6285" i="1"/>
  <c r="E6284" i="1"/>
  <c r="E6283" i="1"/>
  <c r="E6282" i="1"/>
  <c r="E6281" i="1"/>
  <c r="E6280" i="1"/>
  <c r="E6279" i="1"/>
  <c r="E6278" i="1"/>
  <c r="E6277" i="1"/>
  <c r="E6276" i="1"/>
  <c r="E6275" i="1"/>
  <c r="E6274" i="1"/>
  <c r="E6273" i="1"/>
  <c r="E6272" i="1"/>
  <c r="E6271" i="1"/>
  <c r="E6270" i="1"/>
  <c r="E6269" i="1"/>
  <c r="E6268" i="1"/>
  <c r="E6267" i="1"/>
  <c r="E6266" i="1"/>
  <c r="E6265" i="1"/>
  <c r="E6264" i="1"/>
  <c r="E6263" i="1"/>
  <c r="E6262" i="1"/>
  <c r="E6261" i="1"/>
  <c r="E6260" i="1"/>
  <c r="E6259" i="1"/>
  <c r="E6258" i="1"/>
  <c r="E6257" i="1"/>
  <c r="E6256" i="1"/>
  <c r="E6255" i="1"/>
  <c r="E6254" i="1"/>
  <c r="E6253" i="1"/>
  <c r="E6252" i="1"/>
  <c r="E6251" i="1"/>
  <c r="E6250" i="1"/>
  <c r="E6249" i="1"/>
  <c r="E6248" i="1"/>
  <c r="E6247" i="1"/>
  <c r="E6246" i="1"/>
  <c r="E6245" i="1"/>
  <c r="E6244" i="1"/>
  <c r="E6243" i="1"/>
  <c r="E6242" i="1"/>
  <c r="E6241" i="1"/>
  <c r="E6240" i="1"/>
  <c r="E6239" i="1"/>
  <c r="E6238" i="1"/>
  <c r="E6237" i="1"/>
  <c r="E6236" i="1"/>
  <c r="E6235" i="1"/>
  <c r="E6234" i="1"/>
  <c r="E6233" i="1"/>
  <c r="E6232" i="1"/>
  <c r="E6231" i="1"/>
  <c r="E6230" i="1"/>
  <c r="E6229" i="1"/>
  <c r="E6228" i="1"/>
  <c r="E6227" i="1"/>
  <c r="E6226" i="1"/>
  <c r="E6225" i="1"/>
  <c r="E6224" i="1"/>
  <c r="E6223" i="1"/>
  <c r="E6222" i="1"/>
  <c r="E6221" i="1"/>
  <c r="E6220" i="1"/>
  <c r="E6219" i="1"/>
  <c r="E6218" i="1"/>
  <c r="E6217" i="1"/>
  <c r="E6216" i="1"/>
  <c r="E6215" i="1"/>
  <c r="E6214" i="1"/>
  <c r="E6213" i="1"/>
  <c r="E6212" i="1"/>
  <c r="E6211" i="1"/>
  <c r="E6210" i="1"/>
  <c r="E6209" i="1"/>
  <c r="E6208" i="1"/>
  <c r="E6207" i="1"/>
  <c r="E6206" i="1"/>
  <c r="E6205" i="1"/>
  <c r="E6204" i="1"/>
  <c r="E6203" i="1"/>
  <c r="E6202" i="1"/>
  <c r="E6201" i="1"/>
  <c r="E6200" i="1"/>
  <c r="E6199" i="1"/>
  <c r="E6198" i="1"/>
  <c r="E6197" i="1"/>
  <c r="E6196" i="1"/>
  <c r="E6195" i="1"/>
  <c r="E6194" i="1"/>
  <c r="E6193" i="1"/>
  <c r="E6192" i="1"/>
  <c r="E6191" i="1"/>
  <c r="E6190" i="1"/>
  <c r="E6189" i="1"/>
  <c r="E6188" i="1"/>
  <c r="E6187" i="1"/>
  <c r="E6186" i="1"/>
  <c r="E6185" i="1"/>
  <c r="E6184" i="1"/>
  <c r="E6183" i="1"/>
  <c r="E6182" i="1"/>
  <c r="E6181" i="1"/>
  <c r="E6180" i="1"/>
  <c r="E6179" i="1"/>
  <c r="E6178" i="1"/>
  <c r="E6177" i="1"/>
  <c r="E6176" i="1"/>
  <c r="E6175" i="1"/>
  <c r="E6174" i="1"/>
  <c r="E6173" i="1"/>
  <c r="E6172" i="1"/>
  <c r="E6171" i="1"/>
  <c r="E6170" i="1"/>
  <c r="E6169" i="1"/>
  <c r="E6168" i="1"/>
  <c r="E6167" i="1"/>
  <c r="E6166" i="1"/>
  <c r="E6165" i="1"/>
  <c r="E6164" i="1"/>
  <c r="E6163" i="1"/>
  <c r="E6162" i="1"/>
  <c r="E6161" i="1"/>
  <c r="E6160" i="1"/>
  <c r="E6159" i="1"/>
  <c r="E6158" i="1"/>
  <c r="E6157" i="1"/>
  <c r="E6156" i="1"/>
  <c r="E6155" i="1"/>
  <c r="E6154" i="1"/>
  <c r="E6153" i="1"/>
  <c r="E6152" i="1"/>
  <c r="E6151" i="1"/>
  <c r="E6150" i="1"/>
  <c r="E6149" i="1"/>
  <c r="E6148" i="1"/>
  <c r="E6147" i="1"/>
  <c r="E6146" i="1"/>
  <c r="E6145" i="1"/>
  <c r="E6144" i="1"/>
  <c r="E6143" i="1"/>
  <c r="E6142" i="1"/>
  <c r="E6141" i="1"/>
  <c r="E6140" i="1"/>
  <c r="E6139" i="1"/>
  <c r="E6138" i="1"/>
  <c r="E6137" i="1"/>
  <c r="E6136" i="1"/>
  <c r="E6135" i="1"/>
  <c r="E6134" i="1"/>
  <c r="E6133" i="1"/>
  <c r="E6132" i="1"/>
  <c r="E6131" i="1"/>
  <c r="E6130" i="1"/>
  <c r="E6129" i="1"/>
  <c r="E6128" i="1"/>
  <c r="E6127" i="1"/>
  <c r="E6126" i="1"/>
  <c r="E6125" i="1"/>
  <c r="E6124" i="1"/>
  <c r="E6123" i="1"/>
  <c r="E6122" i="1"/>
  <c r="E6121" i="1"/>
  <c r="E6120" i="1"/>
  <c r="E6119" i="1"/>
  <c r="E6118" i="1"/>
  <c r="E6117" i="1"/>
  <c r="E6116" i="1"/>
  <c r="E6115" i="1"/>
  <c r="E6114" i="1"/>
  <c r="E6113" i="1"/>
  <c r="E6112" i="1"/>
  <c r="E6111" i="1"/>
  <c r="E6110" i="1"/>
  <c r="E6109" i="1"/>
  <c r="E6108" i="1"/>
  <c r="E6107" i="1"/>
  <c r="E6106" i="1"/>
  <c r="E6105" i="1"/>
  <c r="E6104" i="1"/>
  <c r="E6103" i="1"/>
  <c r="E6102" i="1"/>
  <c r="E6101" i="1"/>
  <c r="E6100" i="1"/>
  <c r="E6099" i="1"/>
  <c r="E6098" i="1"/>
  <c r="E6097" i="1"/>
  <c r="E6096" i="1"/>
  <c r="E6095" i="1"/>
  <c r="E6094" i="1"/>
  <c r="E6093" i="1"/>
  <c r="E6092" i="1"/>
  <c r="E6091" i="1"/>
  <c r="E6090" i="1"/>
  <c r="E6089" i="1"/>
  <c r="E6088" i="1"/>
  <c r="E6087" i="1"/>
  <c r="E6086" i="1"/>
  <c r="E6085" i="1"/>
  <c r="E6084" i="1"/>
  <c r="E6083" i="1"/>
  <c r="E6082" i="1"/>
  <c r="E6081" i="1"/>
  <c r="E6080" i="1"/>
  <c r="E6079" i="1"/>
  <c r="E6078" i="1"/>
  <c r="E6077" i="1"/>
  <c r="E6076" i="1"/>
  <c r="E6075" i="1"/>
  <c r="E6074" i="1"/>
  <c r="E6073" i="1"/>
  <c r="E6072" i="1"/>
  <c r="E6071" i="1"/>
  <c r="E6070" i="1"/>
  <c r="E6069" i="1"/>
  <c r="E6068" i="1"/>
  <c r="E6067" i="1"/>
  <c r="E6066" i="1"/>
  <c r="E6065" i="1"/>
  <c r="E6064" i="1"/>
  <c r="E6063" i="1"/>
  <c r="E6062" i="1"/>
  <c r="E6061" i="1"/>
  <c r="E6060" i="1"/>
  <c r="E6059" i="1"/>
  <c r="E6058" i="1"/>
  <c r="E6057" i="1"/>
  <c r="E6056" i="1"/>
  <c r="E6055" i="1"/>
  <c r="E6054" i="1"/>
  <c r="E6053" i="1"/>
  <c r="E6052" i="1"/>
  <c r="E6051" i="1"/>
  <c r="E6050" i="1"/>
  <c r="E6049" i="1"/>
  <c r="E6048" i="1"/>
  <c r="E6047" i="1"/>
  <c r="E6046" i="1"/>
  <c r="E6045" i="1"/>
  <c r="E6044" i="1"/>
  <c r="E6043" i="1"/>
  <c r="E6042" i="1"/>
  <c r="E6041" i="1"/>
  <c r="E6040" i="1"/>
  <c r="E6039" i="1"/>
  <c r="E6038" i="1"/>
  <c r="E6037" i="1"/>
  <c r="E6036" i="1"/>
  <c r="E6035" i="1"/>
  <c r="E6034" i="1"/>
  <c r="E6033" i="1"/>
  <c r="E6032" i="1"/>
  <c r="E6031" i="1"/>
  <c r="E6030" i="1"/>
  <c r="E6029" i="1"/>
  <c r="E6028" i="1"/>
  <c r="E6027" i="1"/>
  <c r="E6026" i="1"/>
  <c r="E6025" i="1"/>
  <c r="E6024" i="1"/>
  <c r="E6023" i="1"/>
  <c r="E6022" i="1"/>
  <c r="E6021" i="1"/>
  <c r="E6020" i="1"/>
  <c r="E6019" i="1"/>
  <c r="E6018" i="1"/>
  <c r="E6017" i="1"/>
  <c r="E6016" i="1"/>
  <c r="E6015" i="1"/>
  <c r="E6014" i="1"/>
  <c r="E6013" i="1"/>
  <c r="E6012" i="1"/>
  <c r="E6011" i="1"/>
  <c r="E6010" i="1"/>
  <c r="E6009" i="1"/>
  <c r="E6008" i="1"/>
  <c r="E6007" i="1"/>
  <c r="E6006" i="1"/>
  <c r="E6005" i="1"/>
  <c r="E6004" i="1"/>
  <c r="E6003" i="1"/>
  <c r="E6002" i="1"/>
  <c r="E6001" i="1"/>
  <c r="E6000" i="1"/>
  <c r="E5999" i="1"/>
  <c r="E5998" i="1"/>
  <c r="E5997" i="1"/>
  <c r="E5996" i="1"/>
  <c r="E5995" i="1"/>
  <c r="E5994" i="1"/>
  <c r="E5993" i="1"/>
  <c r="E5992" i="1"/>
  <c r="E5991" i="1"/>
  <c r="E5990" i="1"/>
  <c r="E5989" i="1"/>
  <c r="E5988" i="1"/>
  <c r="E5987" i="1"/>
  <c r="E5986" i="1"/>
  <c r="E5985" i="1"/>
  <c r="E5984" i="1"/>
  <c r="E5983" i="1"/>
  <c r="E5982" i="1"/>
  <c r="E5981" i="1"/>
  <c r="E5980" i="1"/>
  <c r="E5979" i="1"/>
  <c r="E5978" i="1"/>
  <c r="E5977" i="1"/>
  <c r="E5976" i="1"/>
  <c r="E5975" i="1"/>
  <c r="E5974" i="1"/>
  <c r="E5973" i="1"/>
  <c r="E5972" i="1"/>
  <c r="E5971" i="1"/>
  <c r="E5970" i="1"/>
  <c r="E5969" i="1"/>
  <c r="E5968" i="1"/>
  <c r="E5967" i="1"/>
  <c r="E5966" i="1"/>
  <c r="E5965" i="1"/>
  <c r="E5964" i="1"/>
  <c r="E5963" i="1"/>
  <c r="E5962" i="1"/>
  <c r="E5961" i="1"/>
  <c r="E5960" i="1"/>
  <c r="E5959" i="1"/>
  <c r="E5958" i="1"/>
  <c r="E5957" i="1"/>
  <c r="E5956" i="1"/>
  <c r="E5955" i="1"/>
  <c r="E5954" i="1"/>
  <c r="E5953" i="1"/>
  <c r="E5952" i="1"/>
  <c r="E5951" i="1"/>
  <c r="E5950" i="1"/>
  <c r="E5949" i="1"/>
  <c r="E5948" i="1"/>
  <c r="E5947" i="1"/>
  <c r="E5946" i="1"/>
  <c r="E5945" i="1"/>
  <c r="E5944" i="1"/>
  <c r="E5943" i="1"/>
  <c r="E5942" i="1"/>
  <c r="E5941" i="1"/>
  <c r="E5940" i="1"/>
  <c r="E5939" i="1"/>
  <c r="E5938" i="1"/>
  <c r="E5937" i="1"/>
  <c r="E5936" i="1"/>
  <c r="E5935" i="1"/>
  <c r="E5934" i="1"/>
  <c r="E5933" i="1"/>
  <c r="E5932" i="1"/>
  <c r="E5931" i="1"/>
  <c r="E5930" i="1"/>
  <c r="E5929" i="1"/>
  <c r="E5928" i="1"/>
  <c r="E5927" i="1"/>
  <c r="E5926" i="1"/>
  <c r="E5925" i="1"/>
  <c r="E5924" i="1"/>
  <c r="E5923" i="1"/>
  <c r="E5922" i="1"/>
  <c r="E5921" i="1"/>
  <c r="E5920" i="1"/>
  <c r="E5919" i="1"/>
  <c r="E5918" i="1"/>
  <c r="E5917" i="1"/>
  <c r="E5916" i="1"/>
  <c r="E5915" i="1"/>
  <c r="E5914" i="1"/>
  <c r="E5913" i="1"/>
  <c r="E5912" i="1"/>
  <c r="E5911" i="1"/>
  <c r="E5910" i="1"/>
  <c r="E5909" i="1"/>
  <c r="E5908" i="1"/>
  <c r="E5907" i="1"/>
  <c r="E5906" i="1"/>
  <c r="E5905" i="1"/>
  <c r="E5904" i="1"/>
  <c r="E5903" i="1"/>
  <c r="E5902" i="1"/>
  <c r="E5901" i="1"/>
  <c r="E5900" i="1"/>
  <c r="E5899" i="1"/>
  <c r="E5898" i="1"/>
  <c r="E5897" i="1"/>
  <c r="E5896" i="1"/>
  <c r="E5895" i="1"/>
  <c r="E5894" i="1"/>
  <c r="E5893" i="1"/>
  <c r="E5892" i="1"/>
  <c r="E5891" i="1"/>
  <c r="E5890" i="1"/>
  <c r="E5889" i="1"/>
  <c r="E5888" i="1"/>
  <c r="E5887" i="1"/>
  <c r="E5886" i="1"/>
  <c r="E5885" i="1"/>
  <c r="E5884" i="1"/>
  <c r="E5883" i="1"/>
  <c r="E5882" i="1"/>
  <c r="E5881" i="1"/>
  <c r="E5880" i="1"/>
  <c r="E5879" i="1"/>
  <c r="E5878" i="1"/>
  <c r="E5877" i="1"/>
  <c r="E5876" i="1"/>
  <c r="E5875" i="1"/>
  <c r="E5874" i="1"/>
  <c r="E5873" i="1"/>
  <c r="E5872" i="1"/>
  <c r="E5871" i="1"/>
  <c r="E5870" i="1"/>
  <c r="E5869" i="1"/>
  <c r="E5868" i="1"/>
  <c r="E5867" i="1"/>
  <c r="E5866" i="1"/>
  <c r="E5865" i="1"/>
  <c r="E5864" i="1"/>
  <c r="E5863" i="1"/>
  <c r="E5862" i="1"/>
  <c r="E5861" i="1"/>
  <c r="E5860" i="1"/>
  <c r="E5859" i="1"/>
  <c r="E5858" i="1"/>
  <c r="E5857" i="1"/>
  <c r="E5856" i="1"/>
  <c r="E5855" i="1"/>
  <c r="E5854" i="1"/>
  <c r="E5853" i="1"/>
  <c r="E5852" i="1"/>
  <c r="E5851" i="1"/>
  <c r="E5850" i="1"/>
  <c r="E5849" i="1"/>
  <c r="E5848" i="1"/>
  <c r="E5847" i="1"/>
  <c r="E5846" i="1"/>
  <c r="E5845" i="1"/>
  <c r="E5844" i="1"/>
  <c r="E5843" i="1"/>
  <c r="E5842" i="1"/>
  <c r="E5841" i="1"/>
  <c r="E5840" i="1"/>
  <c r="E5839" i="1"/>
  <c r="E5838" i="1"/>
  <c r="E5837" i="1"/>
  <c r="E5836" i="1"/>
  <c r="E5835" i="1"/>
  <c r="E5834" i="1"/>
  <c r="E5833" i="1"/>
  <c r="E5832" i="1"/>
  <c r="E5831" i="1"/>
  <c r="E5830" i="1"/>
  <c r="E5829" i="1"/>
  <c r="E5828" i="1"/>
  <c r="E5827" i="1"/>
  <c r="E5826" i="1"/>
  <c r="E5825" i="1"/>
  <c r="E5824" i="1"/>
  <c r="E5823" i="1"/>
  <c r="E5822" i="1"/>
  <c r="E5821" i="1"/>
  <c r="E5820" i="1"/>
  <c r="E5819" i="1"/>
  <c r="E5818" i="1"/>
  <c r="E5817" i="1"/>
  <c r="E5816" i="1"/>
  <c r="E5815" i="1"/>
  <c r="E5814" i="1"/>
  <c r="E5813" i="1"/>
  <c r="E5812" i="1"/>
  <c r="E5811" i="1"/>
  <c r="E5810" i="1"/>
  <c r="E5809" i="1"/>
  <c r="E5808" i="1"/>
  <c r="E5807" i="1"/>
  <c r="E5806" i="1"/>
  <c r="E5805" i="1"/>
  <c r="E5804" i="1"/>
  <c r="E5803" i="1"/>
  <c r="E5802" i="1"/>
  <c r="E5801" i="1"/>
  <c r="E5800" i="1"/>
  <c r="E5799" i="1"/>
  <c r="E5798" i="1"/>
  <c r="E5797" i="1"/>
  <c r="E5796" i="1"/>
  <c r="E5795" i="1"/>
  <c r="E5794" i="1"/>
  <c r="E5793" i="1"/>
  <c r="E5792" i="1"/>
  <c r="E5791" i="1"/>
  <c r="E5790" i="1"/>
  <c r="E5789" i="1"/>
  <c r="E5788" i="1"/>
  <c r="E5787" i="1"/>
  <c r="E5786" i="1"/>
  <c r="E5785" i="1"/>
  <c r="E5784" i="1"/>
  <c r="E5783" i="1"/>
  <c r="E5782" i="1"/>
  <c r="E5781" i="1"/>
  <c r="E5780" i="1"/>
  <c r="E5779" i="1"/>
  <c r="E5778" i="1"/>
  <c r="E5777" i="1"/>
  <c r="E5776" i="1"/>
  <c r="E5775" i="1"/>
  <c r="E5774" i="1"/>
  <c r="E5773" i="1"/>
  <c r="E5772" i="1"/>
  <c r="E5771" i="1"/>
  <c r="E5770" i="1"/>
  <c r="E5769" i="1"/>
  <c r="E5768" i="1"/>
  <c r="E5767" i="1"/>
  <c r="E5766" i="1"/>
  <c r="E5765" i="1"/>
  <c r="E5764" i="1"/>
  <c r="E5763" i="1"/>
  <c r="E5762" i="1"/>
  <c r="E5761" i="1"/>
  <c r="E5760" i="1"/>
  <c r="E5759" i="1"/>
  <c r="E5758" i="1"/>
  <c r="E5757" i="1"/>
  <c r="E5756" i="1"/>
  <c r="E5755" i="1"/>
  <c r="E5754" i="1"/>
  <c r="E5753" i="1"/>
  <c r="E5752" i="1"/>
  <c r="E5751" i="1"/>
  <c r="E5750" i="1"/>
  <c r="E5749" i="1"/>
  <c r="E5748" i="1"/>
  <c r="E5747" i="1"/>
  <c r="E5746" i="1"/>
  <c r="E5745" i="1"/>
  <c r="E5744" i="1"/>
  <c r="E5743" i="1"/>
  <c r="E5742" i="1"/>
  <c r="E5741" i="1"/>
  <c r="E5740" i="1"/>
  <c r="E5739" i="1"/>
  <c r="E5738" i="1"/>
  <c r="E5737" i="1"/>
  <c r="E5736" i="1"/>
  <c r="E5735" i="1"/>
  <c r="E5734" i="1"/>
  <c r="E5733" i="1"/>
  <c r="E5732" i="1"/>
  <c r="E5731" i="1"/>
  <c r="E5730" i="1"/>
  <c r="E5729" i="1"/>
  <c r="E5728" i="1"/>
  <c r="E5727" i="1"/>
  <c r="E5726" i="1"/>
  <c r="E5725" i="1"/>
  <c r="E5724" i="1"/>
  <c r="E5723" i="1"/>
  <c r="E5722" i="1"/>
  <c r="E5721" i="1"/>
  <c r="E5720" i="1"/>
  <c r="E5719" i="1"/>
  <c r="E5718" i="1"/>
  <c r="E5717" i="1"/>
  <c r="E5716" i="1"/>
  <c r="E5715" i="1"/>
  <c r="E5714" i="1"/>
  <c r="E5713" i="1"/>
  <c r="E5712" i="1"/>
  <c r="E5711" i="1"/>
  <c r="E5710" i="1"/>
  <c r="E5709" i="1"/>
  <c r="E5708" i="1"/>
  <c r="E5707" i="1"/>
  <c r="E5706" i="1"/>
  <c r="E5705" i="1"/>
  <c r="E5704" i="1"/>
  <c r="E5703" i="1"/>
  <c r="E5702" i="1"/>
  <c r="E5701" i="1"/>
  <c r="E5700" i="1"/>
  <c r="E5699" i="1"/>
  <c r="E5698" i="1"/>
  <c r="E5697" i="1"/>
  <c r="E5696" i="1"/>
  <c r="E5695" i="1"/>
  <c r="E5694" i="1"/>
  <c r="E5693" i="1"/>
  <c r="E5692" i="1"/>
  <c r="E5691" i="1"/>
  <c r="E5690" i="1"/>
  <c r="E5689" i="1"/>
  <c r="E5688" i="1"/>
  <c r="E5687" i="1"/>
  <c r="E5686" i="1"/>
  <c r="E5685" i="1"/>
  <c r="E5684" i="1"/>
  <c r="E5683" i="1"/>
  <c r="E5682" i="1"/>
  <c r="E5681" i="1"/>
  <c r="E5680" i="1"/>
  <c r="E5679" i="1"/>
  <c r="E5678" i="1"/>
  <c r="E5677" i="1"/>
  <c r="E5676" i="1"/>
  <c r="E5675" i="1"/>
  <c r="E5674" i="1"/>
  <c r="E5673" i="1"/>
  <c r="E5672" i="1"/>
  <c r="E5671" i="1"/>
  <c r="E5670" i="1"/>
  <c r="E5669" i="1"/>
  <c r="E5668" i="1"/>
  <c r="E5667" i="1"/>
  <c r="E5666" i="1"/>
  <c r="E5665" i="1"/>
  <c r="E5664" i="1"/>
  <c r="E5663" i="1"/>
  <c r="E5662" i="1"/>
  <c r="E5661" i="1"/>
  <c r="E5660" i="1"/>
  <c r="E5659" i="1"/>
  <c r="E5658" i="1"/>
  <c r="E5657" i="1"/>
  <c r="E5656" i="1"/>
  <c r="E5655" i="1"/>
  <c r="E5654" i="1"/>
  <c r="E5653" i="1"/>
  <c r="E5652" i="1"/>
  <c r="E5651" i="1"/>
  <c r="E5650" i="1"/>
  <c r="E5649" i="1"/>
  <c r="E5648" i="1"/>
  <c r="E5647" i="1"/>
  <c r="E5646" i="1"/>
  <c r="E5645" i="1"/>
  <c r="E5644" i="1"/>
  <c r="E5643" i="1"/>
  <c r="E5642" i="1"/>
  <c r="E5641" i="1"/>
  <c r="E5640" i="1"/>
  <c r="E5639" i="1"/>
  <c r="E5638" i="1"/>
  <c r="E5637" i="1"/>
  <c r="E5636" i="1"/>
  <c r="E5635" i="1"/>
  <c r="E5634" i="1"/>
  <c r="E5633" i="1"/>
  <c r="E5632" i="1"/>
  <c r="E5631" i="1"/>
  <c r="E5630" i="1"/>
  <c r="E5629" i="1"/>
  <c r="E5628" i="1"/>
  <c r="E5627" i="1"/>
  <c r="E5626" i="1"/>
  <c r="E5625" i="1"/>
  <c r="E5624" i="1"/>
  <c r="E5623" i="1"/>
  <c r="E5622" i="1"/>
  <c r="E5621" i="1"/>
  <c r="E5620" i="1"/>
  <c r="E5619" i="1"/>
  <c r="E5618" i="1"/>
  <c r="E5617" i="1"/>
  <c r="E5616" i="1"/>
  <c r="E5615" i="1"/>
  <c r="E5614" i="1"/>
  <c r="E5613" i="1"/>
  <c r="E5612" i="1"/>
  <c r="E5611" i="1"/>
  <c r="E5610" i="1"/>
  <c r="E5609" i="1"/>
  <c r="E5608" i="1"/>
  <c r="E5607" i="1"/>
  <c r="E5606" i="1"/>
  <c r="E5605" i="1"/>
  <c r="E5604" i="1"/>
  <c r="E5603" i="1"/>
  <c r="E5602" i="1"/>
  <c r="E5601" i="1"/>
  <c r="E5600" i="1"/>
  <c r="E5599" i="1"/>
  <c r="E5598" i="1"/>
  <c r="E5597" i="1"/>
  <c r="E5596" i="1"/>
  <c r="E5595" i="1"/>
  <c r="E5594" i="1"/>
  <c r="E5593" i="1"/>
  <c r="E5592" i="1"/>
  <c r="E5591" i="1"/>
  <c r="E5590" i="1"/>
  <c r="E5589" i="1"/>
  <c r="E5588" i="1"/>
  <c r="E5587" i="1"/>
  <c r="E5586" i="1"/>
  <c r="E5585" i="1"/>
  <c r="E5584" i="1"/>
  <c r="E5583" i="1"/>
  <c r="E5582" i="1"/>
  <c r="E5581" i="1"/>
  <c r="E5580" i="1"/>
  <c r="E5579" i="1"/>
  <c r="E5578" i="1"/>
  <c r="E5577" i="1"/>
  <c r="E5576" i="1"/>
  <c r="E5575" i="1"/>
  <c r="E5574" i="1"/>
  <c r="E5573" i="1"/>
  <c r="E5572" i="1"/>
  <c r="E5571" i="1"/>
  <c r="E5570" i="1"/>
  <c r="E5569" i="1"/>
  <c r="E5568" i="1"/>
  <c r="E5567" i="1"/>
  <c r="E5566" i="1"/>
  <c r="E5565" i="1"/>
  <c r="E5564" i="1"/>
  <c r="E5563" i="1"/>
  <c r="E5562" i="1"/>
  <c r="E5561" i="1"/>
  <c r="E5560" i="1"/>
  <c r="E5559" i="1"/>
  <c r="E5558" i="1"/>
  <c r="E5557" i="1"/>
  <c r="E5556" i="1"/>
  <c r="E5555" i="1"/>
  <c r="E5554" i="1"/>
  <c r="E5553" i="1"/>
  <c r="E5552" i="1"/>
  <c r="E5551" i="1"/>
  <c r="E5550" i="1"/>
  <c r="E5549" i="1"/>
  <c r="E5548" i="1"/>
  <c r="E5547" i="1"/>
  <c r="E5546" i="1"/>
  <c r="E5545" i="1"/>
  <c r="E5544" i="1"/>
  <c r="E5543" i="1"/>
  <c r="E5542" i="1"/>
  <c r="E5541" i="1"/>
  <c r="E5540" i="1"/>
  <c r="E5539" i="1"/>
  <c r="E5538" i="1"/>
  <c r="E5537" i="1"/>
  <c r="E5536" i="1"/>
  <c r="E5535" i="1"/>
  <c r="E5534" i="1"/>
  <c r="E5533" i="1"/>
  <c r="E5532" i="1"/>
  <c r="E5531" i="1"/>
  <c r="E5530" i="1"/>
  <c r="E5529" i="1"/>
  <c r="E5528" i="1"/>
  <c r="E5527" i="1"/>
  <c r="E5526" i="1"/>
  <c r="E5525" i="1"/>
  <c r="E5524" i="1"/>
  <c r="E5523" i="1"/>
  <c r="E5522" i="1"/>
  <c r="E5521" i="1"/>
  <c r="E5520" i="1"/>
  <c r="E5519" i="1"/>
  <c r="E5518" i="1"/>
  <c r="E5517" i="1"/>
  <c r="E5516" i="1"/>
  <c r="E5515" i="1"/>
  <c r="E5514" i="1"/>
  <c r="E5513" i="1"/>
  <c r="E5512" i="1"/>
  <c r="E5511" i="1"/>
  <c r="E5510" i="1"/>
  <c r="E5509" i="1"/>
  <c r="E5508" i="1"/>
  <c r="E5507" i="1"/>
  <c r="E5506" i="1"/>
  <c r="E5505" i="1"/>
  <c r="E5504" i="1"/>
  <c r="E5503" i="1"/>
  <c r="E5502" i="1"/>
  <c r="E5501" i="1"/>
  <c r="E5500" i="1"/>
  <c r="E5499" i="1"/>
  <c r="E5498" i="1"/>
  <c r="E5497" i="1"/>
  <c r="E5496" i="1"/>
  <c r="E5495" i="1"/>
  <c r="E5494" i="1"/>
  <c r="E5493" i="1"/>
  <c r="E5492" i="1"/>
  <c r="E5491" i="1"/>
  <c r="E5490" i="1"/>
  <c r="E5489" i="1"/>
  <c r="E5488" i="1"/>
  <c r="E5487" i="1"/>
  <c r="E5486" i="1"/>
  <c r="E5485" i="1"/>
  <c r="E5484" i="1"/>
  <c r="E5483" i="1"/>
  <c r="E5482" i="1"/>
  <c r="E5481" i="1"/>
  <c r="E5480" i="1"/>
  <c r="E5479" i="1"/>
  <c r="E5478" i="1"/>
  <c r="E5477" i="1"/>
  <c r="E5476" i="1"/>
  <c r="E5475" i="1"/>
  <c r="E5474" i="1"/>
  <c r="E5473" i="1"/>
  <c r="E5472" i="1"/>
  <c r="E5471" i="1"/>
  <c r="E5470" i="1"/>
  <c r="E5469" i="1"/>
  <c r="E5468" i="1"/>
  <c r="E5467" i="1"/>
  <c r="E5466" i="1"/>
  <c r="E5465" i="1"/>
  <c r="E5464" i="1"/>
  <c r="E5463" i="1"/>
  <c r="E5462" i="1"/>
  <c r="E5461" i="1"/>
  <c r="E5460" i="1"/>
  <c r="E5459" i="1"/>
  <c r="E5458" i="1"/>
  <c r="E5457" i="1"/>
  <c r="E5456" i="1"/>
  <c r="E5455" i="1"/>
  <c r="E5454" i="1"/>
  <c r="E5453" i="1"/>
  <c r="E5452" i="1"/>
  <c r="E5451" i="1"/>
  <c r="E5450" i="1"/>
  <c r="E5449" i="1"/>
  <c r="E5448" i="1"/>
  <c r="E5447" i="1"/>
  <c r="E5446" i="1"/>
  <c r="E5445" i="1"/>
  <c r="E5444" i="1"/>
  <c r="E5443" i="1"/>
  <c r="E5442" i="1"/>
  <c r="E5441" i="1"/>
  <c r="E5440" i="1"/>
  <c r="E5439" i="1"/>
  <c r="E5438" i="1"/>
  <c r="E5437" i="1"/>
  <c r="E5436" i="1"/>
  <c r="E5435" i="1"/>
  <c r="E5434" i="1"/>
  <c r="E5433" i="1"/>
  <c r="E5432" i="1"/>
  <c r="E5431" i="1"/>
  <c r="E5430" i="1"/>
  <c r="E5429" i="1"/>
  <c r="E5428" i="1"/>
  <c r="E5427" i="1"/>
  <c r="E5426" i="1"/>
  <c r="E5425" i="1"/>
  <c r="E5424" i="1"/>
  <c r="E5423" i="1"/>
  <c r="E5422" i="1"/>
  <c r="E5421" i="1"/>
  <c r="E5420" i="1"/>
  <c r="E5419" i="1"/>
  <c r="E5418" i="1"/>
  <c r="E5417" i="1"/>
  <c r="E5416" i="1"/>
  <c r="E5415" i="1"/>
  <c r="E5414" i="1"/>
  <c r="E5413" i="1"/>
  <c r="E5412" i="1"/>
  <c r="E5411" i="1"/>
  <c r="E5410" i="1"/>
  <c r="E5409" i="1"/>
  <c r="E5408" i="1"/>
  <c r="E5407" i="1"/>
  <c r="E5406" i="1"/>
  <c r="E5405" i="1"/>
  <c r="E5404" i="1"/>
  <c r="E5403" i="1"/>
  <c r="E5402" i="1"/>
  <c r="E5401" i="1"/>
  <c r="E5400" i="1"/>
  <c r="E5399" i="1"/>
  <c r="E5398" i="1"/>
  <c r="E5397" i="1"/>
  <c r="E5396" i="1"/>
  <c r="E5395" i="1"/>
  <c r="E5394" i="1"/>
  <c r="E5393" i="1"/>
  <c r="E5392" i="1"/>
  <c r="E5391" i="1"/>
  <c r="E5390" i="1"/>
  <c r="E5389" i="1"/>
  <c r="E5388" i="1"/>
  <c r="E5387" i="1"/>
  <c r="E5386" i="1"/>
  <c r="E5385" i="1"/>
  <c r="E5384" i="1"/>
  <c r="E5383" i="1"/>
  <c r="E5382" i="1"/>
  <c r="E5381" i="1"/>
  <c r="E5380" i="1"/>
  <c r="E5379" i="1"/>
  <c r="E5378" i="1"/>
  <c r="E5377" i="1"/>
  <c r="E5376" i="1"/>
  <c r="E5375" i="1"/>
  <c r="E5374" i="1"/>
  <c r="E5373" i="1"/>
  <c r="E5372" i="1"/>
  <c r="E5371" i="1"/>
  <c r="E5370" i="1"/>
  <c r="E5369" i="1"/>
  <c r="E5368" i="1"/>
  <c r="E5367" i="1"/>
  <c r="E5366" i="1"/>
  <c r="E5365" i="1"/>
  <c r="E5364" i="1"/>
  <c r="E5363" i="1"/>
  <c r="E5362" i="1"/>
  <c r="E5361" i="1"/>
  <c r="E5360" i="1"/>
  <c r="E5359" i="1"/>
  <c r="E5358" i="1"/>
  <c r="E5357" i="1"/>
  <c r="E5356" i="1"/>
  <c r="E5355" i="1"/>
  <c r="E5354" i="1"/>
  <c r="E5353" i="1"/>
  <c r="E5352" i="1"/>
  <c r="E5351" i="1"/>
  <c r="E5350" i="1"/>
  <c r="E5349" i="1"/>
  <c r="E5348" i="1"/>
  <c r="E5347" i="1"/>
  <c r="E5346" i="1"/>
  <c r="E5345" i="1"/>
  <c r="E5344" i="1"/>
  <c r="E5343" i="1"/>
  <c r="E5342" i="1"/>
  <c r="E5341" i="1"/>
  <c r="E5340" i="1"/>
  <c r="E5339" i="1"/>
  <c r="E5338" i="1"/>
  <c r="E5337" i="1"/>
  <c r="E5336" i="1"/>
  <c r="E5335" i="1"/>
  <c r="E5334" i="1"/>
  <c r="E5333" i="1"/>
  <c r="E5332" i="1"/>
  <c r="E5331" i="1"/>
  <c r="E5330" i="1"/>
  <c r="E5329" i="1"/>
  <c r="E5328" i="1"/>
  <c r="E5327" i="1"/>
  <c r="E5326" i="1"/>
  <c r="E5325" i="1"/>
  <c r="E5324" i="1"/>
  <c r="E5323" i="1"/>
  <c r="E5322" i="1"/>
  <c r="E5321" i="1"/>
  <c r="E5320" i="1"/>
  <c r="E5319" i="1"/>
  <c r="E5318" i="1"/>
  <c r="E5317" i="1"/>
  <c r="E5316" i="1"/>
  <c r="E5315" i="1"/>
  <c r="E5314" i="1"/>
  <c r="E5313" i="1"/>
  <c r="E5312" i="1"/>
  <c r="E5311" i="1"/>
  <c r="E5310" i="1"/>
  <c r="E5309" i="1"/>
  <c r="E5308" i="1"/>
  <c r="E5307" i="1"/>
  <c r="E5306" i="1"/>
  <c r="E5305" i="1"/>
  <c r="E5304" i="1"/>
  <c r="E5303" i="1"/>
  <c r="E5302" i="1"/>
  <c r="E5301" i="1"/>
  <c r="E5300" i="1"/>
  <c r="E5299" i="1"/>
  <c r="E5298" i="1"/>
  <c r="E5297" i="1"/>
  <c r="E5296" i="1"/>
  <c r="E5295" i="1"/>
  <c r="E5294" i="1"/>
  <c r="E5293" i="1"/>
  <c r="E5292" i="1"/>
  <c r="E5291" i="1"/>
  <c r="E5290" i="1"/>
  <c r="E5289" i="1"/>
  <c r="E5288" i="1"/>
  <c r="E5287" i="1"/>
  <c r="E5286" i="1"/>
  <c r="E5285" i="1"/>
  <c r="E5284" i="1"/>
  <c r="E5283" i="1"/>
  <c r="E5282" i="1"/>
  <c r="E5281" i="1"/>
  <c r="E5280" i="1"/>
  <c r="E5279" i="1"/>
  <c r="E5278" i="1"/>
  <c r="E5277" i="1"/>
  <c r="E5276" i="1"/>
  <c r="E5275" i="1"/>
  <c r="E5274" i="1"/>
  <c r="E5273" i="1"/>
  <c r="E5272" i="1"/>
  <c r="E5271" i="1"/>
  <c r="E5270" i="1"/>
  <c r="E5269" i="1"/>
  <c r="E5268" i="1"/>
  <c r="E5267" i="1"/>
  <c r="E5266" i="1"/>
  <c r="E5265" i="1"/>
  <c r="E5264" i="1"/>
  <c r="E5263" i="1"/>
  <c r="E5262" i="1"/>
  <c r="E5261" i="1"/>
  <c r="E5260" i="1"/>
  <c r="E5259" i="1"/>
  <c r="E5258" i="1"/>
  <c r="E5257" i="1"/>
  <c r="E5256" i="1"/>
  <c r="E5255" i="1"/>
  <c r="E5254" i="1"/>
  <c r="E5253" i="1"/>
  <c r="E5252" i="1"/>
  <c r="E5251" i="1"/>
  <c r="E5250" i="1"/>
  <c r="E5249" i="1"/>
  <c r="E5248" i="1"/>
  <c r="E5247" i="1"/>
  <c r="E5246" i="1"/>
  <c r="E5245" i="1"/>
  <c r="E5244" i="1"/>
  <c r="E5243" i="1"/>
  <c r="E5242" i="1"/>
  <c r="E5241" i="1"/>
  <c r="E5240" i="1"/>
  <c r="E5239" i="1"/>
  <c r="E5238" i="1"/>
  <c r="E5237" i="1"/>
  <c r="E5236" i="1"/>
  <c r="E5235" i="1"/>
  <c r="E5234" i="1"/>
  <c r="E5233" i="1"/>
  <c r="E5232" i="1"/>
  <c r="E5231" i="1"/>
  <c r="E5230" i="1"/>
  <c r="E5229" i="1"/>
  <c r="E5228" i="1"/>
  <c r="E5227" i="1"/>
  <c r="E5226" i="1"/>
  <c r="E5225" i="1"/>
  <c r="E5224" i="1"/>
  <c r="E5223" i="1"/>
  <c r="E5222" i="1"/>
  <c r="E5221" i="1"/>
  <c r="E5220" i="1"/>
  <c r="E5219" i="1"/>
  <c r="E5218" i="1"/>
  <c r="E5217" i="1"/>
  <c r="E5216" i="1"/>
  <c r="E5215" i="1"/>
  <c r="E5214" i="1"/>
  <c r="E5213" i="1"/>
  <c r="E5212" i="1"/>
  <c r="E5211" i="1"/>
  <c r="E5210" i="1"/>
  <c r="E5209" i="1"/>
  <c r="E5208" i="1"/>
  <c r="E5207" i="1"/>
  <c r="E5206" i="1"/>
  <c r="E5205" i="1"/>
  <c r="E5204" i="1"/>
  <c r="E5203" i="1"/>
  <c r="E5202" i="1"/>
  <c r="E5201" i="1"/>
  <c r="E5200" i="1"/>
  <c r="E5199" i="1"/>
  <c r="E5198" i="1"/>
  <c r="E5197" i="1"/>
  <c r="E5196" i="1"/>
  <c r="E5195" i="1"/>
  <c r="E5194" i="1"/>
  <c r="E5193" i="1"/>
  <c r="E5192" i="1"/>
  <c r="E5191" i="1"/>
  <c r="E5190" i="1"/>
  <c r="E5189" i="1"/>
  <c r="E5188" i="1"/>
  <c r="E5187" i="1"/>
  <c r="E5186" i="1"/>
  <c r="E5185" i="1"/>
  <c r="E5184" i="1"/>
  <c r="E5183" i="1"/>
  <c r="E5182" i="1"/>
  <c r="E5181" i="1"/>
  <c r="E5180" i="1"/>
  <c r="E5179" i="1"/>
  <c r="E5178" i="1"/>
  <c r="E5177" i="1"/>
  <c r="E5176" i="1"/>
  <c r="E5175" i="1"/>
  <c r="E5174" i="1"/>
  <c r="E5173" i="1"/>
  <c r="E5172" i="1"/>
  <c r="E5171" i="1"/>
  <c r="E5170" i="1"/>
  <c r="E5169" i="1"/>
  <c r="E5168" i="1"/>
  <c r="E5167" i="1"/>
  <c r="E5166" i="1"/>
  <c r="E5165" i="1"/>
  <c r="E5164" i="1"/>
  <c r="E5163" i="1"/>
  <c r="E5162" i="1"/>
  <c r="E5161" i="1"/>
  <c r="E5160" i="1"/>
  <c r="E5159" i="1"/>
  <c r="E5158" i="1"/>
  <c r="E5157" i="1"/>
  <c r="E5156" i="1"/>
  <c r="E5155" i="1"/>
  <c r="E5154" i="1"/>
  <c r="E5153" i="1"/>
  <c r="E5152" i="1"/>
  <c r="E5151" i="1"/>
  <c r="E5150" i="1"/>
  <c r="E5149" i="1"/>
  <c r="E5148" i="1"/>
  <c r="E5147" i="1"/>
  <c r="E5146" i="1"/>
  <c r="E5145" i="1"/>
  <c r="E5144" i="1"/>
  <c r="E5143" i="1"/>
  <c r="E5142" i="1"/>
  <c r="E5141" i="1"/>
  <c r="E5140" i="1"/>
  <c r="E5139" i="1"/>
  <c r="E5138" i="1"/>
  <c r="E5137" i="1"/>
  <c r="E5136" i="1"/>
  <c r="E5135" i="1"/>
  <c r="E5134" i="1"/>
  <c r="E5133" i="1"/>
  <c r="E5132" i="1"/>
  <c r="E5131" i="1"/>
  <c r="E5130" i="1"/>
  <c r="E5129" i="1"/>
  <c r="E5128" i="1"/>
  <c r="E5127" i="1"/>
  <c r="E5126" i="1"/>
  <c r="E5125" i="1"/>
  <c r="E5124" i="1"/>
  <c r="E5123" i="1"/>
  <c r="E5122" i="1"/>
  <c r="E5121" i="1"/>
  <c r="E5120" i="1"/>
  <c r="E5119" i="1"/>
  <c r="E5118" i="1"/>
  <c r="E5117" i="1"/>
  <c r="E5116" i="1"/>
  <c r="E5115" i="1"/>
  <c r="E5114" i="1"/>
  <c r="E5113" i="1"/>
  <c r="E5112" i="1"/>
  <c r="E5111" i="1"/>
  <c r="E5110" i="1"/>
  <c r="E5109" i="1"/>
  <c r="E5108" i="1"/>
  <c r="E5107" i="1"/>
  <c r="E5106" i="1"/>
  <c r="E5105" i="1"/>
  <c r="E5104" i="1"/>
  <c r="E5103" i="1"/>
  <c r="E5102" i="1"/>
  <c r="E5101" i="1"/>
  <c r="E5100" i="1"/>
  <c r="E5099" i="1"/>
  <c r="E5098" i="1"/>
  <c r="E5097" i="1"/>
  <c r="E5096" i="1"/>
  <c r="E5095" i="1"/>
  <c r="E5094" i="1"/>
  <c r="E5093" i="1"/>
  <c r="E5092" i="1"/>
  <c r="E5091" i="1"/>
  <c r="E5090" i="1"/>
  <c r="E5089" i="1"/>
  <c r="E5088" i="1"/>
  <c r="E5087" i="1"/>
  <c r="E5086" i="1"/>
  <c r="E5085" i="1"/>
  <c r="E5084" i="1"/>
  <c r="E5083" i="1"/>
  <c r="E5082" i="1"/>
  <c r="E5081" i="1"/>
  <c r="E5080" i="1"/>
  <c r="E5079" i="1"/>
  <c r="E5078" i="1"/>
  <c r="E5077" i="1"/>
  <c r="E5076" i="1"/>
  <c r="E5075" i="1"/>
  <c r="E5074" i="1"/>
  <c r="E5073" i="1"/>
  <c r="E5072" i="1"/>
  <c r="E5071" i="1"/>
  <c r="E5070" i="1"/>
  <c r="E5069" i="1"/>
  <c r="E5068" i="1"/>
  <c r="E5067" i="1"/>
  <c r="E5066" i="1"/>
  <c r="E5065" i="1"/>
  <c r="E5064" i="1"/>
  <c r="E5063" i="1"/>
  <c r="E5062" i="1"/>
  <c r="E5061" i="1"/>
  <c r="E5060" i="1"/>
  <c r="E5059" i="1"/>
  <c r="E5058" i="1"/>
  <c r="E5057" i="1"/>
  <c r="E5056" i="1"/>
  <c r="E5055" i="1"/>
  <c r="E5054" i="1"/>
  <c r="E5053" i="1"/>
  <c r="E5052" i="1"/>
  <c r="E5051" i="1"/>
  <c r="E5050" i="1"/>
  <c r="E5049" i="1"/>
  <c r="E5048" i="1"/>
  <c r="E5047" i="1"/>
  <c r="E5046" i="1"/>
  <c r="E5045" i="1"/>
  <c r="E5044" i="1"/>
  <c r="E5043" i="1"/>
  <c r="E5042" i="1"/>
  <c r="E5041" i="1"/>
  <c r="E5040" i="1"/>
  <c r="E5039" i="1"/>
  <c r="E5038" i="1"/>
  <c r="E5037" i="1"/>
  <c r="E5036" i="1"/>
  <c r="E5035" i="1"/>
  <c r="E5034" i="1"/>
  <c r="E5033" i="1"/>
  <c r="E5032" i="1"/>
  <c r="E5031" i="1"/>
  <c r="E5030" i="1"/>
  <c r="E5029" i="1"/>
  <c r="E5028" i="1"/>
  <c r="E5027" i="1"/>
  <c r="E5026" i="1"/>
  <c r="E5025" i="1"/>
  <c r="E5024" i="1"/>
  <c r="E5023" i="1"/>
  <c r="E5022" i="1"/>
  <c r="E5021" i="1"/>
  <c r="E5020" i="1"/>
  <c r="E5019" i="1"/>
  <c r="E5018" i="1"/>
  <c r="E5017" i="1"/>
  <c r="E5016" i="1"/>
  <c r="E5015" i="1"/>
  <c r="E5014" i="1"/>
  <c r="E5013" i="1"/>
  <c r="E5012" i="1"/>
  <c r="E5011" i="1"/>
  <c r="E5010" i="1"/>
  <c r="E5009" i="1"/>
  <c r="E5008" i="1"/>
  <c r="E5007" i="1"/>
  <c r="E5006" i="1"/>
  <c r="E5005" i="1"/>
  <c r="E5004" i="1"/>
  <c r="E5003" i="1"/>
  <c r="E5002" i="1"/>
  <c r="E5001" i="1"/>
  <c r="E5000" i="1"/>
  <c r="E4999" i="1"/>
  <c r="E4998" i="1"/>
  <c r="E4997" i="1"/>
  <c r="E4996" i="1"/>
  <c r="E4995" i="1"/>
  <c r="E4994" i="1"/>
  <c r="E4993" i="1"/>
  <c r="E4992" i="1"/>
  <c r="E4991" i="1"/>
  <c r="E4990" i="1"/>
  <c r="E4989" i="1"/>
  <c r="E4988" i="1"/>
  <c r="E4987" i="1"/>
  <c r="E4986" i="1"/>
  <c r="E4985" i="1"/>
  <c r="E4984" i="1"/>
  <c r="E4983" i="1"/>
  <c r="E4982" i="1"/>
  <c r="E4981" i="1"/>
  <c r="E4980" i="1"/>
  <c r="E4979" i="1"/>
  <c r="E4978" i="1"/>
  <c r="E4977" i="1"/>
  <c r="E4976" i="1"/>
  <c r="E4975" i="1"/>
  <c r="E4974" i="1"/>
  <c r="E4973" i="1"/>
  <c r="E4972" i="1"/>
  <c r="E4971" i="1"/>
  <c r="E4970" i="1"/>
  <c r="E4969" i="1"/>
  <c r="E4968" i="1"/>
  <c r="E4967" i="1"/>
  <c r="E4966" i="1"/>
  <c r="E4965" i="1"/>
  <c r="E4964" i="1"/>
  <c r="E4963" i="1"/>
  <c r="E4962" i="1"/>
  <c r="E4961" i="1"/>
  <c r="E4960" i="1"/>
  <c r="E4959" i="1"/>
  <c r="E4958" i="1"/>
  <c r="E4957" i="1"/>
  <c r="E4956" i="1"/>
  <c r="E4955" i="1"/>
  <c r="E4954" i="1"/>
  <c r="E4953" i="1"/>
  <c r="E4952" i="1"/>
  <c r="E4951" i="1"/>
  <c r="E4950" i="1"/>
  <c r="E4949" i="1"/>
  <c r="E4948" i="1"/>
  <c r="E4947" i="1"/>
  <c r="E4946" i="1"/>
  <c r="E4945" i="1"/>
  <c r="E4944" i="1"/>
  <c r="E4943" i="1"/>
  <c r="E4942" i="1"/>
  <c r="E4941" i="1"/>
  <c r="E4940" i="1"/>
  <c r="E4939" i="1"/>
  <c r="E4938" i="1"/>
  <c r="E4937" i="1"/>
  <c r="E4936" i="1"/>
  <c r="E4935" i="1"/>
  <c r="E4934" i="1"/>
  <c r="E4933" i="1"/>
  <c r="E4932" i="1"/>
  <c r="E4931" i="1"/>
  <c r="E4930" i="1"/>
  <c r="E4929" i="1"/>
  <c r="E4928" i="1"/>
  <c r="E4927" i="1"/>
  <c r="E4926" i="1"/>
  <c r="E4925" i="1"/>
  <c r="E4924" i="1"/>
  <c r="E4923" i="1"/>
  <c r="E4922" i="1"/>
  <c r="E4921" i="1"/>
  <c r="E4920" i="1"/>
  <c r="E4919" i="1"/>
  <c r="E4918" i="1"/>
  <c r="E4917" i="1"/>
  <c r="E4916" i="1"/>
  <c r="E4915" i="1"/>
  <c r="E4914" i="1"/>
  <c r="E4913" i="1"/>
  <c r="E4912" i="1"/>
  <c r="E4911" i="1"/>
  <c r="E4910" i="1"/>
  <c r="E4909" i="1"/>
  <c r="E4908" i="1"/>
  <c r="E4907" i="1"/>
  <c r="E4906" i="1"/>
  <c r="E4905" i="1"/>
  <c r="E4904" i="1"/>
  <c r="E4903" i="1"/>
  <c r="E4902" i="1"/>
  <c r="E4901" i="1"/>
  <c r="E4900" i="1"/>
  <c r="E4899" i="1"/>
  <c r="E4898" i="1"/>
  <c r="E4897" i="1"/>
  <c r="E4896" i="1"/>
  <c r="E4895" i="1"/>
  <c r="E4894" i="1"/>
  <c r="E4893" i="1"/>
  <c r="E4892" i="1"/>
  <c r="E4891" i="1"/>
  <c r="E4890" i="1"/>
  <c r="E4889" i="1"/>
  <c r="E4888" i="1"/>
  <c r="E4887" i="1"/>
  <c r="E4886" i="1"/>
  <c r="E4885" i="1"/>
  <c r="E4884" i="1"/>
  <c r="E4883" i="1"/>
  <c r="E4882" i="1"/>
  <c r="E4881" i="1"/>
  <c r="E4880" i="1"/>
  <c r="E4879" i="1"/>
  <c r="E4878" i="1"/>
  <c r="E4877" i="1"/>
  <c r="E4876" i="1"/>
  <c r="E4875" i="1"/>
  <c r="E4874" i="1"/>
  <c r="E4873" i="1"/>
  <c r="E4872" i="1"/>
  <c r="E4871" i="1"/>
  <c r="E4870" i="1"/>
  <c r="E4869" i="1"/>
  <c r="E4868" i="1"/>
  <c r="E4867" i="1"/>
  <c r="E4866" i="1"/>
  <c r="E4865" i="1"/>
  <c r="E4864" i="1"/>
  <c r="E4863" i="1"/>
  <c r="E4862" i="1"/>
  <c r="E4861" i="1"/>
  <c r="E4860" i="1"/>
  <c r="E4859" i="1"/>
  <c r="E4858" i="1"/>
  <c r="E4857" i="1"/>
  <c r="E4856" i="1"/>
  <c r="E4855" i="1"/>
  <c r="E4854" i="1"/>
  <c r="E4853" i="1"/>
  <c r="E4852" i="1"/>
  <c r="E4851" i="1"/>
  <c r="E4850" i="1"/>
  <c r="E4849" i="1"/>
  <c r="E4848" i="1"/>
  <c r="E4847" i="1"/>
  <c r="E4846" i="1"/>
  <c r="E4845" i="1"/>
  <c r="E4844" i="1"/>
  <c r="E4843" i="1"/>
  <c r="E4842" i="1"/>
  <c r="E4841" i="1"/>
  <c r="E4840" i="1"/>
  <c r="E4839" i="1"/>
  <c r="E4838" i="1"/>
  <c r="E4837" i="1"/>
  <c r="E4836" i="1"/>
  <c r="E4835" i="1"/>
  <c r="E4834" i="1"/>
  <c r="E4833" i="1"/>
  <c r="E4832" i="1"/>
  <c r="E4831" i="1"/>
  <c r="E4830" i="1"/>
  <c r="E4829" i="1"/>
  <c r="E4828" i="1"/>
  <c r="E4827" i="1"/>
  <c r="E4826" i="1"/>
  <c r="E4825" i="1"/>
  <c r="E4824" i="1"/>
  <c r="E4823" i="1"/>
  <c r="E4822" i="1"/>
  <c r="E4821" i="1"/>
  <c r="E4820" i="1"/>
  <c r="E4819" i="1"/>
  <c r="E4818" i="1"/>
  <c r="E4817" i="1"/>
  <c r="E4816" i="1"/>
  <c r="E4815" i="1"/>
  <c r="E4814" i="1"/>
  <c r="E4813" i="1"/>
  <c r="E4812" i="1"/>
  <c r="E4811" i="1"/>
  <c r="E4810" i="1"/>
  <c r="E4809" i="1"/>
  <c r="E4808" i="1"/>
  <c r="E4807" i="1"/>
  <c r="E4806" i="1"/>
  <c r="E4805" i="1"/>
  <c r="E4804" i="1"/>
  <c r="E4803" i="1"/>
  <c r="E4802" i="1"/>
  <c r="E4801" i="1"/>
  <c r="E4800" i="1"/>
  <c r="E4799" i="1"/>
  <c r="E4798" i="1"/>
  <c r="E4797" i="1"/>
  <c r="E4796" i="1"/>
  <c r="E4795" i="1"/>
  <c r="E4794" i="1"/>
  <c r="E4793" i="1"/>
  <c r="E4792" i="1"/>
  <c r="E4791" i="1"/>
  <c r="E4790" i="1"/>
  <c r="E4789" i="1"/>
  <c r="E4788" i="1"/>
  <c r="E4787" i="1"/>
  <c r="E4786" i="1"/>
  <c r="E4785" i="1"/>
  <c r="E4784" i="1"/>
  <c r="E4783" i="1"/>
  <c r="E4782" i="1"/>
  <c r="E4781" i="1"/>
  <c r="E4780" i="1"/>
  <c r="E4779" i="1"/>
  <c r="E4778" i="1"/>
  <c r="E4777" i="1"/>
  <c r="E4776" i="1"/>
  <c r="E4775" i="1"/>
  <c r="E4774" i="1"/>
  <c r="E4773" i="1"/>
  <c r="E4772" i="1"/>
  <c r="E4771" i="1"/>
  <c r="E4770" i="1"/>
  <c r="E4769" i="1"/>
  <c r="E4768" i="1"/>
  <c r="E4767" i="1"/>
  <c r="E4766" i="1"/>
  <c r="E4765" i="1"/>
  <c r="E4764" i="1"/>
  <c r="E4763" i="1"/>
  <c r="E4762" i="1"/>
  <c r="E4761" i="1"/>
  <c r="E4760" i="1"/>
  <c r="E4759" i="1"/>
  <c r="E4758" i="1"/>
  <c r="E4757" i="1"/>
  <c r="E4756" i="1"/>
  <c r="E4755" i="1"/>
  <c r="E4754" i="1"/>
  <c r="E4753" i="1"/>
  <c r="E4752" i="1"/>
  <c r="E4751" i="1"/>
  <c r="E4750" i="1"/>
  <c r="E4749" i="1"/>
  <c r="E4748" i="1"/>
  <c r="E4747" i="1"/>
  <c r="E4746" i="1"/>
  <c r="E4745" i="1"/>
  <c r="E4744" i="1"/>
  <c r="E4743" i="1"/>
  <c r="E4742" i="1"/>
  <c r="E4741" i="1"/>
  <c r="E4740" i="1"/>
  <c r="E4739" i="1"/>
  <c r="E4738" i="1"/>
  <c r="E4737" i="1"/>
  <c r="E4736" i="1"/>
  <c r="E4735" i="1"/>
  <c r="E4734" i="1"/>
  <c r="E4733" i="1"/>
  <c r="E4732" i="1"/>
  <c r="E4731" i="1"/>
  <c r="E4730" i="1"/>
  <c r="E4729" i="1"/>
  <c r="E4728" i="1"/>
  <c r="E4727" i="1"/>
  <c r="E4726" i="1"/>
  <c r="E4725" i="1"/>
  <c r="E4724" i="1"/>
  <c r="E4723" i="1"/>
  <c r="E4722" i="1"/>
  <c r="E4721" i="1"/>
  <c r="E4720" i="1"/>
  <c r="E4719" i="1"/>
  <c r="E4718" i="1"/>
  <c r="E4717" i="1"/>
  <c r="E4716" i="1"/>
  <c r="E4715" i="1"/>
  <c r="E4714" i="1"/>
  <c r="E4713" i="1"/>
  <c r="E4712" i="1"/>
  <c r="E4711" i="1"/>
  <c r="E4710" i="1"/>
  <c r="E4709" i="1"/>
  <c r="E4708" i="1"/>
  <c r="E4707" i="1"/>
  <c r="E4706" i="1"/>
  <c r="E4705" i="1"/>
  <c r="E4704" i="1"/>
  <c r="E4703" i="1"/>
  <c r="E4702" i="1"/>
  <c r="E4701" i="1"/>
  <c r="E4700" i="1"/>
  <c r="E4699" i="1"/>
  <c r="E4698" i="1"/>
  <c r="E4697" i="1"/>
  <c r="E4696" i="1"/>
  <c r="E4695" i="1"/>
  <c r="E4694" i="1"/>
  <c r="E4693" i="1"/>
  <c r="E4692" i="1"/>
  <c r="E4691" i="1"/>
  <c r="E4690" i="1"/>
  <c r="E4689" i="1"/>
  <c r="E4688" i="1"/>
  <c r="E4687" i="1"/>
  <c r="E4686" i="1"/>
  <c r="E4685" i="1"/>
  <c r="E4684" i="1"/>
  <c r="E4683" i="1"/>
  <c r="E4682" i="1"/>
  <c r="E4681" i="1"/>
  <c r="E4680" i="1"/>
  <c r="E4679" i="1"/>
  <c r="E4678" i="1"/>
  <c r="E4677" i="1"/>
  <c r="E4676" i="1"/>
  <c r="E4675" i="1"/>
  <c r="E4674" i="1"/>
  <c r="E4673" i="1"/>
  <c r="E4672" i="1"/>
  <c r="E4671" i="1"/>
  <c r="E4670" i="1"/>
  <c r="E4669" i="1"/>
  <c r="E4668" i="1"/>
  <c r="E4667" i="1"/>
  <c r="E4666" i="1"/>
  <c r="E4665" i="1"/>
  <c r="E4664" i="1"/>
  <c r="E4663" i="1"/>
  <c r="E4662" i="1"/>
  <c r="E4661" i="1"/>
  <c r="E4660" i="1"/>
  <c r="E4659" i="1"/>
  <c r="E4658" i="1"/>
  <c r="E4657" i="1"/>
  <c r="E4656" i="1"/>
  <c r="E4655" i="1"/>
  <c r="E4654" i="1"/>
  <c r="E4653" i="1"/>
  <c r="E4652" i="1"/>
  <c r="E4651" i="1"/>
  <c r="E4650" i="1"/>
  <c r="E4649" i="1"/>
  <c r="E4648" i="1"/>
  <c r="E4647" i="1"/>
  <c r="E4646" i="1"/>
  <c r="E4645" i="1"/>
  <c r="E4644" i="1"/>
  <c r="E4643" i="1"/>
  <c r="E4642" i="1"/>
  <c r="E4641" i="1"/>
  <c r="E4640" i="1"/>
  <c r="E4639" i="1"/>
  <c r="E4638" i="1"/>
  <c r="E4637" i="1"/>
  <c r="E4636" i="1"/>
  <c r="E4635" i="1"/>
  <c r="E4634" i="1"/>
  <c r="E4633" i="1"/>
  <c r="E4632" i="1"/>
  <c r="E4631" i="1"/>
  <c r="E4630" i="1"/>
  <c r="E4629" i="1"/>
  <c r="E4628" i="1"/>
  <c r="E4627" i="1"/>
  <c r="E4626" i="1"/>
  <c r="E4625" i="1"/>
  <c r="E4624" i="1"/>
  <c r="E4623" i="1"/>
  <c r="E4622" i="1"/>
  <c r="E4621" i="1"/>
  <c r="E4620" i="1"/>
  <c r="E4619" i="1"/>
  <c r="E4618" i="1"/>
  <c r="E4617" i="1"/>
  <c r="E4616" i="1"/>
  <c r="E4615" i="1"/>
  <c r="E4614" i="1"/>
  <c r="E4613" i="1"/>
  <c r="E4612" i="1"/>
  <c r="E4611" i="1"/>
  <c r="E4610" i="1"/>
  <c r="E4609" i="1"/>
  <c r="E4608" i="1"/>
  <c r="E4607" i="1"/>
  <c r="E4606" i="1"/>
  <c r="E4605" i="1"/>
  <c r="E4604" i="1"/>
  <c r="E4603" i="1"/>
  <c r="E4602" i="1"/>
  <c r="E4601" i="1"/>
  <c r="E4600" i="1"/>
  <c r="E4599" i="1"/>
  <c r="E4598" i="1"/>
  <c r="E4597" i="1"/>
  <c r="E4596" i="1"/>
  <c r="E4595" i="1"/>
  <c r="E4594" i="1"/>
  <c r="E4593" i="1"/>
  <c r="E4592" i="1"/>
  <c r="E4591" i="1"/>
  <c r="E4590" i="1"/>
  <c r="E4589" i="1"/>
  <c r="E4588" i="1"/>
  <c r="E4587" i="1"/>
  <c r="E4586" i="1"/>
  <c r="E4585" i="1"/>
  <c r="E4584" i="1"/>
  <c r="E4583" i="1"/>
  <c r="E4582" i="1"/>
  <c r="E4581" i="1"/>
  <c r="E4580" i="1"/>
  <c r="E4579" i="1"/>
  <c r="E4578" i="1"/>
  <c r="E4577" i="1"/>
  <c r="E4576" i="1"/>
  <c r="E4575" i="1"/>
  <c r="E4574" i="1"/>
  <c r="E4573" i="1"/>
  <c r="E4572" i="1"/>
  <c r="E4571" i="1"/>
  <c r="E4570" i="1"/>
  <c r="E4569" i="1"/>
  <c r="E4568" i="1"/>
  <c r="E4567" i="1"/>
  <c r="E4566" i="1"/>
  <c r="E4565" i="1"/>
  <c r="E4564" i="1"/>
  <c r="E4563" i="1"/>
  <c r="E4562" i="1"/>
  <c r="E4561" i="1"/>
  <c r="E4560" i="1"/>
  <c r="E4559" i="1"/>
  <c r="E4558" i="1"/>
  <c r="E4557" i="1"/>
  <c r="E4556" i="1"/>
  <c r="E4555" i="1"/>
  <c r="E4554" i="1"/>
  <c r="E4553" i="1"/>
  <c r="E4552" i="1"/>
  <c r="E4551" i="1"/>
  <c r="E4550" i="1"/>
  <c r="E4549" i="1"/>
  <c r="E4548" i="1"/>
  <c r="E4547" i="1"/>
  <c r="E4546" i="1"/>
  <c r="E4545" i="1"/>
  <c r="E4544" i="1"/>
  <c r="E4543" i="1"/>
  <c r="E4542" i="1"/>
  <c r="E4541" i="1"/>
  <c r="E4540" i="1"/>
  <c r="E4539" i="1"/>
  <c r="E4538" i="1"/>
  <c r="E4537" i="1"/>
  <c r="E4536" i="1"/>
  <c r="E4535" i="1"/>
  <c r="E4534" i="1"/>
  <c r="E4533" i="1"/>
  <c r="E4532" i="1"/>
  <c r="E4531" i="1"/>
  <c r="E4530" i="1"/>
  <c r="E4529" i="1"/>
  <c r="E4528" i="1"/>
  <c r="E4527" i="1"/>
  <c r="E4526" i="1"/>
  <c r="E4525" i="1"/>
  <c r="E4524" i="1"/>
  <c r="E4523" i="1"/>
  <c r="E4522" i="1"/>
  <c r="E4521" i="1"/>
  <c r="E4520" i="1"/>
  <c r="E4519" i="1"/>
  <c r="E4518" i="1"/>
  <c r="E4517" i="1"/>
  <c r="E4516" i="1"/>
  <c r="E4515" i="1"/>
  <c r="E4514" i="1"/>
  <c r="E4513" i="1"/>
  <c r="E4512" i="1"/>
  <c r="E4511" i="1"/>
  <c r="E4510" i="1"/>
  <c r="E4509" i="1"/>
  <c r="E4508" i="1"/>
  <c r="E4507" i="1"/>
  <c r="E4506" i="1"/>
  <c r="E4505" i="1"/>
  <c r="E4504" i="1"/>
  <c r="E4503" i="1"/>
  <c r="E4502" i="1"/>
  <c r="E4501" i="1"/>
  <c r="E4500" i="1"/>
  <c r="E4499" i="1"/>
  <c r="E4498" i="1"/>
  <c r="E4497" i="1"/>
  <c r="E4496" i="1"/>
  <c r="E4495" i="1"/>
  <c r="E4494" i="1"/>
  <c r="E4493" i="1"/>
  <c r="E4492" i="1"/>
  <c r="E4491" i="1"/>
  <c r="E4490" i="1"/>
  <c r="E4489" i="1"/>
  <c r="E4488" i="1"/>
  <c r="E4487" i="1"/>
  <c r="E4486" i="1"/>
  <c r="E4485" i="1"/>
  <c r="E4484" i="1"/>
  <c r="E4483" i="1"/>
  <c r="E4482" i="1"/>
  <c r="E4481" i="1"/>
  <c r="E4480" i="1"/>
  <c r="E4479" i="1"/>
  <c r="E4478" i="1"/>
  <c r="E4477" i="1"/>
  <c r="E4476" i="1"/>
  <c r="E4475" i="1"/>
  <c r="E4474" i="1"/>
  <c r="E4473" i="1"/>
  <c r="E4472" i="1"/>
  <c r="E4471" i="1"/>
  <c r="E4470" i="1"/>
  <c r="E4469" i="1"/>
  <c r="E4468" i="1"/>
  <c r="E4467" i="1"/>
  <c r="E4466" i="1"/>
  <c r="E4465" i="1"/>
  <c r="E4464" i="1"/>
  <c r="E4463" i="1"/>
  <c r="E4462" i="1"/>
  <c r="E4461" i="1"/>
  <c r="E4460" i="1"/>
  <c r="E4459" i="1"/>
  <c r="E4458" i="1"/>
  <c r="E4457" i="1"/>
  <c r="E4456" i="1"/>
  <c r="E4455" i="1"/>
  <c r="E4454" i="1"/>
  <c r="E4453" i="1"/>
  <c r="E4452" i="1"/>
  <c r="E4451" i="1"/>
  <c r="E4450" i="1"/>
  <c r="E4449" i="1"/>
  <c r="E4448" i="1"/>
  <c r="E4447" i="1"/>
  <c r="E4446" i="1"/>
  <c r="E4445" i="1"/>
  <c r="E4444" i="1"/>
  <c r="E4443" i="1"/>
  <c r="E4442" i="1"/>
  <c r="E4441" i="1"/>
  <c r="E4440" i="1"/>
  <c r="E4439" i="1"/>
  <c r="E4438" i="1"/>
  <c r="E4437" i="1"/>
  <c r="E4436" i="1"/>
  <c r="E4435" i="1"/>
  <c r="E4434" i="1"/>
  <c r="E4433" i="1"/>
  <c r="E4432" i="1"/>
  <c r="E4431" i="1"/>
  <c r="E4430" i="1"/>
  <c r="E4429" i="1"/>
  <c r="E4428" i="1"/>
  <c r="E4427" i="1"/>
  <c r="E4426" i="1"/>
  <c r="E4425" i="1"/>
  <c r="E4424" i="1"/>
  <c r="E4423" i="1"/>
  <c r="E4422" i="1"/>
  <c r="E4421" i="1"/>
  <c r="E4420" i="1"/>
  <c r="E4419" i="1"/>
  <c r="E4418" i="1"/>
  <c r="E4417" i="1"/>
  <c r="E4416" i="1"/>
  <c r="E4415" i="1"/>
  <c r="E4414" i="1"/>
  <c r="E4413" i="1"/>
  <c r="E4412" i="1"/>
  <c r="E4411" i="1"/>
  <c r="E4410" i="1"/>
  <c r="E4409" i="1"/>
  <c r="E4408" i="1"/>
  <c r="E4407" i="1"/>
  <c r="E4406" i="1"/>
  <c r="E4405" i="1"/>
  <c r="E4404" i="1"/>
  <c r="E4403" i="1"/>
  <c r="E4402" i="1"/>
  <c r="E4401" i="1"/>
  <c r="E4400" i="1"/>
  <c r="E4399" i="1"/>
  <c r="E4398" i="1"/>
  <c r="E4397" i="1"/>
  <c r="E4396" i="1"/>
  <c r="E4395" i="1"/>
  <c r="E4394" i="1"/>
  <c r="E4393" i="1"/>
  <c r="E4392" i="1"/>
  <c r="E4391" i="1"/>
  <c r="E4390" i="1"/>
  <c r="E4389" i="1"/>
  <c r="E4388" i="1"/>
  <c r="E4387" i="1"/>
  <c r="E4386" i="1"/>
  <c r="E4385" i="1"/>
  <c r="E4384" i="1"/>
  <c r="E4383" i="1"/>
  <c r="E4382" i="1"/>
  <c r="E4381" i="1"/>
  <c r="E4380" i="1"/>
  <c r="E4379" i="1"/>
  <c r="E4378" i="1"/>
  <c r="E4377" i="1"/>
  <c r="E4376" i="1"/>
  <c r="E4375" i="1"/>
  <c r="E4374" i="1"/>
  <c r="E4373" i="1"/>
  <c r="E4372" i="1"/>
  <c r="E4371" i="1"/>
  <c r="E4370" i="1"/>
  <c r="E4369" i="1"/>
  <c r="E4368" i="1"/>
  <c r="E4367" i="1"/>
  <c r="E4366" i="1"/>
  <c r="E4365" i="1"/>
  <c r="E4364" i="1"/>
  <c r="E4363" i="1"/>
  <c r="E4362" i="1"/>
  <c r="E4361" i="1"/>
  <c r="E4360" i="1"/>
  <c r="E4359" i="1"/>
  <c r="E4358" i="1"/>
  <c r="E4357" i="1"/>
  <c r="E4356" i="1"/>
  <c r="E4355" i="1"/>
  <c r="E4354" i="1"/>
  <c r="E4353" i="1"/>
  <c r="E4352" i="1"/>
  <c r="E4351" i="1"/>
  <c r="E4350" i="1"/>
  <c r="E4349" i="1"/>
  <c r="E4348" i="1"/>
  <c r="E4347" i="1"/>
  <c r="E4346" i="1"/>
  <c r="E4345" i="1"/>
  <c r="E4344" i="1"/>
  <c r="E4343" i="1"/>
  <c r="E4342" i="1"/>
  <c r="E4341" i="1"/>
  <c r="E4340" i="1"/>
  <c r="E4339" i="1"/>
  <c r="E4338" i="1"/>
  <c r="E4337" i="1"/>
  <c r="E4336" i="1"/>
  <c r="E4335" i="1"/>
  <c r="E4334" i="1"/>
  <c r="E4333" i="1"/>
  <c r="E4332" i="1"/>
  <c r="E4331" i="1"/>
  <c r="E4330" i="1"/>
  <c r="E4329" i="1"/>
  <c r="E4328" i="1"/>
  <c r="E4327" i="1"/>
  <c r="E4326" i="1"/>
  <c r="E4325" i="1"/>
  <c r="E4324" i="1"/>
  <c r="E4323" i="1"/>
  <c r="E4322" i="1"/>
  <c r="E4321" i="1"/>
  <c r="E4320" i="1"/>
  <c r="E4319" i="1"/>
  <c r="E4318" i="1"/>
  <c r="E4317" i="1"/>
  <c r="E4316" i="1"/>
  <c r="E4315" i="1"/>
  <c r="E4314" i="1"/>
  <c r="E4313" i="1"/>
  <c r="E4312" i="1"/>
  <c r="E4311" i="1"/>
  <c r="E4310" i="1"/>
  <c r="E4309" i="1"/>
  <c r="E4308" i="1"/>
  <c r="E4307" i="1"/>
  <c r="E4306" i="1"/>
  <c r="E4305" i="1"/>
  <c r="E4304" i="1"/>
  <c r="E4303" i="1"/>
  <c r="E4302" i="1"/>
  <c r="E4301" i="1"/>
  <c r="E4300" i="1"/>
  <c r="E4299" i="1"/>
  <c r="E4298" i="1"/>
  <c r="E4297" i="1"/>
  <c r="E4296" i="1"/>
  <c r="E4295" i="1"/>
  <c r="E4294" i="1"/>
  <c r="E4293" i="1"/>
  <c r="E4292" i="1"/>
  <c r="E4291" i="1"/>
  <c r="E4290" i="1"/>
  <c r="E4289" i="1"/>
  <c r="E4288" i="1"/>
  <c r="E4287" i="1"/>
  <c r="E4286" i="1"/>
  <c r="E4285" i="1"/>
  <c r="E4284" i="1"/>
  <c r="E4283" i="1"/>
  <c r="E4282" i="1"/>
  <c r="E4281" i="1"/>
  <c r="E4280" i="1"/>
  <c r="E4279" i="1"/>
  <c r="E4278" i="1"/>
  <c r="E4277" i="1"/>
  <c r="E4276" i="1"/>
  <c r="E4275" i="1"/>
  <c r="E4274" i="1"/>
  <c r="E4273" i="1"/>
  <c r="E4272" i="1"/>
  <c r="E4271" i="1"/>
  <c r="E4270" i="1"/>
  <c r="E4269" i="1"/>
  <c r="E4268" i="1"/>
  <c r="E4267" i="1"/>
  <c r="E4266" i="1"/>
  <c r="E4265" i="1"/>
  <c r="E4264" i="1"/>
  <c r="E4263" i="1"/>
  <c r="E4262" i="1"/>
  <c r="E4261" i="1"/>
  <c r="E4260" i="1"/>
  <c r="E4259" i="1"/>
  <c r="E4258" i="1"/>
  <c r="E4257" i="1"/>
  <c r="E4256" i="1"/>
  <c r="E4255" i="1"/>
  <c r="E4254" i="1"/>
  <c r="E4253" i="1"/>
  <c r="E4252" i="1"/>
  <c r="E4251" i="1"/>
  <c r="E4250" i="1"/>
  <c r="E4249" i="1"/>
  <c r="E4248" i="1"/>
  <c r="E4247" i="1"/>
  <c r="E4246" i="1"/>
  <c r="E4245" i="1"/>
  <c r="E4244" i="1"/>
  <c r="E4243" i="1"/>
  <c r="E4242" i="1"/>
  <c r="E4241" i="1"/>
  <c r="E4240" i="1"/>
  <c r="E4239" i="1"/>
  <c r="E4238" i="1"/>
  <c r="E4237" i="1"/>
  <c r="E4236" i="1"/>
  <c r="E4235" i="1"/>
  <c r="E4234" i="1"/>
  <c r="E4233" i="1"/>
  <c r="E4232" i="1"/>
  <c r="E4231" i="1"/>
  <c r="E4230" i="1"/>
  <c r="E4229" i="1"/>
  <c r="E4228" i="1"/>
  <c r="E4227" i="1"/>
  <c r="E4226" i="1"/>
  <c r="E4225" i="1"/>
  <c r="E4224" i="1"/>
  <c r="E4223" i="1"/>
  <c r="E4222" i="1"/>
  <c r="E4221" i="1"/>
  <c r="E4220" i="1"/>
  <c r="E4219" i="1"/>
  <c r="E4218" i="1"/>
  <c r="E4217" i="1"/>
  <c r="E4216" i="1"/>
  <c r="E4215" i="1"/>
  <c r="E4214" i="1"/>
  <c r="E4213" i="1"/>
  <c r="E4212" i="1"/>
  <c r="E4211" i="1"/>
  <c r="E4210" i="1"/>
  <c r="E4209" i="1"/>
  <c r="E4208" i="1"/>
  <c r="E4207" i="1"/>
  <c r="E4206" i="1"/>
  <c r="E4205" i="1"/>
  <c r="E4204" i="1"/>
  <c r="E4203" i="1"/>
  <c r="E4202" i="1"/>
  <c r="E4201" i="1"/>
  <c r="E4200" i="1"/>
  <c r="E4199" i="1"/>
  <c r="E4198" i="1"/>
  <c r="E4197" i="1"/>
  <c r="E4196" i="1"/>
  <c r="E4195" i="1"/>
  <c r="E4194" i="1"/>
  <c r="E4193" i="1"/>
  <c r="E4192" i="1"/>
  <c r="E4191" i="1"/>
  <c r="E4190" i="1"/>
  <c r="E4189" i="1"/>
  <c r="E4188" i="1"/>
  <c r="E4187" i="1"/>
  <c r="E4186" i="1"/>
  <c r="E4185" i="1"/>
  <c r="E4184" i="1"/>
  <c r="E4183" i="1"/>
  <c r="E4182" i="1"/>
  <c r="E4181" i="1"/>
  <c r="E4180" i="1"/>
  <c r="E4179" i="1"/>
  <c r="E4178" i="1"/>
  <c r="E4177" i="1"/>
  <c r="E4176" i="1"/>
  <c r="E4175" i="1"/>
  <c r="E4174" i="1"/>
  <c r="E4173" i="1"/>
  <c r="E4172" i="1"/>
  <c r="E4171" i="1"/>
  <c r="E4170" i="1"/>
  <c r="E4169" i="1"/>
  <c r="E4168" i="1"/>
  <c r="E4167" i="1"/>
  <c r="E4166" i="1"/>
  <c r="E4165" i="1"/>
  <c r="E4164" i="1"/>
  <c r="E4163" i="1"/>
  <c r="E4162" i="1"/>
  <c r="E4161" i="1"/>
  <c r="E4160" i="1"/>
  <c r="E4159" i="1"/>
  <c r="E4158" i="1"/>
  <c r="E4157" i="1"/>
  <c r="E4156" i="1"/>
  <c r="E4155" i="1"/>
  <c r="E4154" i="1"/>
  <c r="E4153" i="1"/>
  <c r="E4152" i="1"/>
  <c r="E4151" i="1"/>
  <c r="E4150" i="1"/>
  <c r="E4149" i="1"/>
  <c r="E4148" i="1"/>
  <c r="E4147" i="1"/>
  <c r="E4146" i="1"/>
  <c r="E4145" i="1"/>
  <c r="E4144" i="1"/>
  <c r="E4143" i="1"/>
  <c r="E4142" i="1"/>
  <c r="E4141" i="1"/>
  <c r="E4140" i="1"/>
  <c r="E4139" i="1"/>
  <c r="E4138" i="1"/>
  <c r="E4137" i="1"/>
  <c r="E4136" i="1"/>
  <c r="E4135" i="1"/>
  <c r="E4134" i="1"/>
  <c r="E4133" i="1"/>
  <c r="E4132" i="1"/>
  <c r="E4131" i="1"/>
  <c r="E4130" i="1"/>
  <c r="E4129" i="1"/>
  <c r="E4128" i="1"/>
  <c r="E4127" i="1"/>
  <c r="E4126" i="1"/>
  <c r="E4125" i="1"/>
  <c r="E4124" i="1"/>
  <c r="E4123" i="1"/>
  <c r="E4122" i="1"/>
  <c r="E4121" i="1"/>
  <c r="E4120" i="1"/>
  <c r="E4119" i="1"/>
  <c r="E4118" i="1"/>
  <c r="E4117" i="1"/>
  <c r="E4116" i="1"/>
  <c r="E4115" i="1"/>
  <c r="E4114" i="1"/>
  <c r="E4113" i="1"/>
  <c r="E4112" i="1"/>
  <c r="E4111" i="1"/>
  <c r="E4110" i="1"/>
  <c r="E4109" i="1"/>
  <c r="E4108" i="1"/>
  <c r="E4107" i="1"/>
  <c r="E4106" i="1"/>
  <c r="E4105" i="1"/>
  <c r="E4104" i="1"/>
  <c r="E4103" i="1"/>
  <c r="E4102" i="1"/>
  <c r="E4101" i="1"/>
  <c r="E4100" i="1"/>
  <c r="E4099" i="1"/>
  <c r="E4098" i="1"/>
  <c r="E4097" i="1"/>
  <c r="E4096" i="1"/>
  <c r="E4095" i="1"/>
  <c r="E4094" i="1"/>
  <c r="E4093" i="1"/>
  <c r="E4092" i="1"/>
  <c r="E4091" i="1"/>
  <c r="E4090" i="1"/>
  <c r="E4089" i="1"/>
  <c r="E4088" i="1"/>
  <c r="E4087" i="1"/>
  <c r="E4086" i="1"/>
  <c r="E4085" i="1"/>
  <c r="E4084" i="1"/>
  <c r="E4083" i="1"/>
  <c r="E4082" i="1"/>
  <c r="E4081" i="1"/>
  <c r="E4080" i="1"/>
  <c r="E4079" i="1"/>
  <c r="E4078" i="1"/>
  <c r="E4077" i="1"/>
  <c r="E4076" i="1"/>
  <c r="E4075" i="1"/>
  <c r="E4074" i="1"/>
  <c r="E4073" i="1"/>
  <c r="E4072" i="1"/>
  <c r="E4071" i="1"/>
  <c r="E4070" i="1"/>
  <c r="E4069" i="1"/>
  <c r="E4068" i="1"/>
  <c r="E4067" i="1"/>
  <c r="E4066" i="1"/>
  <c r="E4065" i="1"/>
  <c r="E4064" i="1"/>
  <c r="E4063" i="1"/>
  <c r="E4062" i="1"/>
  <c r="E4061" i="1"/>
  <c r="E4060" i="1"/>
  <c r="E4059" i="1"/>
  <c r="E4058" i="1"/>
  <c r="E4057" i="1"/>
  <c r="E4056" i="1"/>
  <c r="E4055" i="1"/>
  <c r="E4054" i="1"/>
  <c r="E4053" i="1"/>
  <c r="E4052" i="1"/>
  <c r="E4051" i="1"/>
  <c r="E4050" i="1"/>
  <c r="E4049" i="1"/>
  <c r="E4048" i="1"/>
  <c r="E4047" i="1"/>
  <c r="E4046" i="1"/>
  <c r="E4045" i="1"/>
  <c r="E4044" i="1"/>
  <c r="E4043" i="1"/>
  <c r="E4042" i="1"/>
  <c r="E4041" i="1"/>
  <c r="E4040" i="1"/>
  <c r="E4039" i="1"/>
  <c r="E4038" i="1"/>
  <c r="E4037" i="1"/>
  <c r="E4036" i="1"/>
  <c r="E4035" i="1"/>
  <c r="E4034" i="1"/>
  <c r="E4033" i="1"/>
  <c r="E4032" i="1"/>
  <c r="E4031" i="1"/>
  <c r="E4030" i="1"/>
  <c r="E4029" i="1"/>
  <c r="E4028" i="1"/>
  <c r="E4027" i="1"/>
  <c r="E4026" i="1"/>
  <c r="E4025" i="1"/>
  <c r="E4024" i="1"/>
  <c r="E4023" i="1"/>
  <c r="E4022" i="1"/>
  <c r="E4021" i="1"/>
  <c r="E4020" i="1"/>
  <c r="E4019" i="1"/>
  <c r="E4018" i="1"/>
  <c r="E4017" i="1"/>
  <c r="E4016" i="1"/>
  <c r="E4015" i="1"/>
  <c r="E4014" i="1"/>
  <c r="E4013" i="1"/>
  <c r="E4012" i="1"/>
  <c r="E4011" i="1"/>
  <c r="E4010" i="1"/>
  <c r="E4009" i="1"/>
  <c r="E4008" i="1"/>
  <c r="E4007" i="1"/>
  <c r="E4006" i="1"/>
  <c r="E4005" i="1"/>
  <c r="E4004" i="1"/>
  <c r="E4003" i="1"/>
  <c r="E4002" i="1"/>
  <c r="E4001" i="1"/>
  <c r="E4000" i="1"/>
  <c r="E3999" i="1"/>
  <c r="E3998" i="1"/>
  <c r="E3997" i="1"/>
  <c r="E3996" i="1"/>
  <c r="E3995" i="1"/>
  <c r="E3994" i="1"/>
  <c r="E3993" i="1"/>
  <c r="E3992" i="1"/>
  <c r="E3991" i="1"/>
  <c r="E3990" i="1"/>
  <c r="E3989" i="1"/>
  <c r="E3988" i="1"/>
  <c r="E3987" i="1"/>
  <c r="E3986" i="1"/>
  <c r="E3985" i="1"/>
  <c r="E3984" i="1"/>
  <c r="E3983" i="1"/>
  <c r="E3982" i="1"/>
  <c r="E3981" i="1"/>
  <c r="E3980" i="1"/>
  <c r="E3979" i="1"/>
  <c r="E3978" i="1"/>
  <c r="E3977" i="1"/>
  <c r="E3976" i="1"/>
  <c r="E3975" i="1"/>
  <c r="E3974" i="1"/>
  <c r="E3973" i="1"/>
  <c r="E3972" i="1"/>
  <c r="E3971" i="1"/>
  <c r="E3970" i="1"/>
  <c r="E3969" i="1"/>
  <c r="E3968" i="1"/>
  <c r="E3967" i="1"/>
  <c r="E3966" i="1"/>
  <c r="E3965" i="1"/>
  <c r="E3964" i="1"/>
  <c r="E3963" i="1"/>
  <c r="E3962" i="1"/>
  <c r="E3961" i="1"/>
  <c r="E3960" i="1"/>
  <c r="E3959" i="1"/>
  <c r="E3958" i="1"/>
  <c r="E3957" i="1"/>
  <c r="E3956" i="1"/>
  <c r="E3955" i="1"/>
  <c r="E3954" i="1"/>
  <c r="E3953" i="1"/>
  <c r="E3952" i="1"/>
  <c r="E3951" i="1"/>
  <c r="E3950" i="1"/>
  <c r="E3949" i="1"/>
  <c r="E3948" i="1"/>
  <c r="E3947" i="1"/>
  <c r="E3946" i="1"/>
  <c r="E3945" i="1"/>
  <c r="E3944" i="1"/>
  <c r="E3943" i="1"/>
  <c r="E3942" i="1"/>
  <c r="E3941" i="1"/>
  <c r="E3940" i="1"/>
  <c r="E3939" i="1"/>
  <c r="E3938" i="1"/>
  <c r="E3937" i="1"/>
  <c r="E3936" i="1"/>
  <c r="E3935" i="1"/>
  <c r="E3934" i="1"/>
  <c r="E3933" i="1"/>
  <c r="E3932" i="1"/>
  <c r="E3931" i="1"/>
  <c r="E3930" i="1"/>
  <c r="E3929" i="1"/>
  <c r="E3928" i="1"/>
  <c r="E3927" i="1"/>
  <c r="E3926" i="1"/>
  <c r="E3925" i="1"/>
  <c r="E3924" i="1"/>
  <c r="E3923" i="1"/>
  <c r="E3922" i="1"/>
  <c r="E3921" i="1"/>
  <c r="E3920" i="1"/>
  <c r="E3919" i="1"/>
  <c r="E3918" i="1"/>
  <c r="E3917" i="1"/>
  <c r="E3916" i="1"/>
  <c r="E3915" i="1"/>
  <c r="E3914" i="1"/>
  <c r="E3913" i="1"/>
  <c r="E3912" i="1"/>
  <c r="E3911" i="1"/>
  <c r="E3910" i="1"/>
  <c r="E3909" i="1"/>
  <c r="E3908" i="1"/>
  <c r="E3907" i="1"/>
  <c r="E3906" i="1"/>
  <c r="E3905" i="1"/>
  <c r="E3904" i="1"/>
  <c r="E3903" i="1"/>
  <c r="E3902" i="1"/>
  <c r="E3901" i="1"/>
  <c r="E3900" i="1"/>
  <c r="E3899" i="1"/>
  <c r="E3898" i="1"/>
  <c r="E3897" i="1"/>
  <c r="E3896" i="1"/>
  <c r="E3895" i="1"/>
  <c r="E3894" i="1"/>
  <c r="E3893" i="1"/>
  <c r="E3892" i="1"/>
  <c r="E3891" i="1"/>
  <c r="E3890" i="1"/>
  <c r="E3889" i="1"/>
  <c r="E3888" i="1"/>
  <c r="E3887" i="1"/>
  <c r="E3886" i="1"/>
  <c r="E3885" i="1"/>
  <c r="E3884" i="1"/>
  <c r="E3883" i="1"/>
  <c r="E3882" i="1"/>
  <c r="E3881" i="1"/>
  <c r="E3880" i="1"/>
  <c r="E3879" i="1"/>
  <c r="E3878" i="1"/>
  <c r="E3877" i="1"/>
  <c r="E3876" i="1"/>
  <c r="E3875" i="1"/>
  <c r="E3874" i="1"/>
  <c r="E3873" i="1"/>
  <c r="E3872" i="1"/>
  <c r="E3871" i="1"/>
  <c r="E3870" i="1"/>
  <c r="E3869" i="1"/>
  <c r="E3868" i="1"/>
  <c r="E3867" i="1"/>
  <c r="E3866" i="1"/>
  <c r="E3865" i="1"/>
  <c r="E3864" i="1"/>
  <c r="E3863" i="1"/>
  <c r="E3862" i="1"/>
  <c r="E3861" i="1"/>
  <c r="E3860" i="1"/>
  <c r="E3859" i="1"/>
  <c r="E3858" i="1"/>
  <c r="E3857" i="1"/>
  <c r="E3856" i="1"/>
  <c r="E3855" i="1"/>
  <c r="E3854" i="1"/>
  <c r="E3853" i="1"/>
  <c r="E3852" i="1"/>
  <c r="E3851" i="1"/>
  <c r="E3850" i="1"/>
  <c r="E3849" i="1"/>
  <c r="E3848" i="1"/>
  <c r="E3847" i="1"/>
  <c r="E3846" i="1"/>
  <c r="E3845" i="1"/>
  <c r="E3844" i="1"/>
  <c r="E3843" i="1"/>
  <c r="E3842" i="1"/>
  <c r="E3841" i="1"/>
  <c r="E3840" i="1"/>
  <c r="E3839" i="1"/>
  <c r="E3838" i="1"/>
  <c r="E3837" i="1"/>
  <c r="E3836" i="1"/>
  <c r="E3835" i="1"/>
  <c r="E3834" i="1"/>
  <c r="E3833" i="1"/>
  <c r="E3832" i="1"/>
  <c r="E3831" i="1"/>
  <c r="E3830" i="1"/>
  <c r="E3829" i="1"/>
  <c r="E3828" i="1"/>
  <c r="E3827" i="1"/>
  <c r="E3826" i="1"/>
  <c r="E3825" i="1"/>
  <c r="E3824" i="1"/>
  <c r="E3823" i="1"/>
  <c r="E3822" i="1"/>
  <c r="E3821" i="1"/>
  <c r="E3820" i="1"/>
  <c r="E3819" i="1"/>
  <c r="E3818" i="1"/>
  <c r="E3817" i="1"/>
  <c r="E3816" i="1"/>
  <c r="E3815" i="1"/>
  <c r="E3814" i="1"/>
  <c r="E3813" i="1"/>
  <c r="E3812" i="1"/>
  <c r="E3811" i="1"/>
  <c r="E3810" i="1"/>
  <c r="E3809" i="1"/>
  <c r="E3808" i="1"/>
  <c r="E3807" i="1"/>
  <c r="E3806" i="1"/>
  <c r="E3805" i="1"/>
  <c r="E3804" i="1"/>
  <c r="E3803" i="1"/>
  <c r="E3802" i="1"/>
  <c r="E3801" i="1"/>
  <c r="E3800" i="1"/>
  <c r="E3799" i="1"/>
  <c r="E3798" i="1"/>
  <c r="E3797" i="1"/>
  <c r="E3796" i="1"/>
  <c r="E3795" i="1"/>
  <c r="E3794" i="1"/>
  <c r="E3793" i="1"/>
  <c r="E3792" i="1"/>
  <c r="E3791" i="1"/>
  <c r="E3790" i="1"/>
  <c r="E3789" i="1"/>
  <c r="E3788" i="1"/>
  <c r="E3787" i="1"/>
  <c r="E3786" i="1"/>
  <c r="E3785" i="1"/>
  <c r="E3784" i="1"/>
  <c r="E3783" i="1"/>
  <c r="E3782" i="1"/>
  <c r="E3781" i="1"/>
  <c r="E3780" i="1"/>
  <c r="E3779" i="1"/>
  <c r="E3778" i="1"/>
  <c r="E3777" i="1"/>
  <c r="E3776" i="1"/>
  <c r="E3775" i="1"/>
  <c r="E3774" i="1"/>
  <c r="E3773" i="1"/>
  <c r="E3772" i="1"/>
  <c r="E3771" i="1"/>
  <c r="E3770" i="1"/>
  <c r="E3769" i="1"/>
  <c r="E3768" i="1"/>
  <c r="E3767" i="1"/>
  <c r="E3766" i="1"/>
  <c r="E3765" i="1"/>
  <c r="E3764" i="1"/>
  <c r="E3763" i="1"/>
  <c r="E3762" i="1"/>
  <c r="E3761" i="1"/>
  <c r="E3760" i="1"/>
  <c r="E3759" i="1"/>
  <c r="E3758" i="1"/>
  <c r="E3757" i="1"/>
  <c r="E3756" i="1"/>
  <c r="E3755" i="1"/>
  <c r="E3754" i="1"/>
  <c r="E3753" i="1"/>
  <c r="E3752" i="1"/>
  <c r="E3751" i="1"/>
  <c r="E3750" i="1"/>
  <c r="E3749" i="1"/>
  <c r="E3748" i="1"/>
  <c r="E3747" i="1"/>
  <c r="E3746" i="1"/>
  <c r="E3745" i="1"/>
  <c r="E3744" i="1"/>
  <c r="E3743" i="1"/>
  <c r="E3742" i="1"/>
  <c r="E3741" i="1"/>
  <c r="E3740" i="1"/>
  <c r="E3739" i="1"/>
  <c r="E3738" i="1"/>
  <c r="E3737" i="1"/>
  <c r="E3736" i="1"/>
  <c r="E3735" i="1"/>
  <c r="E3734" i="1"/>
  <c r="E3733" i="1"/>
  <c r="E3732" i="1"/>
  <c r="E3731" i="1"/>
  <c r="E3730" i="1"/>
  <c r="E3729" i="1"/>
  <c r="E3728" i="1"/>
  <c r="E3727" i="1"/>
  <c r="E3726" i="1"/>
  <c r="E3725" i="1"/>
  <c r="E3724" i="1"/>
  <c r="E3723" i="1"/>
  <c r="E3722" i="1"/>
  <c r="E3721" i="1"/>
  <c r="E3720" i="1"/>
  <c r="E3719" i="1"/>
  <c r="E3718" i="1"/>
  <c r="E3717" i="1"/>
  <c r="E3716" i="1"/>
  <c r="E3715" i="1"/>
  <c r="E3714" i="1"/>
  <c r="E3713" i="1"/>
  <c r="E3712" i="1"/>
  <c r="E3711" i="1"/>
  <c r="E3710" i="1"/>
  <c r="E3709" i="1"/>
  <c r="E3708" i="1"/>
  <c r="E3707" i="1"/>
  <c r="E3706" i="1"/>
  <c r="E3705" i="1"/>
  <c r="E3704" i="1"/>
  <c r="E3703" i="1"/>
  <c r="E3702" i="1"/>
  <c r="E3701" i="1"/>
  <c r="E3700" i="1"/>
  <c r="E3699" i="1"/>
  <c r="E3698" i="1"/>
  <c r="E3697" i="1"/>
  <c r="E3696" i="1"/>
  <c r="E3695" i="1"/>
  <c r="E3694" i="1"/>
  <c r="E3693" i="1"/>
  <c r="E3692" i="1"/>
  <c r="E3691" i="1"/>
  <c r="E3690" i="1"/>
  <c r="E3689" i="1"/>
  <c r="E3688" i="1"/>
  <c r="E3687" i="1"/>
  <c r="E3686" i="1"/>
  <c r="E3685" i="1"/>
  <c r="E3684" i="1"/>
  <c r="E3683" i="1"/>
  <c r="E3682" i="1"/>
  <c r="E3681" i="1"/>
  <c r="E3680" i="1"/>
  <c r="E3679" i="1"/>
  <c r="E3678" i="1"/>
  <c r="E3677" i="1"/>
  <c r="E3676" i="1"/>
  <c r="E3675" i="1"/>
  <c r="E3674" i="1"/>
  <c r="E3673" i="1"/>
  <c r="E3672" i="1"/>
  <c r="E3671" i="1"/>
  <c r="E3670" i="1"/>
  <c r="E3669" i="1"/>
  <c r="E3668" i="1"/>
  <c r="E3667" i="1"/>
  <c r="E3666" i="1"/>
  <c r="E3665" i="1"/>
  <c r="E3664" i="1"/>
  <c r="E3663" i="1"/>
  <c r="E3662" i="1"/>
  <c r="E3661" i="1"/>
  <c r="E3660" i="1"/>
  <c r="E3659" i="1"/>
  <c r="E3658" i="1"/>
  <c r="E3657" i="1"/>
  <c r="E3656" i="1"/>
  <c r="E3655" i="1"/>
  <c r="E3654" i="1"/>
  <c r="E3653" i="1"/>
  <c r="E3652" i="1"/>
  <c r="E3651" i="1"/>
  <c r="E3650" i="1"/>
  <c r="E3649" i="1"/>
  <c r="E3648" i="1"/>
  <c r="E3647" i="1"/>
  <c r="E3646" i="1"/>
  <c r="E3645" i="1"/>
  <c r="E3644" i="1"/>
  <c r="E3643" i="1"/>
  <c r="E3642" i="1"/>
  <c r="E3641" i="1"/>
  <c r="E3640" i="1"/>
  <c r="E3639" i="1"/>
  <c r="E3638" i="1"/>
  <c r="E3637" i="1"/>
  <c r="E3636" i="1"/>
  <c r="E3635" i="1"/>
  <c r="E3634" i="1"/>
  <c r="E3633" i="1"/>
  <c r="E3632" i="1"/>
  <c r="E3631" i="1"/>
  <c r="E3630" i="1"/>
  <c r="E3629" i="1"/>
  <c r="E3628" i="1"/>
  <c r="E3627" i="1"/>
  <c r="E3626" i="1"/>
  <c r="E3625" i="1"/>
  <c r="E3624" i="1"/>
  <c r="E3623" i="1"/>
  <c r="E3622" i="1"/>
  <c r="E3621" i="1"/>
  <c r="E3620" i="1"/>
  <c r="E3619" i="1"/>
  <c r="E3618" i="1"/>
  <c r="E3617" i="1"/>
  <c r="E3616" i="1"/>
  <c r="E3615" i="1"/>
  <c r="E3614" i="1"/>
  <c r="E3613" i="1"/>
  <c r="E3612" i="1"/>
  <c r="E3611" i="1"/>
  <c r="E3610" i="1"/>
  <c r="E3609" i="1"/>
  <c r="E3608" i="1"/>
  <c r="E3607" i="1"/>
  <c r="E3606" i="1"/>
  <c r="E3605" i="1"/>
  <c r="E3604" i="1"/>
  <c r="E3603" i="1"/>
  <c r="E3602" i="1"/>
  <c r="E3601" i="1"/>
  <c r="E3600" i="1"/>
  <c r="E3599" i="1"/>
  <c r="E3598" i="1"/>
  <c r="E3597" i="1"/>
  <c r="E3596" i="1"/>
  <c r="E3595" i="1"/>
  <c r="E3594" i="1"/>
  <c r="E3593" i="1"/>
  <c r="E3592" i="1"/>
  <c r="E3591" i="1"/>
  <c r="E3590" i="1"/>
  <c r="E3589" i="1"/>
  <c r="E3588" i="1"/>
  <c r="E3587" i="1"/>
  <c r="E3586" i="1"/>
  <c r="E3585" i="1"/>
  <c r="E3584" i="1"/>
  <c r="E3583" i="1"/>
  <c r="E3582" i="1"/>
  <c r="E3581" i="1"/>
  <c r="E3580" i="1"/>
  <c r="E3579" i="1"/>
  <c r="E3578" i="1"/>
  <c r="E3577" i="1"/>
  <c r="E3576" i="1"/>
  <c r="E3575" i="1"/>
  <c r="E3574" i="1"/>
  <c r="E3573" i="1"/>
  <c r="E3572" i="1"/>
  <c r="E3571" i="1"/>
  <c r="E3570" i="1"/>
  <c r="E3569" i="1"/>
  <c r="E3568" i="1"/>
  <c r="E3567" i="1"/>
  <c r="E3566" i="1"/>
  <c r="E3565" i="1"/>
  <c r="E3564" i="1"/>
  <c r="E3563" i="1"/>
  <c r="E3562" i="1"/>
  <c r="E3561" i="1"/>
  <c r="E3560" i="1"/>
  <c r="E3559" i="1"/>
  <c r="E3558" i="1"/>
  <c r="E3557" i="1"/>
  <c r="E3556" i="1"/>
  <c r="E3555" i="1"/>
  <c r="E3554" i="1"/>
  <c r="E3553" i="1"/>
  <c r="E3552" i="1"/>
  <c r="E3551" i="1"/>
  <c r="E3550" i="1"/>
  <c r="E3549" i="1"/>
  <c r="E3548" i="1"/>
  <c r="E3547" i="1"/>
  <c r="E3546" i="1"/>
  <c r="E3545" i="1"/>
  <c r="E3544" i="1"/>
  <c r="E3543" i="1"/>
  <c r="E3542" i="1"/>
  <c r="E3541" i="1"/>
  <c r="E3540" i="1"/>
  <c r="E3539" i="1"/>
  <c r="E3538" i="1"/>
  <c r="E3537" i="1"/>
  <c r="E3536" i="1"/>
  <c r="E3535" i="1"/>
  <c r="E3534" i="1"/>
  <c r="E3533" i="1"/>
  <c r="E3532" i="1"/>
  <c r="E3531" i="1"/>
  <c r="E3530" i="1"/>
  <c r="E3529" i="1"/>
  <c r="E3528" i="1"/>
  <c r="E3527" i="1"/>
  <c r="E3526" i="1"/>
  <c r="E3525" i="1"/>
  <c r="E3524" i="1"/>
  <c r="E3523" i="1"/>
  <c r="E3522" i="1"/>
  <c r="E3521" i="1"/>
  <c r="E3520" i="1"/>
  <c r="E3519" i="1"/>
  <c r="E3518" i="1"/>
  <c r="E3517" i="1"/>
  <c r="E3516" i="1"/>
  <c r="E3515" i="1"/>
  <c r="E3514" i="1"/>
  <c r="E3513" i="1"/>
  <c r="E3512" i="1"/>
  <c r="E3511" i="1"/>
  <c r="E3510" i="1"/>
  <c r="E3509" i="1"/>
  <c r="E3508" i="1"/>
  <c r="E3507" i="1"/>
  <c r="E3506" i="1"/>
  <c r="E3505" i="1"/>
  <c r="E3504" i="1"/>
  <c r="E3503" i="1"/>
  <c r="E3502" i="1"/>
  <c r="E3501" i="1"/>
  <c r="E3500" i="1"/>
  <c r="E3499" i="1"/>
  <c r="E3498" i="1"/>
  <c r="E3497" i="1"/>
  <c r="E3496" i="1"/>
  <c r="E3495" i="1"/>
  <c r="E3494" i="1"/>
  <c r="E3493" i="1"/>
  <c r="E3492" i="1"/>
  <c r="E3491" i="1"/>
  <c r="E3490" i="1"/>
  <c r="E3489" i="1"/>
  <c r="E3488" i="1"/>
  <c r="E3487" i="1"/>
  <c r="E3486" i="1"/>
  <c r="E3485" i="1"/>
  <c r="E3484" i="1"/>
  <c r="E3483" i="1"/>
  <c r="E3482" i="1"/>
  <c r="E3481" i="1"/>
  <c r="E3480" i="1"/>
  <c r="E3479" i="1"/>
  <c r="E3478" i="1"/>
  <c r="E3477" i="1"/>
  <c r="E3476" i="1"/>
  <c r="E3475" i="1"/>
  <c r="E3474" i="1"/>
  <c r="E3473" i="1"/>
  <c r="E3472" i="1"/>
  <c r="E3471" i="1"/>
  <c r="E3470" i="1"/>
  <c r="E3469" i="1"/>
  <c r="E3468" i="1"/>
  <c r="E3467" i="1"/>
  <c r="E3466" i="1"/>
  <c r="E3465" i="1"/>
  <c r="E3464" i="1"/>
  <c r="E3463" i="1"/>
  <c r="E3462" i="1"/>
  <c r="E3461" i="1"/>
  <c r="E3460" i="1"/>
  <c r="E3459" i="1"/>
  <c r="E3458" i="1"/>
  <c r="E3457" i="1"/>
  <c r="E3456" i="1"/>
  <c r="E3455" i="1"/>
  <c r="E3454" i="1"/>
  <c r="E3453" i="1"/>
  <c r="E3452" i="1"/>
  <c r="E3451" i="1"/>
  <c r="E3450" i="1"/>
  <c r="E3449" i="1"/>
  <c r="E3448" i="1"/>
  <c r="E3447" i="1"/>
  <c r="E3446" i="1"/>
  <c r="E3445" i="1"/>
  <c r="E3444" i="1"/>
  <c r="E3443" i="1"/>
  <c r="E3442" i="1"/>
  <c r="E3441" i="1"/>
  <c r="E3440" i="1"/>
  <c r="E3439" i="1"/>
  <c r="E3438" i="1"/>
  <c r="E3437" i="1"/>
  <c r="E3436" i="1"/>
  <c r="E3435" i="1"/>
  <c r="E3434" i="1"/>
  <c r="E3433" i="1"/>
  <c r="E3432" i="1"/>
  <c r="E3431" i="1"/>
  <c r="E3430" i="1"/>
  <c r="E3429" i="1"/>
  <c r="E3428" i="1"/>
  <c r="E3427" i="1"/>
  <c r="E3426" i="1"/>
  <c r="E3425" i="1"/>
  <c r="E3424" i="1"/>
  <c r="E3423" i="1"/>
  <c r="E3422" i="1"/>
  <c r="E3421" i="1"/>
  <c r="E3420" i="1"/>
  <c r="E3419" i="1"/>
  <c r="E3418" i="1"/>
  <c r="E3417" i="1"/>
  <c r="E3416" i="1"/>
  <c r="E3415" i="1"/>
  <c r="E3414" i="1"/>
  <c r="E3413" i="1"/>
  <c r="E3412" i="1"/>
  <c r="E3411" i="1"/>
  <c r="E3410" i="1"/>
  <c r="E3409" i="1"/>
  <c r="E3408" i="1"/>
  <c r="E3407" i="1"/>
  <c r="E3406" i="1"/>
  <c r="E3405" i="1"/>
  <c r="E3404" i="1"/>
  <c r="E3403" i="1"/>
  <c r="E3402" i="1"/>
  <c r="E3401" i="1"/>
  <c r="E3400" i="1"/>
  <c r="E3399" i="1"/>
  <c r="E3398" i="1"/>
  <c r="E3397" i="1"/>
  <c r="E3396" i="1"/>
  <c r="E3395" i="1"/>
  <c r="E3394" i="1"/>
  <c r="E3393" i="1"/>
  <c r="E3392" i="1"/>
  <c r="E3391" i="1"/>
  <c r="E3390" i="1"/>
  <c r="E3389" i="1"/>
  <c r="E3388" i="1"/>
  <c r="E3387" i="1"/>
  <c r="E3386" i="1"/>
  <c r="E3385" i="1"/>
  <c r="E3384" i="1"/>
  <c r="E3383" i="1"/>
  <c r="E3382" i="1"/>
  <c r="E3381" i="1"/>
  <c r="E3380" i="1"/>
  <c r="E3379" i="1"/>
  <c r="E3378" i="1"/>
  <c r="E3377" i="1"/>
  <c r="E3376" i="1"/>
  <c r="E3375" i="1"/>
  <c r="E3374" i="1"/>
  <c r="E3373" i="1"/>
  <c r="E3372" i="1"/>
  <c r="E3371" i="1"/>
  <c r="E3370" i="1"/>
  <c r="E3369" i="1"/>
  <c r="E3368" i="1"/>
  <c r="E3367" i="1"/>
  <c r="E3366" i="1"/>
  <c r="E3365" i="1"/>
  <c r="E3364" i="1"/>
  <c r="E3363" i="1"/>
  <c r="E3362" i="1"/>
  <c r="E3361" i="1"/>
  <c r="E3360" i="1"/>
  <c r="E3359" i="1"/>
  <c r="E3358" i="1"/>
  <c r="E3357" i="1"/>
  <c r="E3356" i="1"/>
  <c r="E3355" i="1"/>
  <c r="E3354" i="1"/>
  <c r="E3353" i="1"/>
  <c r="E3352" i="1"/>
  <c r="E3351" i="1"/>
  <c r="E3350" i="1"/>
  <c r="E3349" i="1"/>
  <c r="E3348" i="1"/>
  <c r="E3347" i="1"/>
  <c r="E3346" i="1"/>
  <c r="E3345" i="1"/>
  <c r="E3344" i="1"/>
  <c r="E3343" i="1"/>
  <c r="E3342" i="1"/>
  <c r="E3341" i="1"/>
  <c r="E3340" i="1"/>
  <c r="E3339" i="1"/>
  <c r="E3338" i="1"/>
  <c r="E3337" i="1"/>
  <c r="E3336" i="1"/>
  <c r="E3335" i="1"/>
  <c r="E3334" i="1"/>
  <c r="E3333" i="1"/>
  <c r="E3332" i="1"/>
  <c r="E3331" i="1"/>
  <c r="E3330" i="1"/>
  <c r="E3329" i="1"/>
  <c r="E3328" i="1"/>
  <c r="E3327" i="1"/>
  <c r="E3326" i="1"/>
  <c r="E3325" i="1"/>
  <c r="E3324" i="1"/>
  <c r="E3323" i="1"/>
  <c r="E3322" i="1"/>
  <c r="E3321" i="1"/>
  <c r="E3320" i="1"/>
  <c r="E3319" i="1"/>
  <c r="E3318" i="1"/>
  <c r="E3317" i="1"/>
  <c r="E3316" i="1"/>
  <c r="E3315" i="1"/>
  <c r="E3314" i="1"/>
  <c r="E3313" i="1"/>
  <c r="E3312" i="1"/>
  <c r="E3311" i="1"/>
  <c r="E3310" i="1"/>
  <c r="E3309" i="1"/>
  <c r="E3308" i="1"/>
  <c r="E3307" i="1"/>
  <c r="E3306" i="1"/>
  <c r="E3305" i="1"/>
  <c r="E3304" i="1"/>
  <c r="E3303" i="1"/>
  <c r="E3302" i="1"/>
  <c r="E3301" i="1"/>
  <c r="E3300" i="1"/>
  <c r="E3299" i="1"/>
  <c r="E3298" i="1"/>
  <c r="E3297" i="1"/>
  <c r="E3296" i="1"/>
  <c r="E3295" i="1"/>
  <c r="E3294" i="1"/>
  <c r="E3293" i="1"/>
  <c r="E3292" i="1"/>
  <c r="E3291" i="1"/>
  <c r="E3290" i="1"/>
  <c r="E3289" i="1"/>
  <c r="E3288" i="1"/>
  <c r="E3287" i="1"/>
  <c r="E3286" i="1"/>
  <c r="E3285" i="1"/>
  <c r="E3284" i="1"/>
  <c r="E3283" i="1"/>
  <c r="E3282" i="1"/>
  <c r="E3281" i="1"/>
  <c r="E3280" i="1"/>
  <c r="E3279" i="1"/>
  <c r="E3278" i="1"/>
  <c r="E3277" i="1"/>
  <c r="E3276" i="1"/>
  <c r="E3275" i="1"/>
  <c r="E3274" i="1"/>
  <c r="E3273" i="1"/>
  <c r="E3272" i="1"/>
  <c r="E3271" i="1"/>
  <c r="E3270" i="1"/>
  <c r="E3269" i="1"/>
  <c r="E3268" i="1"/>
  <c r="E3267" i="1"/>
  <c r="E3266" i="1"/>
  <c r="E3265" i="1"/>
  <c r="E3264" i="1"/>
  <c r="E3263" i="1"/>
  <c r="E3262" i="1"/>
  <c r="E3261" i="1"/>
  <c r="E3260" i="1"/>
  <c r="E3259" i="1"/>
  <c r="E3258" i="1"/>
  <c r="E3257" i="1"/>
  <c r="E3256" i="1"/>
  <c r="E3255" i="1"/>
  <c r="E3254" i="1"/>
  <c r="E3253" i="1"/>
  <c r="E3252" i="1"/>
  <c r="E3251" i="1"/>
  <c r="E3250" i="1"/>
  <c r="E3249" i="1"/>
  <c r="E3248" i="1"/>
  <c r="E3247" i="1"/>
  <c r="E3246" i="1"/>
  <c r="E3245" i="1"/>
  <c r="E3244" i="1"/>
  <c r="E3243" i="1"/>
  <c r="E3242" i="1"/>
  <c r="E3241" i="1"/>
  <c r="E3240" i="1"/>
  <c r="E3239" i="1"/>
  <c r="E3238" i="1"/>
  <c r="E3237" i="1"/>
  <c r="E3236" i="1"/>
  <c r="E3235" i="1"/>
  <c r="E3234" i="1"/>
  <c r="E3233" i="1"/>
  <c r="E3232" i="1"/>
  <c r="E3231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206" i="1"/>
  <c r="E3205" i="1"/>
  <c r="E3204" i="1"/>
  <c r="E3203" i="1"/>
  <c r="E3202" i="1"/>
  <c r="E3201" i="1"/>
  <c r="E3200" i="1"/>
  <c r="E3199" i="1"/>
  <c r="E3198" i="1"/>
  <c r="E3197" i="1"/>
  <c r="E3196" i="1"/>
  <c r="E3195" i="1"/>
  <c r="E3194" i="1"/>
  <c r="E3193" i="1"/>
  <c r="E3192" i="1"/>
  <c r="E3191" i="1"/>
  <c r="E3190" i="1"/>
  <c r="E3189" i="1"/>
  <c r="E3188" i="1"/>
  <c r="E3187" i="1"/>
  <c r="E3186" i="1"/>
  <c r="E3185" i="1"/>
  <c r="E3184" i="1"/>
  <c r="E3183" i="1"/>
  <c r="E3182" i="1"/>
  <c r="E3181" i="1"/>
  <c r="E3180" i="1"/>
  <c r="E3179" i="1"/>
  <c r="E3178" i="1"/>
  <c r="E3177" i="1"/>
  <c r="E3176" i="1"/>
  <c r="E3175" i="1"/>
  <c r="E3174" i="1"/>
  <c r="E3173" i="1"/>
  <c r="E3172" i="1"/>
  <c r="E3171" i="1"/>
  <c r="E3170" i="1"/>
  <c r="E3169" i="1"/>
  <c r="E3168" i="1"/>
  <c r="E3167" i="1"/>
  <c r="E3166" i="1"/>
  <c r="E3165" i="1"/>
  <c r="E3164" i="1"/>
  <c r="E3163" i="1"/>
  <c r="E3162" i="1"/>
  <c r="E3161" i="1"/>
  <c r="E3160" i="1"/>
  <c r="E3159" i="1"/>
  <c r="E3158" i="1"/>
  <c r="E3157" i="1"/>
  <c r="E3156" i="1"/>
  <c r="E3155" i="1"/>
  <c r="E3154" i="1"/>
  <c r="E3153" i="1"/>
  <c r="E3152" i="1"/>
  <c r="E3151" i="1"/>
  <c r="E3150" i="1"/>
  <c r="E3149" i="1"/>
  <c r="E3148" i="1"/>
  <c r="E3147" i="1"/>
  <c r="E3146" i="1"/>
  <c r="E3145" i="1"/>
  <c r="E3144" i="1"/>
  <c r="E3143" i="1"/>
  <c r="E3142" i="1"/>
  <c r="E3141" i="1"/>
  <c r="E3140" i="1"/>
  <c r="E3139" i="1"/>
  <c r="E3138" i="1"/>
  <c r="E3137" i="1"/>
  <c r="E3136" i="1"/>
  <c r="E3135" i="1"/>
  <c r="E3134" i="1"/>
  <c r="E3133" i="1"/>
  <c r="E3132" i="1"/>
  <c r="E3131" i="1"/>
  <c r="E3130" i="1"/>
  <c r="E3129" i="1"/>
  <c r="E3128" i="1"/>
  <c r="E3127" i="1"/>
  <c r="E3126" i="1"/>
  <c r="E3125" i="1"/>
  <c r="E3124" i="1"/>
  <c r="E3123" i="1"/>
  <c r="E3122" i="1"/>
  <c r="E3121" i="1"/>
  <c r="E3120" i="1"/>
  <c r="E3119" i="1"/>
  <c r="E3118" i="1"/>
  <c r="E3117" i="1"/>
  <c r="E3116" i="1"/>
  <c r="E3115" i="1"/>
  <c r="E3114" i="1"/>
  <c r="E3113" i="1"/>
  <c r="E3112" i="1"/>
  <c r="E3111" i="1"/>
  <c r="E3110" i="1"/>
  <c r="E3109" i="1"/>
  <c r="E3108" i="1"/>
  <c r="E3107" i="1"/>
  <c r="E3106" i="1"/>
  <c r="E3105" i="1"/>
  <c r="E3104" i="1"/>
  <c r="E3103" i="1"/>
  <c r="E3102" i="1"/>
  <c r="E3101" i="1"/>
  <c r="E3100" i="1"/>
  <c r="E3099" i="1"/>
  <c r="E3098" i="1"/>
  <c r="E3097" i="1"/>
  <c r="E3096" i="1"/>
  <c r="E3095" i="1"/>
  <c r="E3094" i="1"/>
  <c r="E3093" i="1"/>
  <c r="E3092" i="1"/>
  <c r="E3091" i="1"/>
  <c r="E3090" i="1"/>
  <c r="E3089" i="1"/>
  <c r="E3088" i="1"/>
  <c r="E3087" i="1"/>
  <c r="E3086" i="1"/>
  <c r="E3085" i="1"/>
  <c r="E3084" i="1"/>
  <c r="E3083" i="1"/>
  <c r="E3082" i="1"/>
  <c r="E3081" i="1"/>
  <c r="E3080" i="1"/>
  <c r="E3079" i="1"/>
  <c r="E3078" i="1"/>
  <c r="E3077" i="1"/>
  <c r="E3076" i="1"/>
  <c r="E3075" i="1"/>
  <c r="E3074" i="1"/>
  <c r="E3073" i="1"/>
  <c r="E3072" i="1"/>
  <c r="E3071" i="1"/>
  <c r="E3070" i="1"/>
  <c r="E3069" i="1"/>
  <c r="E3068" i="1"/>
  <c r="E3067" i="1"/>
  <c r="E3066" i="1"/>
  <c r="E3065" i="1"/>
  <c r="E3064" i="1"/>
  <c r="E3063" i="1"/>
  <c r="E3062" i="1"/>
  <c r="E3061" i="1"/>
  <c r="E3060" i="1"/>
  <c r="E3059" i="1"/>
  <c r="E3058" i="1"/>
  <c r="E3057" i="1"/>
  <c r="E3056" i="1"/>
  <c r="E3055" i="1"/>
  <c r="E3054" i="1"/>
  <c r="E3053" i="1"/>
  <c r="E3052" i="1"/>
  <c r="E3051" i="1"/>
  <c r="E3050" i="1"/>
  <c r="E3049" i="1"/>
  <c r="E3048" i="1"/>
  <c r="E3047" i="1"/>
  <c r="E3046" i="1"/>
  <c r="E3045" i="1"/>
  <c r="E3044" i="1"/>
  <c r="E3043" i="1"/>
  <c r="E3042" i="1"/>
  <c r="E3041" i="1"/>
  <c r="E3040" i="1"/>
  <c r="E3039" i="1"/>
  <c r="E3038" i="1"/>
  <c r="E3037" i="1"/>
  <c r="E3036" i="1"/>
  <c r="E3035" i="1"/>
  <c r="E3034" i="1"/>
  <c r="E3033" i="1"/>
  <c r="E3032" i="1"/>
  <c r="E3031" i="1"/>
  <c r="E3030" i="1"/>
  <c r="E3029" i="1"/>
  <c r="E3028" i="1"/>
  <c r="E3027" i="1"/>
  <c r="E3026" i="1"/>
  <c r="E3025" i="1"/>
  <c r="E3024" i="1"/>
  <c r="E3023" i="1"/>
  <c r="E3022" i="1"/>
  <c r="E3021" i="1"/>
  <c r="E3020" i="1"/>
  <c r="E3019" i="1"/>
  <c r="E3018" i="1"/>
  <c r="E3017" i="1"/>
  <c r="E3016" i="1"/>
  <c r="E3015" i="1"/>
  <c r="E3014" i="1"/>
  <c r="E3013" i="1"/>
  <c r="E3012" i="1"/>
  <c r="E3011" i="1"/>
  <c r="E3010" i="1"/>
  <c r="E3009" i="1"/>
  <c r="E3008" i="1"/>
  <c r="E3007" i="1"/>
  <c r="E3006" i="1"/>
  <c r="E3005" i="1"/>
  <c r="E3004" i="1"/>
  <c r="E3003" i="1"/>
  <c r="E3002" i="1"/>
  <c r="E3001" i="1"/>
  <c r="E3000" i="1"/>
  <c r="E2999" i="1"/>
  <c r="E2998" i="1"/>
  <c r="E2997" i="1"/>
  <c r="E2996" i="1"/>
  <c r="E2995" i="1"/>
  <c r="E2994" i="1"/>
  <c r="E2993" i="1"/>
  <c r="E2992" i="1"/>
  <c r="E2991" i="1"/>
  <c r="E2990" i="1"/>
  <c r="E2989" i="1"/>
  <c r="E2988" i="1"/>
  <c r="E2987" i="1"/>
  <c r="E2986" i="1"/>
  <c r="E2985" i="1"/>
  <c r="E2984" i="1"/>
  <c r="E2983" i="1"/>
  <c r="E2982" i="1"/>
  <c r="E2981" i="1"/>
  <c r="E2980" i="1"/>
  <c r="E2979" i="1"/>
  <c r="E2978" i="1"/>
  <c r="E2977" i="1"/>
  <c r="E2976" i="1"/>
  <c r="E2975" i="1"/>
  <c r="E2974" i="1"/>
  <c r="E2973" i="1"/>
  <c r="E2972" i="1"/>
  <c r="E2971" i="1"/>
  <c r="E2970" i="1"/>
  <c r="E2969" i="1"/>
  <c r="E2968" i="1"/>
  <c r="E2967" i="1"/>
  <c r="E2966" i="1"/>
  <c r="E2965" i="1"/>
  <c r="E2964" i="1"/>
  <c r="E2963" i="1"/>
  <c r="E2962" i="1"/>
  <c r="E2961" i="1"/>
  <c r="E2960" i="1"/>
  <c r="E2959" i="1"/>
  <c r="E2958" i="1"/>
  <c r="E2957" i="1"/>
  <c r="E2956" i="1"/>
  <c r="E2955" i="1"/>
  <c r="E2954" i="1"/>
  <c r="E2953" i="1"/>
  <c r="E2952" i="1"/>
  <c r="E2951" i="1"/>
  <c r="E2950" i="1"/>
  <c r="E2949" i="1"/>
  <c r="E2948" i="1"/>
  <c r="E2947" i="1"/>
  <c r="E2946" i="1"/>
  <c r="E2945" i="1"/>
  <c r="E2944" i="1"/>
  <c r="E2943" i="1"/>
  <c r="E2942" i="1"/>
  <c r="E2941" i="1"/>
  <c r="E2940" i="1"/>
  <c r="E2939" i="1"/>
  <c r="E2938" i="1"/>
  <c r="E2937" i="1"/>
  <c r="E2936" i="1"/>
  <c r="E2935" i="1"/>
  <c r="E2934" i="1"/>
  <c r="E2933" i="1"/>
  <c r="E2932" i="1"/>
  <c r="E2931" i="1"/>
  <c r="E2930" i="1"/>
  <c r="E2929" i="1"/>
  <c r="E2928" i="1"/>
  <c r="E2927" i="1"/>
  <c r="E2926" i="1"/>
  <c r="E2925" i="1"/>
  <c r="E2924" i="1"/>
  <c r="E2923" i="1"/>
  <c r="E2922" i="1"/>
  <c r="E2921" i="1"/>
  <c r="E2920" i="1"/>
  <c r="E2919" i="1"/>
  <c r="E2918" i="1"/>
  <c r="E2917" i="1"/>
  <c r="E2916" i="1"/>
  <c r="E2915" i="1"/>
  <c r="E2914" i="1"/>
  <c r="E2913" i="1"/>
  <c r="E2912" i="1"/>
  <c r="E2911" i="1"/>
  <c r="E2910" i="1"/>
  <c r="E2909" i="1"/>
  <c r="E2908" i="1"/>
  <c r="E2907" i="1"/>
  <c r="E2906" i="1"/>
  <c r="E2905" i="1"/>
  <c r="E2904" i="1"/>
  <c r="E2903" i="1"/>
  <c r="E2902" i="1"/>
  <c r="E2901" i="1"/>
  <c r="E2900" i="1"/>
  <c r="E2899" i="1"/>
  <c r="E2898" i="1"/>
  <c r="E2897" i="1"/>
  <c r="E2896" i="1"/>
  <c r="E2895" i="1"/>
  <c r="E2894" i="1"/>
  <c r="E2893" i="1"/>
  <c r="E2892" i="1"/>
  <c r="E2891" i="1"/>
  <c r="E2890" i="1"/>
  <c r="E2889" i="1"/>
  <c r="E2888" i="1"/>
  <c r="E2887" i="1"/>
  <c r="E2886" i="1"/>
  <c r="E2885" i="1"/>
  <c r="E2884" i="1"/>
  <c r="E2883" i="1"/>
  <c r="E2882" i="1"/>
  <c r="E2881" i="1"/>
  <c r="E2880" i="1"/>
  <c r="E2879" i="1"/>
  <c r="E2878" i="1"/>
  <c r="E2877" i="1"/>
  <c r="E2876" i="1"/>
  <c r="E2875" i="1"/>
  <c r="E2874" i="1"/>
  <c r="E2873" i="1"/>
  <c r="E2872" i="1"/>
  <c r="E2871" i="1"/>
  <c r="E2870" i="1"/>
  <c r="E2869" i="1"/>
  <c r="E2868" i="1"/>
  <c r="E2867" i="1"/>
  <c r="E2866" i="1"/>
  <c r="E2865" i="1"/>
  <c r="E2864" i="1"/>
  <c r="E2863" i="1"/>
  <c r="E2862" i="1"/>
  <c r="E2861" i="1"/>
  <c r="E2860" i="1"/>
  <c r="E2859" i="1"/>
  <c r="E2858" i="1"/>
  <c r="E2857" i="1"/>
  <c r="E2856" i="1"/>
  <c r="E2855" i="1"/>
  <c r="E2854" i="1"/>
  <c r="E2853" i="1"/>
  <c r="E2852" i="1"/>
  <c r="E2851" i="1"/>
  <c r="E2850" i="1"/>
  <c r="E2849" i="1"/>
  <c r="E2848" i="1"/>
  <c r="E2847" i="1"/>
  <c r="E2846" i="1"/>
  <c r="E2845" i="1"/>
  <c r="E2844" i="1"/>
  <c r="E2843" i="1"/>
  <c r="E2842" i="1"/>
  <c r="E2841" i="1"/>
  <c r="E2840" i="1"/>
  <c r="E2839" i="1"/>
  <c r="E2838" i="1"/>
  <c r="E2837" i="1"/>
  <c r="E2836" i="1"/>
  <c r="E2835" i="1"/>
  <c r="E2834" i="1"/>
  <c r="E2833" i="1"/>
  <c r="E2832" i="1"/>
  <c r="E2831" i="1"/>
  <c r="E2830" i="1"/>
  <c r="E2829" i="1"/>
  <c r="E2828" i="1"/>
  <c r="E2827" i="1"/>
  <c r="E2826" i="1"/>
  <c r="E2825" i="1"/>
  <c r="E2824" i="1"/>
  <c r="E2823" i="1"/>
  <c r="E2822" i="1"/>
  <c r="E2821" i="1"/>
  <c r="E2820" i="1"/>
  <c r="E2819" i="1"/>
  <c r="E2818" i="1"/>
  <c r="E2817" i="1"/>
  <c r="E2816" i="1"/>
  <c r="E2815" i="1"/>
  <c r="E2814" i="1"/>
  <c r="E2813" i="1"/>
  <c r="E2812" i="1"/>
  <c r="E2811" i="1"/>
  <c r="E2810" i="1"/>
  <c r="E2809" i="1"/>
  <c r="E2808" i="1"/>
  <c r="E2807" i="1"/>
  <c r="E2806" i="1"/>
  <c r="E2805" i="1"/>
  <c r="E2804" i="1"/>
  <c r="E2803" i="1"/>
  <c r="E2802" i="1"/>
  <c r="E2801" i="1"/>
  <c r="E2800" i="1"/>
  <c r="E2799" i="1"/>
  <c r="E2798" i="1"/>
  <c r="E2797" i="1"/>
  <c r="E2796" i="1"/>
  <c r="E2795" i="1"/>
  <c r="E2794" i="1"/>
  <c r="E2793" i="1"/>
  <c r="E2792" i="1"/>
  <c r="E2791" i="1"/>
  <c r="E2790" i="1"/>
  <c r="E2789" i="1"/>
  <c r="E2788" i="1"/>
  <c r="E2787" i="1"/>
  <c r="E2786" i="1"/>
  <c r="E2785" i="1"/>
  <c r="E2784" i="1"/>
  <c r="E2783" i="1"/>
  <c r="E2782" i="1"/>
  <c r="E2781" i="1"/>
  <c r="E2780" i="1"/>
  <c r="E2779" i="1"/>
  <c r="E2778" i="1"/>
  <c r="E2777" i="1"/>
  <c r="E2776" i="1"/>
  <c r="E2774" i="1"/>
  <c r="E2773" i="1"/>
  <c r="E2772" i="1"/>
  <c r="E2771" i="1"/>
  <c r="E2770" i="1"/>
  <c r="E2769" i="1"/>
  <c r="E2765" i="1"/>
  <c r="E2764" i="1"/>
  <c r="E2763" i="1"/>
  <c r="E2760" i="1"/>
  <c r="E2759" i="1"/>
  <c r="E2758" i="1"/>
  <c r="E2757" i="1"/>
  <c r="E2749" i="1"/>
  <c r="E2748" i="1"/>
  <c r="E2747" i="1"/>
  <c r="E2746" i="1"/>
  <c r="E2743" i="1"/>
  <c r="E2742" i="1"/>
  <c r="E2741" i="1"/>
  <c r="E2740" i="1"/>
  <c r="E2739" i="1"/>
  <c r="E2724" i="1"/>
  <c r="E2723" i="1"/>
  <c r="E2722" i="1"/>
  <c r="E2721" i="1"/>
  <c r="E2720" i="1"/>
  <c r="E2719" i="1"/>
  <c r="E2718" i="1"/>
  <c r="E2717" i="1"/>
  <c r="A2717" i="1"/>
  <c r="A2718" i="1" s="1"/>
  <c r="A2719" i="1" s="1"/>
  <c r="A2720" i="1" s="1"/>
  <c r="A2721" i="1" s="1"/>
  <c r="A2722" i="1" s="1"/>
  <c r="A2723" i="1" s="1"/>
  <c r="A2724" i="1" s="1"/>
  <c r="A2726" i="1" s="1"/>
  <c r="A2727" i="1" s="1"/>
  <c r="E2714" i="1"/>
  <c r="E2713" i="1"/>
  <c r="E2712" i="1"/>
  <c r="E2711" i="1"/>
  <c r="E2710" i="1"/>
  <c r="E2709" i="1"/>
  <c r="E2708" i="1"/>
  <c r="E2707" i="1"/>
  <c r="E2706" i="1"/>
  <c r="E2705" i="1"/>
  <c r="E2704" i="1"/>
  <c r="A2704" i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E2703" i="1"/>
  <c r="E2698" i="1"/>
  <c r="E2697" i="1"/>
  <c r="E2696" i="1"/>
  <c r="A2696" i="1"/>
  <c r="A2697" i="1" s="1"/>
  <c r="E2684" i="1"/>
  <c r="E2683" i="1"/>
  <c r="E2682" i="1"/>
  <c r="E2681" i="1"/>
  <c r="A2681" i="1"/>
  <c r="A2682" i="1" s="1"/>
  <c r="A2683" i="1" s="1"/>
  <c r="A2684" i="1" s="1"/>
  <c r="A2685" i="1" s="1"/>
  <c r="A2686" i="1" s="1"/>
  <c r="A2687" i="1" s="1"/>
  <c r="A2688" i="1" s="1"/>
  <c r="A2689" i="1" s="1"/>
  <c r="E2679" i="1"/>
  <c r="E2678" i="1"/>
  <c r="E2677" i="1"/>
  <c r="E2676" i="1"/>
  <c r="E2675" i="1"/>
  <c r="E2674" i="1"/>
  <c r="E2673" i="1"/>
  <c r="E2672" i="1"/>
  <c r="E2670" i="1"/>
  <c r="E2669" i="1"/>
  <c r="A2669" i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E2663" i="1"/>
  <c r="A2663" i="1"/>
  <c r="E2662" i="1"/>
  <c r="E2661" i="1"/>
  <c r="E2660" i="1"/>
  <c r="A2660" i="1"/>
  <c r="A2661" i="1" s="1"/>
  <c r="E2658" i="1"/>
  <c r="E2657" i="1"/>
  <c r="E2656" i="1"/>
  <c r="E2655" i="1"/>
  <c r="E2654" i="1"/>
  <c r="E2653" i="1"/>
  <c r="E2651" i="1"/>
  <c r="E2650" i="1"/>
  <c r="E2649" i="1"/>
  <c r="E2648" i="1"/>
  <c r="E2647" i="1"/>
  <c r="E2646" i="1"/>
  <c r="E2645" i="1"/>
  <c r="E2644" i="1"/>
  <c r="A2643" i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E2634" i="1"/>
  <c r="E2633" i="1"/>
  <c r="E2631" i="1"/>
  <c r="E2630" i="1"/>
  <c r="E2629" i="1"/>
  <c r="A2629" i="1"/>
  <c r="A2630" i="1" s="1"/>
  <c r="A2631" i="1" s="1"/>
  <c r="A2632" i="1" s="1"/>
  <c r="A2633" i="1" s="1"/>
  <c r="A2634" i="1" s="1"/>
  <c r="E2628" i="1"/>
  <c r="E2619" i="1"/>
  <c r="E2618" i="1"/>
  <c r="E2616" i="1"/>
  <c r="E2615" i="1"/>
  <c r="E2614" i="1"/>
  <c r="E2613" i="1"/>
  <c r="A2613" i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E2611" i="1"/>
  <c r="E2609" i="1"/>
  <c r="E2608" i="1"/>
  <c r="E2605" i="1"/>
  <c r="E2604" i="1"/>
  <c r="E2603" i="1"/>
  <c r="A2603" i="1"/>
  <c r="A2604" i="1" s="1"/>
  <c r="A2605" i="1" s="1"/>
  <c r="E2602" i="1"/>
  <c r="E2599" i="1"/>
  <c r="E2598" i="1"/>
  <c r="E2597" i="1"/>
  <c r="E2596" i="1"/>
  <c r="E2595" i="1"/>
  <c r="E2594" i="1"/>
  <c r="E2593" i="1"/>
  <c r="A2593" i="1"/>
  <c r="A2594" i="1" s="1"/>
  <c r="A2595" i="1" s="1"/>
  <c r="A2596" i="1" s="1"/>
  <c r="A2597" i="1" s="1"/>
  <c r="A2598" i="1" s="1"/>
  <c r="A2599" i="1" s="1"/>
  <c r="A2600" i="1" s="1"/>
  <c r="A2601" i="1" s="1"/>
  <c r="E2592" i="1"/>
  <c r="E2590" i="1"/>
  <c r="E2589" i="1"/>
  <c r="E2586" i="1"/>
  <c r="E2585" i="1"/>
  <c r="E2584" i="1"/>
  <c r="E2583" i="1"/>
  <c r="A2581" i="1"/>
  <c r="A2582" i="1" s="1"/>
  <c r="A2583" i="1" s="1"/>
  <c r="A2584" i="1" s="1"/>
  <c r="A2585" i="1" s="1"/>
  <c r="A2586" i="1" s="1"/>
  <c r="A2587" i="1" s="1"/>
  <c r="A2588" i="1" s="1"/>
  <c r="A2589" i="1" s="1"/>
  <c r="A2590" i="1" s="1"/>
  <c r="E2579" i="1"/>
  <c r="E2578" i="1"/>
  <c r="A2576" i="1"/>
  <c r="A2577" i="1" s="1"/>
  <c r="A2578" i="1" s="1"/>
  <c r="A2579" i="1" s="1"/>
  <c r="E2570" i="1"/>
  <c r="E2569" i="1"/>
  <c r="E2568" i="1"/>
  <c r="A2568" i="1"/>
  <c r="A2569" i="1" s="1"/>
  <c r="A2570" i="1" s="1"/>
  <c r="E2567" i="1"/>
  <c r="E2566" i="1"/>
  <c r="E2565" i="1"/>
  <c r="E2563" i="1"/>
  <c r="E2562" i="1"/>
  <c r="E2561" i="1"/>
  <c r="A2561" i="1"/>
  <c r="A2562" i="1" s="1"/>
  <c r="A2563" i="1" s="1"/>
  <c r="A2564" i="1" s="1"/>
  <c r="A2565" i="1" s="1"/>
  <c r="A2566" i="1" s="1"/>
  <c r="E2560" i="1"/>
  <c r="E2559" i="1"/>
  <c r="E2558" i="1"/>
  <c r="E2556" i="1"/>
  <c r="E2555" i="1"/>
  <c r="E2554" i="1"/>
  <c r="A2554" i="1"/>
  <c r="A2555" i="1" s="1"/>
  <c r="A2556" i="1" s="1"/>
  <c r="E2553" i="1"/>
  <c r="E2522" i="1"/>
  <c r="E2521" i="1"/>
  <c r="A2519" i="1"/>
  <c r="A2520" i="1" s="1"/>
  <c r="A2521" i="1" s="1"/>
  <c r="A2522" i="1" s="1"/>
  <c r="A2523" i="1" s="1"/>
  <c r="A2524" i="1" s="1"/>
  <c r="A2516" i="1"/>
  <c r="E2510" i="1"/>
  <c r="A2510" i="1"/>
  <c r="A2511" i="1" s="1"/>
  <c r="E2509" i="1"/>
  <c r="E2498" i="1"/>
  <c r="A2498" i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492" i="1"/>
  <c r="A2493" i="1" s="1"/>
  <c r="A2494" i="1" s="1"/>
  <c r="A2489" i="1"/>
  <c r="A2490" i="1" s="1"/>
  <c r="E2481" i="1"/>
  <c r="A2481" i="1"/>
  <c r="A2482" i="1" s="1"/>
  <c r="A2483" i="1" s="1"/>
  <c r="A2484" i="1" s="1"/>
  <c r="E2480" i="1"/>
  <c r="E2479" i="1"/>
  <c r="E2478" i="1"/>
  <c r="A2476" i="1"/>
  <c r="A2477" i="1" s="1"/>
  <c r="E2467" i="1"/>
  <c r="E2466" i="1"/>
  <c r="E2465" i="1"/>
  <c r="E2464" i="1"/>
  <c r="E2463" i="1"/>
  <c r="E2461" i="1"/>
  <c r="A2461" i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57" i="1"/>
  <c r="A2458" i="1" s="1"/>
  <c r="A2459" i="1" s="1"/>
  <c r="E2454" i="1"/>
  <c r="E2453" i="1"/>
  <c r="A2452" i="1"/>
  <c r="A2453" i="1" s="1"/>
  <c r="A2454" i="1" s="1"/>
  <c r="A2455" i="1" s="1"/>
  <c r="E2449" i="1"/>
  <c r="E2448" i="1"/>
  <c r="E2447" i="1"/>
  <c r="E2446" i="1"/>
  <c r="E2445" i="1"/>
  <c r="E2444" i="1"/>
  <c r="A2443" i="1"/>
  <c r="A2444" i="1" s="1"/>
  <c r="A2445" i="1" s="1"/>
  <c r="A2446" i="1" s="1"/>
  <c r="A2447" i="1" s="1"/>
  <c r="A2448" i="1" s="1"/>
  <c r="A2449" i="1" s="1"/>
  <c r="A2450" i="1" s="1"/>
  <c r="A2440" i="1"/>
  <c r="A2441" i="1" s="1"/>
  <c r="A2430" i="1"/>
  <c r="A2427" i="1"/>
  <c r="A2428" i="1" s="1"/>
  <c r="E2417" i="1"/>
  <c r="E2416" i="1"/>
  <c r="A2416" i="1"/>
  <c r="A2417" i="1" s="1"/>
  <c r="A2418" i="1" s="1"/>
  <c r="A2419" i="1" s="1"/>
  <c r="E2413" i="1"/>
  <c r="D2413" i="1"/>
  <c r="A2413" i="1"/>
  <c r="A2414" i="1" s="1"/>
  <c r="A2401" i="1"/>
  <c r="E2399" i="1"/>
  <c r="A2399" i="1"/>
  <c r="A2402" i="1" s="1"/>
  <c r="E2398" i="1"/>
  <c r="E2397" i="1"/>
  <c r="A2397" i="1"/>
  <c r="A2400" i="1" s="1"/>
  <c r="A2403" i="1" s="1"/>
  <c r="A2404" i="1" s="1"/>
  <c r="A2405" i="1" s="1"/>
  <c r="E2396" i="1"/>
  <c r="A2394" i="1"/>
  <c r="A2395" i="1" s="1"/>
  <c r="E2390" i="1"/>
  <c r="E2389" i="1"/>
  <c r="E2388" i="1"/>
  <c r="E2387" i="1"/>
  <c r="A2387" i="1"/>
  <c r="A2388" i="1" s="1"/>
  <c r="A2389" i="1" s="1"/>
  <c r="A2390" i="1" s="1"/>
  <c r="A2391" i="1" s="1"/>
  <c r="A2392" i="1" s="1"/>
  <c r="E2386" i="1"/>
  <c r="E2377" i="1"/>
  <c r="A2376" i="1"/>
  <c r="A2377" i="1" s="1"/>
  <c r="A2378" i="1" s="1"/>
  <c r="A2365" i="1"/>
  <c r="A2366" i="1" s="1"/>
  <c r="A2367" i="1" s="1"/>
  <c r="A2368" i="1" s="1"/>
  <c r="A2369" i="1" s="1"/>
  <c r="A2370" i="1" s="1"/>
  <c r="E2363" i="1"/>
  <c r="E2362" i="1"/>
  <c r="E2360" i="1"/>
  <c r="E2359" i="1"/>
  <c r="E2358" i="1"/>
  <c r="E2357" i="1"/>
  <c r="E2356" i="1"/>
  <c r="E2355" i="1"/>
  <c r="E2354" i="1"/>
  <c r="E2353" i="1"/>
  <c r="A2353" i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E2352" i="1"/>
  <c r="A2345" i="1"/>
  <c r="A2346" i="1" s="1"/>
  <c r="A2347" i="1" s="1"/>
  <c r="E2344" i="1"/>
  <c r="E2335" i="1"/>
  <c r="E2334" i="1"/>
  <c r="E2333" i="1"/>
  <c r="E2332" i="1"/>
  <c r="E2331" i="1"/>
  <c r="E2330" i="1"/>
  <c r="E2329" i="1"/>
  <c r="E2328" i="1"/>
  <c r="A2328" i="1"/>
  <c r="A2329" i="1" s="1"/>
  <c r="A2330" i="1" s="1"/>
  <c r="A2331" i="1" s="1"/>
  <c r="A2332" i="1" s="1"/>
  <c r="A2333" i="1" s="1"/>
  <c r="A2334" i="1" s="1"/>
  <c r="A2335" i="1" s="1"/>
  <c r="A2336" i="1" s="1"/>
  <c r="E2312" i="1"/>
  <c r="E2311" i="1"/>
  <c r="E2309" i="1"/>
  <c r="E2308" i="1"/>
  <c r="A2307" i="1"/>
  <c r="A2308" i="1" s="1"/>
  <c r="A2309" i="1" s="1"/>
  <c r="A2310" i="1" s="1"/>
  <c r="A2311" i="1" s="1"/>
  <c r="A2312" i="1" s="1"/>
  <c r="A2313" i="1" s="1"/>
  <c r="A2314" i="1" s="1"/>
  <c r="A2315" i="1" s="1"/>
  <c r="A2316" i="1" s="1"/>
  <c r="A2296" i="1"/>
  <c r="E2294" i="1"/>
  <c r="E2293" i="1"/>
  <c r="E2291" i="1"/>
  <c r="E2290" i="1"/>
  <c r="E2289" i="1"/>
  <c r="E2288" i="1"/>
  <c r="A2288" i="1"/>
  <c r="A2289" i="1" s="1"/>
  <c r="A2290" i="1" s="1"/>
  <c r="A2291" i="1" s="1"/>
  <c r="E2286" i="1"/>
  <c r="E2285" i="1"/>
  <c r="E2284" i="1"/>
  <c r="E2283" i="1"/>
  <c r="E2282" i="1"/>
  <c r="E2281" i="1"/>
  <c r="E2280" i="1"/>
  <c r="E2279" i="1"/>
  <c r="A2278" i="1"/>
  <c r="A2279" i="1" s="1"/>
  <c r="A2280" i="1" s="1"/>
  <c r="A2281" i="1" s="1"/>
  <c r="A2282" i="1" s="1"/>
  <c r="A2283" i="1" s="1"/>
  <c r="A2284" i="1" s="1"/>
  <c r="A2285" i="1" s="1"/>
  <c r="A2286" i="1" s="1"/>
  <c r="A2272" i="1"/>
  <c r="E2263" i="1"/>
  <c r="A2263" i="1"/>
  <c r="A2264" i="1" s="1"/>
  <c r="A2265" i="1" s="1"/>
  <c r="A2266" i="1" s="1"/>
  <c r="A2267" i="1" s="1"/>
  <c r="A2268" i="1" s="1"/>
  <c r="E2262" i="1"/>
  <c r="E2258" i="1"/>
  <c r="E2257" i="1"/>
  <c r="E2256" i="1"/>
  <c r="E2255" i="1"/>
  <c r="E2254" i="1"/>
  <c r="E2253" i="1"/>
  <c r="E2252" i="1"/>
  <c r="E2251" i="1"/>
  <c r="E2248" i="1"/>
  <c r="A2248" i="1"/>
  <c r="A2249" i="1" s="1"/>
  <c r="E2247" i="1"/>
  <c r="E2238" i="1"/>
  <c r="A2238" i="1"/>
  <c r="A2239" i="1" s="1"/>
  <c r="A2240" i="1" s="1"/>
  <c r="A2241" i="1" s="1"/>
  <c r="A2242" i="1" s="1"/>
  <c r="E2234" i="1"/>
  <c r="A2234" i="1"/>
  <c r="A2235" i="1" s="1"/>
  <c r="A2236" i="1" s="1"/>
  <c r="E2233" i="1"/>
  <c r="A2222" i="1"/>
  <c r="E2218" i="1"/>
  <c r="E2217" i="1"/>
  <c r="E2216" i="1"/>
  <c r="E2215" i="1"/>
  <c r="E2214" i="1"/>
  <c r="E2213" i="1"/>
  <c r="E2212" i="1"/>
  <c r="E2211" i="1"/>
  <c r="E2207" i="1"/>
  <c r="E2206" i="1"/>
  <c r="E2205" i="1"/>
  <c r="E2204" i="1"/>
  <c r="A2201" i="1"/>
  <c r="A2202" i="1" s="1"/>
  <c r="A2203" i="1" s="1"/>
  <c r="A2204" i="1" s="1"/>
  <c r="A2205" i="1" s="1"/>
  <c r="A2206" i="1" s="1"/>
  <c r="A2207" i="1" s="1"/>
  <c r="A2208" i="1" s="1"/>
  <c r="A2209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E2194" i="1"/>
  <c r="E2193" i="1"/>
  <c r="A2193" i="1"/>
  <c r="A2194" i="1" s="1"/>
  <c r="E2187" i="1"/>
  <c r="A2187" i="1"/>
  <c r="A2188" i="1" s="1"/>
  <c r="A2189" i="1" s="1"/>
  <c r="A2190" i="1" s="1"/>
  <c r="E2186" i="1"/>
  <c r="E2176" i="1"/>
  <c r="E2175" i="1"/>
  <c r="E2174" i="1"/>
  <c r="E2173" i="1"/>
  <c r="E2172" i="1"/>
  <c r="E2171" i="1"/>
  <c r="E2170" i="1"/>
  <c r="E2169" i="1"/>
  <c r="A2168" i="1"/>
  <c r="A2169" i="1" s="1"/>
  <c r="A2170" i="1" s="1"/>
  <c r="A2171" i="1" s="1"/>
  <c r="A2172" i="1" s="1"/>
  <c r="A2173" i="1" s="1"/>
  <c r="A2174" i="1" s="1"/>
  <c r="A2175" i="1" s="1"/>
  <c r="A2176" i="1" s="1"/>
  <c r="A2177" i="1" s="1"/>
  <c r="E2162" i="1"/>
  <c r="A2162" i="1"/>
  <c r="E2161" i="1"/>
  <c r="A2154" i="1"/>
  <c r="E2152" i="1"/>
  <c r="E2151" i="1"/>
  <c r="E2149" i="1"/>
  <c r="A2149" i="1"/>
  <c r="A2150" i="1" s="1"/>
  <c r="E2148" i="1"/>
  <c r="E2146" i="1"/>
  <c r="A2145" i="1"/>
  <c r="A2146" i="1" s="1"/>
  <c r="A2147" i="1" s="1"/>
  <c r="E2144" i="1"/>
  <c r="E2129" i="1"/>
  <c r="E2128" i="1"/>
  <c r="E2127" i="1"/>
  <c r="E2126" i="1"/>
  <c r="E2125" i="1"/>
  <c r="E2124" i="1"/>
  <c r="A2124" i="1"/>
  <c r="A2125" i="1" s="1"/>
  <c r="A2126" i="1" s="1"/>
  <c r="A2127" i="1" s="1"/>
  <c r="A2128" i="1" s="1"/>
  <c r="A2129" i="1" s="1"/>
  <c r="A2131" i="1" s="1"/>
  <c r="A2132" i="1" s="1"/>
  <c r="A2133" i="1" s="1"/>
  <c r="A2113" i="1"/>
  <c r="E2106" i="1"/>
  <c r="E2105" i="1"/>
  <c r="E2104" i="1"/>
  <c r="E2103" i="1"/>
  <c r="A2103" i="1"/>
  <c r="A2104" i="1" s="1"/>
  <c r="A2105" i="1" s="1"/>
  <c r="A2106" i="1" s="1"/>
  <c r="A2107" i="1" s="1"/>
  <c r="A2108" i="1" s="1"/>
  <c r="E2102" i="1"/>
  <c r="A2101" i="1"/>
  <c r="E2097" i="1"/>
  <c r="E2096" i="1"/>
  <c r="E2095" i="1"/>
  <c r="E2094" i="1"/>
  <c r="E2093" i="1"/>
  <c r="E2092" i="1"/>
  <c r="E2091" i="1"/>
  <c r="A2091" i="1"/>
  <c r="A2092" i="1" s="1"/>
  <c r="A2093" i="1" s="1"/>
  <c r="A2094" i="1" s="1"/>
  <c r="A2095" i="1" s="1"/>
  <c r="A2096" i="1" s="1"/>
  <c r="A2097" i="1" s="1"/>
  <c r="A2098" i="1" s="1"/>
  <c r="A2099" i="1" s="1"/>
  <c r="E2090" i="1"/>
  <c r="E2089" i="1"/>
  <c r="E2088" i="1"/>
  <c r="E2087" i="1"/>
  <c r="E2086" i="1"/>
  <c r="A2086" i="1"/>
  <c r="A2087" i="1" s="1"/>
  <c r="E2081" i="1"/>
  <c r="E2080" i="1"/>
  <c r="E2079" i="1"/>
  <c r="E2078" i="1"/>
  <c r="E2076" i="1"/>
  <c r="E2075" i="1"/>
  <c r="A2073" i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E2071" i="1"/>
  <c r="E2070" i="1"/>
  <c r="E2069" i="1"/>
  <c r="E2068" i="1"/>
  <c r="E2067" i="1"/>
  <c r="E2066" i="1"/>
  <c r="E2065" i="1"/>
  <c r="E2064" i="1"/>
  <c r="E2063" i="1"/>
  <c r="E2062" i="1"/>
  <c r="A2062" i="1"/>
  <c r="A2063" i="1" s="1"/>
  <c r="A2064" i="1" s="1"/>
  <c r="A2065" i="1" s="1"/>
  <c r="A2066" i="1" s="1"/>
  <c r="A2067" i="1" s="1"/>
  <c r="A2068" i="1" s="1"/>
  <c r="A2069" i="1" s="1"/>
  <c r="A2070" i="1" s="1"/>
  <c r="A2071" i="1" s="1"/>
  <c r="E2060" i="1"/>
  <c r="E2059" i="1"/>
  <c r="E2058" i="1"/>
  <c r="A2058" i="1"/>
  <c r="A2059" i="1" s="1"/>
  <c r="A2060" i="1" s="1"/>
  <c r="E2057" i="1"/>
  <c r="E2055" i="1"/>
  <c r="E2054" i="1"/>
  <c r="E2052" i="1"/>
  <c r="E2051" i="1"/>
  <c r="E2049" i="1"/>
  <c r="E2048" i="1"/>
  <c r="E2047" i="1"/>
  <c r="E2046" i="1"/>
  <c r="E2045" i="1"/>
  <c r="E2044" i="1"/>
  <c r="E2043" i="1"/>
  <c r="E2042" i="1"/>
  <c r="E2037" i="1"/>
  <c r="E2036" i="1"/>
  <c r="E2034" i="1"/>
  <c r="E2033" i="1"/>
  <c r="A2032" i="1"/>
  <c r="A2033" i="1" s="1"/>
  <c r="A2034" i="1" s="1"/>
  <c r="A2035" i="1" s="1"/>
  <c r="A2036" i="1" s="1"/>
  <c r="A2037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E2030" i="1"/>
  <c r="E2029" i="1"/>
  <c r="E2028" i="1"/>
  <c r="E2027" i="1"/>
  <c r="E2026" i="1"/>
  <c r="A2026" i="1"/>
  <c r="A2027" i="1" s="1"/>
  <c r="A2028" i="1" s="1"/>
  <c r="E2025" i="1"/>
  <c r="E2023" i="1"/>
  <c r="E2022" i="1"/>
  <c r="A2022" i="1"/>
  <c r="A2023" i="1" s="1"/>
  <c r="A2011" i="1"/>
  <c r="A2012" i="1" s="1"/>
  <c r="E2002" i="1"/>
  <c r="E2001" i="1"/>
  <c r="E2000" i="1"/>
  <c r="E1999" i="1"/>
  <c r="E1996" i="1"/>
  <c r="E1995" i="1"/>
  <c r="E1994" i="1"/>
  <c r="E1993" i="1"/>
  <c r="E1992" i="1"/>
  <c r="E1991" i="1"/>
  <c r="E1990" i="1"/>
  <c r="E1989" i="1"/>
  <c r="A1989" i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E1987" i="1"/>
  <c r="E1986" i="1"/>
  <c r="E1985" i="1"/>
  <c r="A1985" i="1"/>
  <c r="A1986" i="1" s="1"/>
  <c r="A1987" i="1" s="1"/>
  <c r="E1984" i="1"/>
  <c r="E1979" i="1"/>
  <c r="A1979" i="1"/>
  <c r="A1980" i="1" s="1"/>
  <c r="E1978" i="1"/>
  <c r="E1969" i="1"/>
  <c r="E1968" i="1"/>
  <c r="E1966" i="1"/>
  <c r="E1965" i="1"/>
  <c r="E1964" i="1"/>
  <c r="A1963" i="1"/>
  <c r="A1964" i="1" s="1"/>
  <c r="A1965" i="1" s="1"/>
  <c r="A1966" i="1" s="1"/>
  <c r="A1967" i="1" s="1"/>
  <c r="E1960" i="1"/>
  <c r="A1960" i="1"/>
  <c r="A1961" i="1" s="1"/>
  <c r="E1959" i="1"/>
  <c r="E1958" i="1"/>
  <c r="E1957" i="1"/>
  <c r="E1956" i="1"/>
  <c r="E1955" i="1"/>
  <c r="E1954" i="1"/>
  <c r="E1953" i="1"/>
  <c r="E1946" i="1"/>
  <c r="E1945" i="1"/>
  <c r="E1944" i="1"/>
  <c r="E1943" i="1"/>
  <c r="E1941" i="1"/>
  <c r="E1940" i="1"/>
  <c r="E1939" i="1"/>
  <c r="E1938" i="1"/>
  <c r="E1937" i="1"/>
  <c r="E1936" i="1"/>
  <c r="A1936" i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E1934" i="1"/>
  <c r="E1933" i="1"/>
  <c r="E1932" i="1"/>
  <c r="A1925" i="1"/>
  <c r="A1930" i="1" s="1"/>
  <c r="A1931" i="1" s="1"/>
  <c r="A1932" i="1" s="1"/>
  <c r="A1933" i="1" s="1"/>
  <c r="E1924" i="1"/>
  <c r="E1911" i="1"/>
  <c r="A1911" i="1"/>
  <c r="A1912" i="1" s="1"/>
  <c r="A1913" i="1" s="1"/>
  <c r="A1914" i="1" s="1"/>
  <c r="A1915" i="1" s="1"/>
  <c r="A1916" i="1" s="1"/>
  <c r="E1910" i="1"/>
  <c r="E1909" i="1"/>
  <c r="E1908" i="1"/>
  <c r="E1907" i="1"/>
  <c r="E1906" i="1"/>
  <c r="E1904" i="1"/>
  <c r="E1903" i="1"/>
  <c r="E1902" i="1"/>
  <c r="E1901" i="1"/>
  <c r="A1900" i="1"/>
  <c r="A1901" i="1" s="1"/>
  <c r="A1902" i="1" s="1"/>
  <c r="A1903" i="1" s="1"/>
  <c r="A1904" i="1" s="1"/>
  <c r="A1905" i="1" s="1"/>
  <c r="A1906" i="1" s="1"/>
  <c r="A1907" i="1" s="1"/>
  <c r="A1908" i="1" s="1"/>
  <c r="A1909" i="1" s="1"/>
  <c r="A1895" i="1"/>
  <c r="E1893" i="1"/>
  <c r="E1892" i="1"/>
  <c r="E1890" i="1"/>
  <c r="A1890" i="1"/>
  <c r="A1891" i="1" s="1"/>
  <c r="A1892" i="1" s="1"/>
  <c r="A1893" i="1" s="1"/>
  <c r="A1881" i="1"/>
  <c r="A1882" i="1" s="1"/>
  <c r="A1883" i="1" s="1"/>
  <c r="E1879" i="1"/>
  <c r="E1878" i="1"/>
  <c r="A1877" i="1"/>
  <c r="A1878" i="1" s="1"/>
  <c r="A1879" i="1" s="1"/>
  <c r="A1869" i="1"/>
  <c r="A1870" i="1" s="1"/>
  <c r="A1871" i="1" s="1"/>
  <c r="A1872" i="1" s="1"/>
  <c r="E1867" i="1"/>
  <c r="E1866" i="1"/>
  <c r="E1864" i="1"/>
  <c r="D1864" i="1"/>
  <c r="E1863" i="1"/>
  <c r="E1862" i="1"/>
  <c r="A1862" i="1"/>
  <c r="A1863" i="1" s="1"/>
  <c r="A1864" i="1" s="1"/>
  <c r="A1865" i="1" s="1"/>
  <c r="A1866" i="1" s="1"/>
  <c r="A1867" i="1" s="1"/>
  <c r="D1845" i="1"/>
  <c r="A1843" i="1"/>
  <c r="A1844" i="1" s="1"/>
  <c r="A1845" i="1" s="1"/>
  <c r="A1847" i="1" s="1"/>
  <c r="A1848" i="1" s="1"/>
  <c r="A1849" i="1" s="1"/>
  <c r="A1850" i="1" s="1"/>
  <c r="A1851" i="1" s="1"/>
  <c r="A1852" i="1" s="1"/>
  <c r="E1839" i="1"/>
  <c r="A1839" i="1"/>
  <c r="A1840" i="1" s="1"/>
  <c r="A1841" i="1" s="1"/>
  <c r="E1838" i="1"/>
  <c r="A1831" i="1"/>
  <c r="A1832" i="1" s="1"/>
  <c r="A1833" i="1" s="1"/>
  <c r="A1834" i="1" s="1"/>
  <c r="A1835" i="1" s="1"/>
  <c r="A1828" i="1"/>
  <c r="A1829" i="1" s="1"/>
  <c r="A1824" i="1"/>
  <c r="A1825" i="1" s="1"/>
  <c r="A1826" i="1" s="1"/>
  <c r="E1820" i="1"/>
  <c r="A1818" i="1"/>
  <c r="A1819" i="1" s="1"/>
  <c r="A1820" i="1" s="1"/>
  <c r="E1808" i="1"/>
  <c r="E1807" i="1"/>
  <c r="E1806" i="1"/>
  <c r="E1805" i="1"/>
  <c r="A1805" i="1"/>
  <c r="A1806" i="1" s="1"/>
  <c r="A1807" i="1" s="1"/>
  <c r="A1808" i="1" s="1"/>
  <c r="A1809" i="1" s="1"/>
  <c r="A1810" i="1" s="1"/>
  <c r="A1803" i="1"/>
  <c r="A1799" i="1"/>
  <c r="A1800" i="1" s="1"/>
  <c r="E1794" i="1"/>
  <c r="E1793" i="1"/>
  <c r="A1788" i="1"/>
  <c r="A1789" i="1" s="1"/>
  <c r="A1790" i="1" s="1"/>
  <c r="A1785" i="1"/>
  <c r="A1786" i="1" s="1"/>
  <c r="E1781" i="1"/>
  <c r="E1780" i="1"/>
  <c r="E1779" i="1"/>
  <c r="A1779" i="1"/>
  <c r="A1780" i="1" s="1"/>
  <c r="A1781" i="1" s="1"/>
  <c r="A1782" i="1" s="1"/>
  <c r="E1778" i="1"/>
  <c r="E1777" i="1"/>
  <c r="E1776" i="1"/>
  <c r="A1776" i="1"/>
  <c r="A1777" i="1" s="1"/>
  <c r="E1774" i="1"/>
  <c r="E1770" i="1"/>
  <c r="E1769" i="1"/>
  <c r="E1768" i="1"/>
  <c r="E1767" i="1"/>
  <c r="A1764" i="1"/>
  <c r="A1765" i="1" s="1"/>
  <c r="A1767" i="1" s="1"/>
  <c r="A1768" i="1" s="1"/>
  <c r="E1755" i="1"/>
  <c r="E1754" i="1"/>
  <c r="E1753" i="1"/>
  <c r="E1752" i="1"/>
  <c r="A1752" i="1"/>
  <c r="A1753" i="1" s="1"/>
  <c r="A1754" i="1" s="1"/>
  <c r="A1755" i="1" s="1"/>
  <c r="A1756" i="1" s="1"/>
  <c r="A1757" i="1" s="1"/>
  <c r="A1758" i="1" s="1"/>
  <c r="A1759" i="1" s="1"/>
  <c r="A1760" i="1" s="1"/>
  <c r="A1761" i="1" s="1"/>
  <c r="E1750" i="1"/>
  <c r="E1749" i="1"/>
  <c r="A1746" i="1"/>
  <c r="A1747" i="1" s="1"/>
  <c r="A1748" i="1" s="1"/>
  <c r="A1749" i="1" s="1"/>
  <c r="A1750" i="1" s="1"/>
  <c r="E1745" i="1"/>
  <c r="E1725" i="1"/>
  <c r="E1724" i="1"/>
  <c r="E1721" i="1"/>
  <c r="A1721" i="1"/>
  <c r="A1722" i="1" s="1"/>
  <c r="A1723" i="1" s="1"/>
  <c r="A1724" i="1" s="1"/>
  <c r="A1725" i="1" s="1"/>
  <c r="E1720" i="1"/>
  <c r="E1719" i="1"/>
  <c r="E1718" i="1"/>
  <c r="E1717" i="1"/>
  <c r="A1717" i="1"/>
  <c r="A1718" i="1" s="1"/>
  <c r="A1719" i="1" s="1"/>
  <c r="E1716" i="1"/>
  <c r="E1713" i="1"/>
  <c r="A1713" i="1"/>
  <c r="E1712" i="1"/>
  <c r="E1710" i="1"/>
  <c r="E1709" i="1"/>
  <c r="E1708" i="1"/>
  <c r="E1707" i="1"/>
  <c r="E1706" i="1"/>
  <c r="A1706" i="1"/>
  <c r="A1707" i="1" s="1"/>
  <c r="A1708" i="1" s="1"/>
  <c r="A1709" i="1" s="1"/>
  <c r="A1710" i="1" s="1"/>
  <c r="A1711" i="1" s="1"/>
  <c r="E1705" i="1"/>
  <c r="A1698" i="1"/>
  <c r="A1699" i="1" s="1"/>
  <c r="E1697" i="1"/>
  <c r="E1696" i="1"/>
  <c r="E1695" i="1"/>
  <c r="E1694" i="1"/>
  <c r="E1693" i="1"/>
  <c r="E1692" i="1"/>
  <c r="A1692" i="1"/>
  <c r="A1693" i="1" s="1"/>
  <c r="A1694" i="1" s="1"/>
  <c r="A1695" i="1" s="1"/>
  <c r="A1696" i="1" s="1"/>
  <c r="E1691" i="1"/>
  <c r="E1689" i="1"/>
  <c r="E1688" i="1"/>
  <c r="E1687" i="1"/>
  <c r="E1686" i="1"/>
  <c r="E1685" i="1"/>
  <c r="E1684" i="1"/>
  <c r="E1683" i="1"/>
  <c r="E1681" i="1"/>
  <c r="A1681" i="1"/>
  <c r="A1682" i="1" s="1"/>
  <c r="A1683" i="1" s="1"/>
  <c r="A1684" i="1" s="1"/>
  <c r="A1685" i="1" s="1"/>
  <c r="A1686" i="1" s="1"/>
  <c r="A1687" i="1" s="1"/>
  <c r="A1688" i="1" s="1"/>
  <c r="A1689" i="1" s="1"/>
  <c r="E1680" i="1"/>
  <c r="E1668" i="1"/>
  <c r="E1667" i="1"/>
  <c r="E1665" i="1"/>
  <c r="A1665" i="1"/>
  <c r="A1666" i="1" s="1"/>
  <c r="A1667" i="1" s="1"/>
  <c r="A1668" i="1" s="1"/>
  <c r="E1664" i="1"/>
  <c r="E1657" i="1"/>
  <c r="E1656" i="1"/>
  <c r="A1655" i="1"/>
  <c r="A1656" i="1" s="1"/>
  <c r="A1657" i="1" s="1"/>
  <c r="E1654" i="1"/>
  <c r="E1648" i="1"/>
  <c r="E1647" i="1"/>
  <c r="E1646" i="1"/>
  <c r="A1645" i="1"/>
  <c r="A1646" i="1" s="1"/>
  <c r="A1647" i="1" s="1"/>
  <c r="A1648" i="1" s="1"/>
  <c r="A1649" i="1" s="1"/>
  <c r="E1639" i="1"/>
  <c r="E1638" i="1"/>
  <c r="A1638" i="1"/>
  <c r="A1639" i="1" s="1"/>
  <c r="A1640" i="1" s="1"/>
  <c r="E1637" i="1"/>
  <c r="A1634" i="1"/>
  <c r="E1630" i="1"/>
  <c r="A1630" i="1"/>
  <c r="E1629" i="1"/>
  <c r="E1624" i="1"/>
  <c r="A1624" i="1"/>
  <c r="E1623" i="1"/>
  <c r="E1617" i="1"/>
  <c r="A1617" i="1"/>
  <c r="A1618" i="1" s="1"/>
  <c r="A1619" i="1" s="1"/>
  <c r="A1620" i="1" s="1"/>
  <c r="E1616" i="1"/>
  <c r="E1598" i="1"/>
  <c r="A1598" i="1"/>
  <c r="A1599" i="1" s="1"/>
  <c r="A1600" i="1" s="1"/>
  <c r="A1601" i="1" s="1"/>
  <c r="A1602" i="1" s="1"/>
  <c r="E1597" i="1"/>
  <c r="D1595" i="1"/>
  <c r="A1595" i="1"/>
  <c r="A1596" i="1" s="1"/>
  <c r="E1594" i="1"/>
  <c r="E1593" i="1"/>
  <c r="E1592" i="1"/>
  <c r="A1592" i="1"/>
  <c r="A1593" i="1" s="1"/>
  <c r="E1591" i="1"/>
  <c r="E1588" i="1"/>
  <c r="E1587" i="1"/>
  <c r="E1585" i="1"/>
  <c r="E1584" i="1"/>
  <c r="A1584" i="1"/>
  <c r="A1585" i="1" s="1"/>
  <c r="A1586" i="1" s="1"/>
  <c r="A1587" i="1" s="1"/>
  <c r="A1588" i="1" s="1"/>
  <c r="A1589" i="1" s="1"/>
  <c r="E1583" i="1"/>
  <c r="E1581" i="1"/>
  <c r="E1580" i="1"/>
  <c r="E1579" i="1"/>
  <c r="E1578" i="1"/>
  <c r="E1577" i="1"/>
  <c r="E1576" i="1"/>
  <c r="E1575" i="1"/>
  <c r="E1571" i="1"/>
  <c r="E1570" i="1"/>
  <c r="E1569" i="1"/>
  <c r="E1568" i="1"/>
  <c r="E1567" i="1"/>
  <c r="A1567" i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E1566" i="1"/>
  <c r="E1564" i="1"/>
  <c r="A1564" i="1"/>
  <c r="E1563" i="1"/>
  <c r="E1561" i="1"/>
  <c r="A1561" i="1"/>
  <c r="A1562" i="1" s="1"/>
  <c r="E1560" i="1"/>
  <c r="E1559" i="1"/>
  <c r="E1558" i="1"/>
  <c r="E1557" i="1"/>
  <c r="E1556" i="1"/>
  <c r="A1556" i="1"/>
  <c r="A1557" i="1" s="1"/>
  <c r="A1558" i="1" s="1"/>
  <c r="A1559" i="1" s="1"/>
  <c r="E1555" i="1"/>
  <c r="E1542" i="1"/>
  <c r="E1541" i="1"/>
  <c r="E1539" i="1"/>
  <c r="E1538" i="1"/>
  <c r="E1531" i="1"/>
  <c r="E1530" i="1"/>
  <c r="D1530" i="1"/>
  <c r="A1530" i="1"/>
  <c r="A1531" i="1" s="1"/>
  <c r="A1535" i="1" s="1"/>
  <c r="A1538" i="1" s="1"/>
  <c r="A1539" i="1" s="1"/>
  <c r="A1540" i="1" s="1"/>
  <c r="A1541" i="1" s="1"/>
  <c r="A1542" i="1" s="1"/>
  <c r="A1528" i="1"/>
  <c r="E1527" i="1"/>
  <c r="E1526" i="1"/>
  <c r="A1526" i="1"/>
  <c r="E1525" i="1"/>
  <c r="E1524" i="1"/>
  <c r="D1524" i="1"/>
  <c r="E1523" i="1"/>
  <c r="E1522" i="1"/>
  <c r="E1520" i="1"/>
  <c r="A1520" i="1"/>
  <c r="A1521" i="1" s="1"/>
  <c r="A1522" i="1" s="1"/>
  <c r="A1523" i="1" s="1"/>
  <c r="E1519" i="1"/>
  <c r="E1509" i="1"/>
  <c r="E1506" i="1"/>
  <c r="E1503" i="1"/>
  <c r="E1500" i="1"/>
  <c r="E1497" i="1"/>
  <c r="E1494" i="1"/>
  <c r="E1491" i="1"/>
  <c r="E1488" i="1"/>
  <c r="E1485" i="1"/>
  <c r="E1482" i="1"/>
  <c r="A1480" i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E1477" i="1"/>
  <c r="A1477" i="1"/>
  <c r="E1474" i="1"/>
  <c r="A1474" i="1"/>
  <c r="E1473" i="1"/>
  <c r="E1472" i="1"/>
  <c r="A1472" i="1"/>
  <c r="E1471" i="1"/>
  <c r="E1469" i="1"/>
  <c r="E1468" i="1"/>
  <c r="A1467" i="1"/>
  <c r="A1468" i="1" s="1"/>
  <c r="A1469" i="1" s="1"/>
  <c r="A1470" i="1" s="1"/>
  <c r="E1459" i="1"/>
  <c r="E1458" i="1"/>
  <c r="E1457" i="1"/>
  <c r="A1457" i="1"/>
  <c r="A1458" i="1" s="1"/>
  <c r="E1456" i="1"/>
  <c r="E1453" i="1"/>
  <c r="E1452" i="1"/>
  <c r="E1451" i="1"/>
  <c r="E1450" i="1"/>
  <c r="E1449" i="1"/>
  <c r="A1449" i="1"/>
  <c r="A1450" i="1" s="1"/>
  <c r="A1451" i="1" s="1"/>
  <c r="A1452" i="1" s="1"/>
  <c r="A1453" i="1" s="1"/>
  <c r="E1448" i="1"/>
  <c r="A1441" i="1"/>
  <c r="A1442" i="1" s="1"/>
  <c r="A1443" i="1" s="1"/>
  <c r="A1444" i="1" s="1"/>
  <c r="E1436" i="1"/>
  <c r="E1435" i="1"/>
  <c r="E1434" i="1"/>
  <c r="E1433" i="1"/>
  <c r="A1433" i="1"/>
  <c r="A1434" i="1" s="1"/>
  <c r="A1430" i="1"/>
  <c r="E1427" i="1"/>
  <c r="E1426" i="1"/>
  <c r="A1426" i="1"/>
  <c r="A1427" i="1" s="1"/>
  <c r="E1424" i="1"/>
  <c r="E1423" i="1"/>
  <c r="E1421" i="1"/>
  <c r="E1420" i="1"/>
  <c r="A1420" i="1"/>
  <c r="A1421" i="1" s="1"/>
  <c r="A1422" i="1" s="1"/>
  <c r="A1423" i="1" s="1"/>
  <c r="A1424" i="1" s="1"/>
  <c r="A1415" i="1"/>
  <c r="A1416" i="1" s="1"/>
  <c r="A1411" i="1"/>
  <c r="E1409" i="1"/>
  <c r="A1408" i="1"/>
  <c r="A1409" i="1" s="1"/>
  <c r="E1402" i="1"/>
  <c r="A1402" i="1"/>
  <c r="E1399" i="1"/>
  <c r="E1398" i="1"/>
  <c r="E1397" i="1"/>
  <c r="E1396" i="1"/>
  <c r="A1396" i="1"/>
  <c r="A1397" i="1" s="1"/>
  <c r="A1398" i="1" s="1"/>
  <c r="A1399" i="1" s="1"/>
  <c r="E1394" i="1"/>
  <c r="A1392" i="1"/>
  <c r="A1393" i="1" s="1"/>
  <c r="A1394" i="1" s="1"/>
  <c r="E1390" i="1"/>
  <c r="E1389" i="1"/>
  <c r="E1387" i="1"/>
  <c r="E1386" i="1"/>
  <c r="A1386" i="1"/>
  <c r="A1387" i="1" s="1"/>
  <c r="A1388" i="1" s="1"/>
  <c r="A1389" i="1" s="1"/>
  <c r="A1382" i="1"/>
  <c r="E1373" i="1"/>
  <c r="A1373" i="1"/>
  <c r="A1374" i="1" s="1"/>
  <c r="A1375" i="1" s="1"/>
  <c r="A1377" i="1" s="1"/>
  <c r="A1378" i="1" s="1"/>
  <c r="A1379" i="1" s="1"/>
  <c r="A1380" i="1" s="1"/>
  <c r="E1372" i="1"/>
  <c r="E1371" i="1"/>
  <c r="E1370" i="1"/>
  <c r="E1368" i="1"/>
  <c r="E1367" i="1"/>
  <c r="E1366" i="1"/>
  <c r="A1361" i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47" i="1"/>
  <c r="A1348" i="1" s="1"/>
  <c r="A1337" i="1"/>
  <c r="A1338" i="1" s="1"/>
  <c r="A1339" i="1" s="1"/>
  <c r="A1340" i="1" s="1"/>
  <c r="A1341" i="1" s="1"/>
  <c r="A1342" i="1" s="1"/>
  <c r="A1343" i="1" s="1"/>
  <c r="E1329" i="1"/>
  <c r="E1327" i="1"/>
  <c r="E1326" i="1"/>
  <c r="E1322" i="1"/>
  <c r="A1320" i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E1319" i="1"/>
  <c r="E1316" i="1"/>
  <c r="E1315" i="1"/>
  <c r="E1314" i="1"/>
  <c r="E1313" i="1"/>
  <c r="E1311" i="1"/>
  <c r="E1310" i="1"/>
  <c r="E1309" i="1"/>
  <c r="E1308" i="1"/>
  <c r="A1308" i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03" i="1"/>
  <c r="A1304" i="1" s="1"/>
  <c r="E1301" i="1"/>
  <c r="E1300" i="1"/>
  <c r="A1300" i="1"/>
  <c r="A1301" i="1" s="1"/>
  <c r="E1293" i="1"/>
  <c r="E1291" i="1"/>
  <c r="A1291" i="1"/>
  <c r="A1292" i="1" s="1"/>
  <c r="A1293" i="1" s="1"/>
  <c r="A1294" i="1" s="1"/>
  <c r="A1295" i="1" s="1"/>
  <c r="A1296" i="1" s="1"/>
  <c r="A1297" i="1" s="1"/>
  <c r="E1290" i="1"/>
  <c r="E1285" i="1"/>
  <c r="A1285" i="1"/>
  <c r="A1286" i="1" s="1"/>
  <c r="A1287" i="1" s="1"/>
  <c r="A1288" i="1" s="1"/>
  <c r="E1284" i="1"/>
  <c r="E1281" i="1"/>
  <c r="E1280" i="1"/>
  <c r="E1279" i="1"/>
  <c r="E1278" i="1"/>
  <c r="E1277" i="1"/>
  <c r="E1276" i="1"/>
  <c r="E1273" i="1"/>
  <c r="E1272" i="1"/>
  <c r="E1270" i="1"/>
  <c r="E1269" i="1"/>
  <c r="E1268" i="1"/>
  <c r="E1267" i="1"/>
  <c r="E1266" i="1"/>
  <c r="E1265" i="1"/>
  <c r="A1265" i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E1264" i="1"/>
  <c r="E1257" i="1"/>
  <c r="E1256" i="1"/>
  <c r="A1256" i="1"/>
  <c r="A1257" i="1" s="1"/>
  <c r="A1258" i="1" s="1"/>
  <c r="A1259" i="1" s="1"/>
  <c r="A1254" i="1"/>
  <c r="A1250" i="1"/>
  <c r="A1246" i="1"/>
  <c r="E1244" i="1"/>
  <c r="E1240" i="1"/>
  <c r="E1239" i="1"/>
  <c r="A1239" i="1"/>
  <c r="A1240" i="1" s="1"/>
  <c r="A1241" i="1" s="1"/>
  <c r="A1242" i="1" s="1"/>
  <c r="A1243" i="1" s="1"/>
  <c r="A1244" i="1" s="1"/>
  <c r="E1234" i="1"/>
  <c r="E1233" i="1"/>
  <c r="E1231" i="1"/>
  <c r="E1222" i="1"/>
  <c r="A1222" i="1"/>
  <c r="E1221" i="1"/>
  <c r="E1208" i="1"/>
  <c r="A1203" i="1"/>
  <c r="A1204" i="1" s="1"/>
  <c r="A1205" i="1" s="1"/>
  <c r="E1196" i="1"/>
  <c r="E1195" i="1"/>
  <c r="E1193" i="1"/>
  <c r="A1193" i="1"/>
  <c r="A1194" i="1" s="1"/>
  <c r="A1195" i="1" s="1"/>
  <c r="A1196" i="1" s="1"/>
  <c r="E1192" i="1"/>
  <c r="E1181" i="1"/>
  <c r="E1180" i="1"/>
  <c r="A1174" i="1"/>
  <c r="E1166" i="1"/>
  <c r="E1165" i="1"/>
  <c r="E1164" i="1"/>
  <c r="E1163" i="1"/>
  <c r="E1159" i="1"/>
  <c r="A1159" i="1"/>
  <c r="A1160" i="1" s="1"/>
  <c r="A1166" i="1" s="1"/>
  <c r="E1158" i="1"/>
  <c r="E1157" i="1"/>
  <c r="E1156" i="1"/>
  <c r="E1149" i="1"/>
  <c r="E1148" i="1"/>
  <c r="A1148" i="1"/>
  <c r="A1149" i="1" s="1"/>
  <c r="A1150" i="1" s="1"/>
  <c r="A1151" i="1" s="1"/>
  <c r="E1147" i="1"/>
  <c r="E1140" i="1"/>
  <c r="E1138" i="1"/>
  <c r="E1137" i="1"/>
  <c r="E1135" i="1"/>
  <c r="E1134" i="1"/>
  <c r="A1134" i="1"/>
  <c r="A1135" i="1" s="1"/>
  <c r="A1136" i="1" s="1"/>
  <c r="A1137" i="1" s="1"/>
  <c r="A1138" i="1" s="1"/>
  <c r="A1139" i="1" s="1"/>
  <c r="A1140" i="1" s="1"/>
  <c r="A1141" i="1" s="1"/>
  <c r="A1142" i="1" s="1"/>
  <c r="A1143" i="1" s="1"/>
  <c r="E1125" i="1"/>
  <c r="E1124" i="1"/>
  <c r="E1123" i="1"/>
  <c r="E1122" i="1"/>
  <c r="E1118" i="1"/>
  <c r="E1117" i="1"/>
  <c r="E1116" i="1"/>
  <c r="E1115" i="1"/>
  <c r="E1112" i="1"/>
  <c r="E1110" i="1"/>
  <c r="A1110" i="1"/>
  <c r="A1111" i="1" s="1"/>
  <c r="A1112" i="1" s="1"/>
  <c r="A1113" i="1" s="1"/>
  <c r="A1114" i="1" s="1"/>
  <c r="A1115" i="1" s="1"/>
  <c r="A1116" i="1" s="1"/>
  <c r="E1109" i="1"/>
  <c r="E1100" i="1"/>
  <c r="E1099" i="1"/>
  <c r="E1098" i="1"/>
  <c r="A1095" i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091" i="1"/>
  <c r="A1092" i="1" s="1"/>
  <c r="A1093" i="1" s="1"/>
  <c r="A1084" i="1"/>
  <c r="A1085" i="1" s="1"/>
  <c r="A1086" i="1" s="1"/>
  <c r="A1087" i="1" s="1"/>
  <c r="A1088" i="1" s="1"/>
  <c r="E1077" i="1"/>
  <c r="E1076" i="1"/>
  <c r="A1076" i="1"/>
  <c r="A1077" i="1" s="1"/>
  <c r="A1078" i="1" s="1"/>
  <c r="A1079" i="1" s="1"/>
  <c r="A1080" i="1" s="1"/>
  <c r="A1081" i="1" s="1"/>
  <c r="A1082" i="1" s="1"/>
  <c r="E1074" i="1"/>
  <c r="E1073" i="1"/>
  <c r="E1068" i="1"/>
  <c r="E1067" i="1"/>
  <c r="E1066" i="1"/>
  <c r="A1066" i="1"/>
  <c r="A1067" i="1" s="1"/>
  <c r="A1068" i="1" s="1"/>
  <c r="A1069" i="1" s="1"/>
  <c r="A1070" i="1" s="1"/>
  <c r="A1071" i="1" s="1"/>
  <c r="E1065" i="1"/>
  <c r="E1053" i="1"/>
  <c r="E1052" i="1"/>
  <c r="A1052" i="1"/>
  <c r="A1053" i="1" s="1"/>
  <c r="A1054" i="1" s="1"/>
  <c r="A1055" i="1" s="1"/>
  <c r="A1056" i="1" s="1"/>
  <c r="A1057" i="1" s="1"/>
  <c r="A1058" i="1" s="1"/>
  <c r="A1059" i="1" s="1"/>
  <c r="A1060" i="1" s="1"/>
  <c r="A1061" i="1" s="1"/>
  <c r="E1050" i="1"/>
  <c r="E1049" i="1"/>
  <c r="A1049" i="1"/>
  <c r="A1044" i="1"/>
  <c r="E1039" i="1"/>
  <c r="E1038" i="1"/>
  <c r="A1037" i="1"/>
  <c r="A1038" i="1" s="1"/>
  <c r="A1039" i="1" s="1"/>
  <c r="A1040" i="1" s="1"/>
  <c r="A1041" i="1" s="1"/>
  <c r="E1032" i="1"/>
  <c r="A1032" i="1"/>
  <c r="A1033" i="1" s="1"/>
  <c r="A1034" i="1" s="1"/>
  <c r="A1035" i="1" s="1"/>
  <c r="E1028" i="1"/>
  <c r="E1027" i="1"/>
  <c r="A1025" i="1"/>
  <c r="A1026" i="1" s="1"/>
  <c r="A1027" i="1" s="1"/>
  <c r="A1028" i="1" s="1"/>
  <c r="A1029" i="1" s="1"/>
  <c r="E1022" i="1"/>
  <c r="E1021" i="1"/>
  <c r="E1020" i="1"/>
  <c r="E1019" i="1"/>
  <c r="E1018" i="1"/>
  <c r="E1017" i="1"/>
  <c r="E1016" i="1"/>
  <c r="E1015" i="1"/>
  <c r="A1015" i="1"/>
  <c r="A1016" i="1" s="1"/>
  <c r="A1017" i="1" s="1"/>
  <c r="A1018" i="1" s="1"/>
  <c r="A1019" i="1" s="1"/>
  <c r="A1020" i="1" s="1"/>
  <c r="E1010" i="1"/>
  <c r="E1009" i="1"/>
  <c r="E1008" i="1"/>
  <c r="E1007" i="1"/>
  <c r="D1007" i="1"/>
  <c r="E1006" i="1"/>
  <c r="E1005" i="1"/>
  <c r="A1004" i="1"/>
  <c r="A1005" i="1" s="1"/>
  <c r="A1006" i="1" s="1"/>
  <c r="A1007" i="1" s="1"/>
  <c r="A1008" i="1" s="1"/>
  <c r="A1009" i="1" s="1"/>
  <c r="A1010" i="1" s="1"/>
  <c r="A1011" i="1" s="1"/>
  <c r="A1012" i="1" s="1"/>
  <c r="A1013" i="1" s="1"/>
  <c r="E998" i="1"/>
  <c r="A998" i="1"/>
  <c r="A999" i="1" s="1"/>
  <c r="A1000" i="1" s="1"/>
  <c r="A1001" i="1" s="1"/>
  <c r="A1002" i="1" s="1"/>
  <c r="E997" i="1"/>
  <c r="E995" i="1"/>
  <c r="E994" i="1"/>
  <c r="E993" i="1"/>
  <c r="E992" i="1"/>
  <c r="E988" i="1"/>
  <c r="E987" i="1"/>
  <c r="E986" i="1"/>
  <c r="E984" i="1"/>
  <c r="E983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A969" i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65" i="1"/>
  <c r="A966" i="1" s="1"/>
  <c r="A967" i="1" s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A943" i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39" i="1"/>
  <c r="A940" i="1" s="1"/>
  <c r="A941" i="1" s="1"/>
  <c r="E935" i="1"/>
  <c r="E934" i="1"/>
  <c r="E933" i="1"/>
  <c r="E932" i="1"/>
  <c r="D930" i="1"/>
  <c r="A930" i="1"/>
  <c r="A931" i="1" s="1"/>
  <c r="A932" i="1" s="1"/>
  <c r="A933" i="1" s="1"/>
  <c r="A934" i="1" s="1"/>
  <c r="A935" i="1" s="1"/>
  <c r="A936" i="1" s="1"/>
  <c r="A937" i="1" s="1"/>
  <c r="E925" i="1"/>
  <c r="E924" i="1"/>
  <c r="E923" i="1"/>
  <c r="E922" i="1"/>
  <c r="E920" i="1"/>
  <c r="E919" i="1"/>
  <c r="E917" i="1"/>
  <c r="A917" i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E916" i="1"/>
  <c r="E905" i="1"/>
  <c r="E904" i="1"/>
  <c r="E903" i="1"/>
  <c r="E902" i="1"/>
  <c r="A902" i="1"/>
  <c r="A903" i="1" s="1"/>
  <c r="A906" i="1" s="1"/>
  <c r="A907" i="1" s="1"/>
  <c r="A908" i="1" s="1"/>
  <c r="A909" i="1" s="1"/>
  <c r="A910" i="1" s="1"/>
  <c r="E899" i="1"/>
  <c r="E898" i="1"/>
  <c r="A898" i="1"/>
  <c r="A899" i="1" s="1"/>
  <c r="E897" i="1"/>
  <c r="E896" i="1"/>
  <c r="E888" i="1"/>
  <c r="E887" i="1"/>
  <c r="E886" i="1"/>
  <c r="E884" i="1"/>
  <c r="E883" i="1"/>
  <c r="E882" i="1"/>
  <c r="E881" i="1"/>
  <c r="E880" i="1"/>
  <c r="E879" i="1"/>
  <c r="E878" i="1"/>
  <c r="E877" i="1"/>
  <c r="A877" i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E876" i="1"/>
  <c r="E875" i="1"/>
  <c r="E874" i="1"/>
  <c r="E873" i="1"/>
  <c r="A873" i="1"/>
  <c r="A874" i="1" s="1"/>
  <c r="A875" i="1" s="1"/>
  <c r="E872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A858" i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E857" i="1"/>
  <c r="E855" i="1"/>
  <c r="E854" i="1"/>
  <c r="A854" i="1"/>
  <c r="A855" i="1" s="1"/>
  <c r="A850" i="1"/>
  <c r="A851" i="1" s="1"/>
  <c r="A852" i="1" s="1"/>
  <c r="E849" i="1"/>
  <c r="A846" i="1"/>
  <c r="A847" i="1" s="1"/>
  <c r="A848" i="1" s="1"/>
  <c r="A840" i="1"/>
  <c r="A841" i="1" s="1"/>
  <c r="E834" i="1"/>
  <c r="E833" i="1"/>
  <c r="A833" i="1"/>
  <c r="A834" i="1" s="1"/>
  <c r="A835" i="1" s="1"/>
  <c r="A838" i="1" s="1"/>
  <c r="E825" i="1"/>
  <c r="E824" i="1"/>
  <c r="E823" i="1"/>
  <c r="E822" i="1"/>
  <c r="A822" i="1"/>
  <c r="A823" i="1" s="1"/>
  <c r="A824" i="1" s="1"/>
  <c r="A825" i="1" s="1"/>
  <c r="A805" i="1"/>
  <c r="A806" i="1" s="1"/>
  <c r="A807" i="1" s="1"/>
  <c r="A808" i="1" s="1"/>
  <c r="E800" i="1"/>
  <c r="E799" i="1"/>
  <c r="E795" i="1"/>
  <c r="A795" i="1"/>
  <c r="A796" i="1" s="1"/>
  <c r="A797" i="1" s="1"/>
  <c r="A798" i="1" s="1"/>
  <c r="A799" i="1" s="1"/>
  <c r="A800" i="1" s="1"/>
  <c r="A801" i="1" s="1"/>
  <c r="E794" i="1"/>
  <c r="A791" i="1"/>
  <c r="A792" i="1" s="1"/>
  <c r="A787" i="1"/>
  <c r="A784" i="1"/>
  <c r="E777" i="1"/>
  <c r="E776" i="1"/>
  <c r="A776" i="1"/>
  <c r="A777" i="1" s="1"/>
  <c r="A778" i="1" s="1"/>
  <c r="A779" i="1" s="1"/>
  <c r="A780" i="1" s="1"/>
  <c r="A773" i="1"/>
  <c r="A774" i="1" s="1"/>
  <c r="E762" i="1"/>
  <c r="E761" i="1"/>
  <c r="E759" i="1"/>
  <c r="E758" i="1"/>
  <c r="A757" i="1"/>
  <c r="A758" i="1" s="1"/>
  <c r="A759" i="1" s="1"/>
  <c r="A760" i="1" s="1"/>
  <c r="A761" i="1" s="1"/>
  <c r="A762" i="1" s="1"/>
  <c r="A763" i="1" s="1"/>
  <c r="A764" i="1" s="1"/>
  <c r="A765" i="1" s="1"/>
  <c r="A766" i="1" s="1"/>
  <c r="E751" i="1"/>
  <c r="A751" i="1"/>
  <c r="A752" i="1" s="1"/>
  <c r="A753" i="1" s="1"/>
  <c r="E750" i="1"/>
  <c r="E746" i="1"/>
  <c r="E745" i="1"/>
  <c r="E742" i="1"/>
  <c r="A741" i="1"/>
  <c r="A742" i="1" s="1"/>
  <c r="A743" i="1" s="1"/>
  <c r="A744" i="1" s="1"/>
  <c r="A747" i="1" s="1"/>
  <c r="A739" i="1"/>
  <c r="E726" i="1"/>
  <c r="E725" i="1"/>
  <c r="A725" i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E724" i="1"/>
  <c r="E723" i="1"/>
  <c r="A723" i="1"/>
  <c r="E722" i="1"/>
  <c r="A718" i="1"/>
  <c r="A719" i="1" s="1"/>
  <c r="A720" i="1" s="1"/>
  <c r="A721" i="1" s="1"/>
  <c r="E710" i="1"/>
  <c r="E709" i="1"/>
  <c r="A709" i="1"/>
  <c r="A710" i="1" s="1"/>
  <c r="A711" i="1" s="1"/>
  <c r="A712" i="1" s="1"/>
  <c r="A713" i="1" s="1"/>
  <c r="A714" i="1" s="1"/>
  <c r="A715" i="1" s="1"/>
  <c r="A705" i="1"/>
  <c r="A706" i="1" s="1"/>
  <c r="E700" i="1"/>
  <c r="E699" i="1"/>
  <c r="E697" i="1"/>
  <c r="E696" i="1"/>
  <c r="E695" i="1"/>
  <c r="E694" i="1"/>
  <c r="A692" i="1"/>
  <c r="A693" i="1" s="1"/>
  <c r="A694" i="1" s="1"/>
  <c r="A695" i="1" s="1"/>
  <c r="A696" i="1" s="1"/>
  <c r="A697" i="1" s="1"/>
  <c r="A698" i="1" s="1"/>
  <c r="E689" i="1"/>
  <c r="E688" i="1"/>
  <c r="E682" i="1"/>
  <c r="A682" i="1"/>
  <c r="A683" i="1" s="1"/>
  <c r="A684" i="1" s="1"/>
  <c r="A685" i="1" s="1"/>
  <c r="A686" i="1" s="1"/>
  <c r="A687" i="1" s="1"/>
  <c r="E681" i="1"/>
  <c r="E679" i="1"/>
  <c r="E676" i="1"/>
  <c r="E674" i="1"/>
  <c r="A671" i="1"/>
  <c r="A672" i="1" s="1"/>
  <c r="A673" i="1" s="1"/>
  <c r="A674" i="1" s="1"/>
  <c r="A675" i="1" s="1"/>
  <c r="A676" i="1" s="1"/>
  <c r="E659" i="1"/>
  <c r="E658" i="1"/>
  <c r="E655" i="1"/>
  <c r="A655" i="1"/>
  <c r="A656" i="1" s="1"/>
  <c r="A657" i="1" s="1"/>
  <c r="A658" i="1" s="1"/>
  <c r="A659" i="1" s="1"/>
  <c r="E654" i="1"/>
  <c r="A652" i="1"/>
  <c r="A653" i="1" s="1"/>
  <c r="E650" i="1"/>
  <c r="A650" i="1"/>
  <c r="E649" i="1"/>
  <c r="E643" i="1"/>
  <c r="E642" i="1"/>
  <c r="E641" i="1"/>
  <c r="E640" i="1"/>
  <c r="A635" i="1"/>
  <c r="A636" i="1" s="1"/>
  <c r="A637" i="1" s="1"/>
  <c r="A638" i="1" s="1"/>
  <c r="A639" i="1" s="1"/>
  <c r="A640" i="1" s="1"/>
  <c r="A641" i="1" s="1"/>
  <c r="A642" i="1" s="1"/>
  <c r="A643" i="1" s="1"/>
  <c r="E631" i="1"/>
  <c r="E628" i="1"/>
  <c r="E627" i="1"/>
  <c r="E626" i="1"/>
  <c r="E625" i="1"/>
  <c r="E624" i="1"/>
  <c r="E623" i="1"/>
  <c r="A622" i="1"/>
  <c r="A623" i="1" s="1"/>
  <c r="A624" i="1" s="1"/>
  <c r="A625" i="1" s="1"/>
  <c r="A626" i="1" s="1"/>
  <c r="A627" i="1" s="1"/>
  <c r="A628" i="1" s="1"/>
  <c r="A629" i="1" s="1"/>
  <c r="A630" i="1" s="1"/>
  <c r="A631" i="1" s="1"/>
  <c r="E618" i="1"/>
  <c r="A618" i="1"/>
  <c r="A619" i="1" s="1"/>
  <c r="A620" i="1" s="1"/>
  <c r="E611" i="1"/>
  <c r="E610" i="1"/>
  <c r="E608" i="1"/>
  <c r="E607" i="1"/>
  <c r="E606" i="1"/>
  <c r="A605" i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01" i="1"/>
  <c r="A602" i="1" s="1"/>
  <c r="A603" i="1" s="1"/>
  <c r="A598" i="1"/>
  <c r="A593" i="1"/>
  <c r="A594" i="1" s="1"/>
  <c r="A595" i="1" s="1"/>
  <c r="E591" i="1"/>
  <c r="E590" i="1"/>
  <c r="A589" i="1"/>
  <c r="A590" i="1" s="1"/>
  <c r="A591" i="1" s="1"/>
  <c r="E586" i="1"/>
  <c r="E585" i="1"/>
  <c r="A585" i="1"/>
  <c r="A586" i="1" s="1"/>
  <c r="A587" i="1" s="1"/>
  <c r="A582" i="1"/>
  <c r="A583" i="1" s="1"/>
  <c r="E576" i="1"/>
  <c r="A575" i="1"/>
  <c r="A576" i="1" s="1"/>
  <c r="E573" i="1"/>
  <c r="E572" i="1"/>
  <c r="E571" i="1"/>
  <c r="E570" i="1"/>
  <c r="A569" i="1"/>
  <c r="A570" i="1" s="1"/>
  <c r="A571" i="1" s="1"/>
  <c r="A572" i="1" s="1"/>
  <c r="A573" i="1" s="1"/>
  <c r="A562" i="1"/>
  <c r="A556" i="1"/>
  <c r="A557" i="1" s="1"/>
  <c r="A559" i="1" s="1"/>
  <c r="A550" i="1"/>
  <c r="A551" i="1" s="1"/>
  <c r="A552" i="1" s="1"/>
  <c r="E548" i="1"/>
  <c r="A547" i="1"/>
  <c r="A548" i="1" s="1"/>
  <c r="A541" i="1"/>
  <c r="A542" i="1" s="1"/>
  <c r="A543" i="1" s="1"/>
  <c r="A544" i="1" s="1"/>
  <c r="A545" i="1" s="1"/>
  <c r="A537" i="1"/>
  <c r="E531" i="1"/>
  <c r="E530" i="1"/>
  <c r="E529" i="1"/>
  <c r="E527" i="1"/>
  <c r="A527" i="1"/>
  <c r="A528" i="1" s="1"/>
  <c r="A529" i="1" s="1"/>
  <c r="A530" i="1" s="1"/>
  <c r="A531" i="1" s="1"/>
  <c r="A532" i="1" s="1"/>
  <c r="A533" i="1" s="1"/>
  <c r="E526" i="1"/>
  <c r="E522" i="1"/>
  <c r="E521" i="1"/>
  <c r="A521" i="1"/>
  <c r="A522" i="1" s="1"/>
  <c r="A523" i="1" s="1"/>
  <c r="A524" i="1" s="1"/>
  <c r="A517" i="1"/>
  <c r="A518" i="1" s="1"/>
  <c r="A519" i="1" s="1"/>
  <c r="A513" i="1"/>
  <c r="A514" i="1" s="1"/>
  <c r="E509" i="1"/>
  <c r="E508" i="1"/>
  <c r="E507" i="1"/>
  <c r="E506" i="1"/>
  <c r="E503" i="1"/>
  <c r="E502" i="1"/>
  <c r="E501" i="1"/>
  <c r="E500" i="1"/>
  <c r="E498" i="1"/>
  <c r="E497" i="1"/>
  <c r="A497" i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E495" i="1"/>
  <c r="E494" i="1"/>
  <c r="A493" i="1"/>
  <c r="A494" i="1" s="1"/>
  <c r="A495" i="1" s="1"/>
  <c r="A490" i="1"/>
  <c r="A491" i="1" s="1"/>
  <c r="E486" i="1"/>
  <c r="A486" i="1"/>
  <c r="A487" i="1" s="1"/>
  <c r="A488" i="1" s="1"/>
  <c r="E485" i="1"/>
  <c r="E481" i="1"/>
  <c r="E476" i="1"/>
  <c r="E475" i="1"/>
  <c r="E474" i="1"/>
  <c r="E473" i="1"/>
  <c r="E472" i="1"/>
  <c r="A472" i="1"/>
  <c r="A473" i="1" s="1"/>
  <c r="A474" i="1" s="1"/>
  <c r="A475" i="1" s="1"/>
  <c r="A476" i="1" s="1"/>
  <c r="A477" i="1" s="1"/>
  <c r="A478" i="1" s="1"/>
  <c r="A480" i="1" s="1"/>
  <c r="A481" i="1" s="1"/>
  <c r="A482" i="1" s="1"/>
  <c r="E471" i="1"/>
  <c r="E470" i="1"/>
  <c r="E469" i="1"/>
  <c r="E466" i="1"/>
  <c r="E465" i="1"/>
  <c r="A465" i="1"/>
  <c r="A466" i="1" s="1"/>
  <c r="E462" i="1"/>
  <c r="A457" i="1"/>
  <c r="A458" i="1" s="1"/>
  <c r="A459" i="1" s="1"/>
  <c r="A460" i="1" s="1"/>
  <c r="A461" i="1" s="1"/>
  <c r="A462" i="1" s="1"/>
  <c r="A463" i="1" s="1"/>
  <c r="A452" i="1"/>
  <c r="A453" i="1" s="1"/>
  <c r="A454" i="1" s="1"/>
  <c r="E450" i="1"/>
  <c r="E449" i="1"/>
  <c r="E448" i="1"/>
  <c r="E447" i="1"/>
  <c r="A445" i="1"/>
  <c r="A446" i="1" s="1"/>
  <c r="A447" i="1" s="1"/>
  <c r="A448" i="1" s="1"/>
  <c r="A449" i="1" s="1"/>
  <c r="A450" i="1" s="1"/>
  <c r="A442" i="1"/>
  <c r="A443" i="1" s="1"/>
  <c r="D440" i="1"/>
  <c r="A438" i="1"/>
  <c r="A439" i="1" s="1"/>
  <c r="A440" i="1" s="1"/>
  <c r="E432" i="1"/>
  <c r="A432" i="1"/>
  <c r="A433" i="1" s="1"/>
  <c r="A434" i="1" s="1"/>
  <c r="A435" i="1" s="1"/>
  <c r="E431" i="1"/>
  <c r="E429" i="1"/>
  <c r="E428" i="1"/>
  <c r="E426" i="1"/>
  <c r="E425" i="1"/>
  <c r="E424" i="1"/>
  <c r="E423" i="1"/>
  <c r="A423" i="1"/>
  <c r="A424" i="1" s="1"/>
  <c r="A425" i="1" s="1"/>
  <c r="A426" i="1" s="1"/>
  <c r="A428" i="1" s="1"/>
  <c r="A429" i="1" s="1"/>
  <c r="A430" i="1" s="1"/>
  <c r="E421" i="1"/>
  <c r="A421" i="1"/>
  <c r="E412" i="1"/>
  <c r="E411" i="1"/>
  <c r="E410" i="1"/>
  <c r="E409" i="1"/>
  <c r="E408" i="1"/>
  <c r="E407" i="1"/>
  <c r="E406" i="1"/>
  <c r="A406" i="1"/>
  <c r="A407" i="1" s="1"/>
  <c r="A408" i="1" s="1"/>
  <c r="A413" i="1" s="1"/>
  <c r="A414" i="1" s="1"/>
  <c r="A415" i="1" s="1"/>
  <c r="A416" i="1" s="1"/>
  <c r="A417" i="1" s="1"/>
  <c r="A418" i="1" s="1"/>
  <c r="E405" i="1"/>
  <c r="E404" i="1"/>
  <c r="E403" i="1"/>
  <c r="E402" i="1"/>
  <c r="E401" i="1"/>
  <c r="E392" i="1"/>
  <c r="E391" i="1"/>
  <c r="E390" i="1"/>
  <c r="E388" i="1"/>
  <c r="E387" i="1"/>
  <c r="E386" i="1"/>
  <c r="E385" i="1"/>
  <c r="E384" i="1"/>
  <c r="A384" i="1"/>
  <c r="A385" i="1" s="1"/>
  <c r="A386" i="1" s="1"/>
  <c r="A387" i="1" s="1"/>
  <c r="A388" i="1" s="1"/>
  <c r="A389" i="1" s="1"/>
  <c r="A390" i="1" s="1"/>
  <c r="A391" i="1" s="1"/>
  <c r="E383" i="1"/>
  <c r="E378" i="1"/>
  <c r="E377" i="1"/>
  <c r="A377" i="1"/>
  <c r="A378" i="1" s="1"/>
  <c r="A379" i="1" s="1"/>
  <c r="E376" i="1"/>
  <c r="E368" i="1"/>
  <c r="E367" i="1"/>
  <c r="E365" i="1"/>
  <c r="E364" i="1"/>
  <c r="E363" i="1"/>
  <c r="E362" i="1"/>
  <c r="A361" i="1"/>
  <c r="A362" i="1" s="1"/>
  <c r="A363" i="1" s="1"/>
  <c r="A364" i="1" s="1"/>
  <c r="A365" i="1" s="1"/>
  <c r="A366" i="1" s="1"/>
  <c r="A367" i="1" s="1"/>
  <c r="A368" i="1" s="1"/>
  <c r="E353" i="1"/>
  <c r="E352" i="1"/>
  <c r="E350" i="1"/>
  <c r="E349" i="1"/>
  <c r="E347" i="1"/>
  <c r="E346" i="1"/>
  <c r="E345" i="1"/>
  <c r="E344" i="1"/>
  <c r="E343" i="1"/>
  <c r="E342" i="1"/>
  <c r="E341" i="1"/>
  <c r="E340" i="1"/>
  <c r="E339" i="1"/>
  <c r="E338" i="1"/>
  <c r="E337" i="1"/>
  <c r="A337" i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E336" i="1"/>
  <c r="E319" i="1"/>
  <c r="A319" i="1"/>
  <c r="A320" i="1" s="1"/>
  <c r="A321" i="1" s="1"/>
  <c r="A322" i="1" s="1"/>
  <c r="A323" i="1" s="1"/>
  <c r="E318" i="1"/>
  <c r="E316" i="1"/>
  <c r="A316" i="1"/>
  <c r="A317" i="1" s="1"/>
  <c r="E315" i="1"/>
  <c r="E310" i="1"/>
  <c r="E309" i="1"/>
  <c r="E308" i="1"/>
  <c r="E307" i="1"/>
  <c r="E305" i="1"/>
  <c r="E304" i="1"/>
  <c r="A304" i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E301" i="1"/>
  <c r="E300" i="1"/>
  <c r="E299" i="1"/>
  <c r="A299" i="1"/>
  <c r="A300" i="1" s="1"/>
  <c r="A301" i="1" s="1"/>
  <c r="E298" i="1"/>
  <c r="E297" i="1"/>
  <c r="E296" i="1"/>
  <c r="E295" i="1"/>
  <c r="A294" i="1"/>
  <c r="A295" i="1" s="1"/>
  <c r="A296" i="1" s="1"/>
  <c r="A297" i="1" s="1"/>
  <c r="E290" i="1"/>
  <c r="E289" i="1"/>
  <c r="A287" i="1"/>
  <c r="A289" i="1" s="1"/>
  <c r="A290" i="1" s="1"/>
  <c r="A291" i="1" s="1"/>
  <c r="A292" i="1" s="1"/>
  <c r="E282" i="1"/>
  <c r="E281" i="1"/>
  <c r="E280" i="1"/>
  <c r="E279" i="1"/>
  <c r="E278" i="1"/>
  <c r="E277" i="1"/>
  <c r="E276" i="1"/>
  <c r="A276" i="1"/>
  <c r="A277" i="1" s="1"/>
  <c r="A278" i="1" s="1"/>
  <c r="A279" i="1" s="1"/>
  <c r="A280" i="1" s="1"/>
  <c r="A281" i="1" s="1"/>
  <c r="A282" i="1" s="1"/>
  <c r="A283" i="1" s="1"/>
  <c r="A284" i="1" s="1"/>
  <c r="A285" i="1" s="1"/>
  <c r="E274" i="1"/>
  <c r="E273" i="1"/>
  <c r="A271" i="1"/>
  <c r="A272" i="1" s="1"/>
  <c r="A273" i="1" s="1"/>
  <c r="A274" i="1" s="1"/>
  <c r="E268" i="1"/>
  <c r="E267" i="1"/>
  <c r="A266" i="1"/>
  <c r="A267" i="1" s="1"/>
  <c r="A268" i="1" s="1"/>
  <c r="A263" i="1"/>
  <c r="A261" i="1"/>
  <c r="E259" i="1"/>
  <c r="A259" i="1"/>
  <c r="E258" i="1"/>
  <c r="E256" i="1"/>
  <c r="A255" i="1"/>
  <c r="A256" i="1" s="1"/>
  <c r="E254" i="1"/>
  <c r="E252" i="1"/>
  <c r="E251" i="1"/>
  <c r="E249" i="1"/>
  <c r="E248" i="1"/>
  <c r="E247" i="1"/>
  <c r="E246" i="1"/>
  <c r="E244" i="1"/>
  <c r="A244" i="1"/>
  <c r="A245" i="1" s="1"/>
  <c r="A246" i="1" s="1"/>
  <c r="A247" i="1" s="1"/>
  <c r="A248" i="1" s="1"/>
  <c r="A249" i="1" s="1"/>
  <c r="A250" i="1" s="1"/>
  <c r="A251" i="1" s="1"/>
  <c r="A252" i="1" s="1"/>
  <c r="A253" i="1" s="1"/>
  <c r="E243" i="1"/>
  <c r="E242" i="1"/>
  <c r="A242" i="1"/>
  <c r="E241" i="1"/>
  <c r="E240" i="1"/>
  <c r="A240" i="1"/>
  <c r="E239" i="1"/>
  <c r="E236" i="1"/>
  <c r="A236" i="1"/>
  <c r="A237" i="1" s="1"/>
  <c r="E234" i="1"/>
  <c r="E233" i="1"/>
  <c r="E229" i="1"/>
  <c r="E228" i="1"/>
  <c r="A226" i="1"/>
  <c r="A227" i="1" s="1"/>
  <c r="A228" i="1" s="1"/>
  <c r="A229" i="1" s="1"/>
  <c r="A230" i="1" s="1"/>
  <c r="A231" i="1" s="1"/>
  <c r="A232" i="1" s="1"/>
  <c r="A233" i="1" s="1"/>
  <c r="A234" i="1" s="1"/>
  <c r="E222" i="1"/>
  <c r="E221" i="1"/>
  <c r="E218" i="1"/>
  <c r="A218" i="1"/>
  <c r="A219" i="1" s="1"/>
  <c r="A220" i="1" s="1"/>
  <c r="A221" i="1" s="1"/>
  <c r="A222" i="1" s="1"/>
  <c r="E215" i="1"/>
  <c r="E214" i="1"/>
  <c r="E212" i="1"/>
  <c r="A212" i="1"/>
  <c r="A213" i="1" s="1"/>
  <c r="A214" i="1" s="1"/>
  <c r="A215" i="1" s="1"/>
  <c r="A216" i="1" s="1"/>
  <c r="E211" i="1"/>
  <c r="A205" i="1"/>
  <c r="A206" i="1" s="1"/>
  <c r="E201" i="1"/>
  <c r="E200" i="1"/>
  <c r="A200" i="1"/>
  <c r="A201" i="1" s="1"/>
  <c r="A202" i="1" s="1"/>
  <c r="E198" i="1"/>
  <c r="E197" i="1"/>
  <c r="E192" i="1"/>
  <c r="E191" i="1"/>
  <c r="A191" i="1"/>
  <c r="A192" i="1" s="1"/>
  <c r="A193" i="1" s="1"/>
  <c r="A194" i="1" s="1"/>
  <c r="A195" i="1" s="1"/>
  <c r="A196" i="1" s="1"/>
  <c r="A197" i="1" s="1"/>
  <c r="A198" i="1" s="1"/>
  <c r="A188" i="1"/>
  <c r="A189" i="1" s="1"/>
  <c r="E184" i="1"/>
  <c r="E183" i="1"/>
  <c r="E181" i="1"/>
  <c r="A181" i="1"/>
  <c r="A182" i="1" s="1"/>
  <c r="A183" i="1" s="1"/>
  <c r="A184" i="1" s="1"/>
  <c r="E180" i="1"/>
  <c r="A178" i="1"/>
  <c r="A179" i="1" s="1"/>
  <c r="A175" i="1"/>
  <c r="E172" i="1"/>
  <c r="E171" i="1"/>
  <c r="E170" i="1"/>
  <c r="E169" i="1"/>
  <c r="E167" i="1"/>
  <c r="E165" i="1"/>
  <c r="A165" i="1"/>
  <c r="A166" i="1" s="1"/>
  <c r="A167" i="1" s="1"/>
  <c r="A168" i="1" s="1"/>
  <c r="A169" i="1" s="1"/>
  <c r="A170" i="1" s="1"/>
  <c r="A171" i="1" s="1"/>
  <c r="A172" i="1" s="1"/>
  <c r="A173" i="1" s="1"/>
  <c r="E164" i="1"/>
  <c r="E162" i="1"/>
  <c r="A162" i="1"/>
  <c r="A163" i="1" s="1"/>
  <c r="E161" i="1"/>
  <c r="E159" i="1"/>
  <c r="E158" i="1"/>
  <c r="E157" i="1"/>
  <c r="E156" i="1"/>
  <c r="A156" i="1"/>
  <c r="A157" i="1" s="1"/>
  <c r="A158" i="1" s="1"/>
  <c r="A159" i="1" s="1"/>
  <c r="E153" i="1"/>
  <c r="A148" i="1"/>
  <c r="A149" i="1" s="1"/>
  <c r="A150" i="1" s="1"/>
  <c r="A151" i="1" s="1"/>
  <c r="A152" i="1" s="1"/>
  <c r="A153" i="1" s="1"/>
  <c r="A145" i="1"/>
  <c r="A146" i="1" s="1"/>
  <c r="E142" i="1"/>
  <c r="A142" i="1"/>
  <c r="A143" i="1" s="1"/>
  <c r="E141" i="1"/>
  <c r="E140" i="1"/>
  <c r="A138" i="1"/>
  <c r="A136" i="1"/>
  <c r="E134" i="1"/>
  <c r="A134" i="1"/>
  <c r="A131" i="1"/>
  <c r="E126" i="1"/>
  <c r="E125" i="1"/>
  <c r="A124" i="1"/>
  <c r="A125" i="1" s="1"/>
  <c r="A126" i="1" s="1"/>
  <c r="A127" i="1" s="1"/>
  <c r="A128" i="1" s="1"/>
  <c r="E121" i="1"/>
  <c r="E120" i="1"/>
  <c r="E119" i="1"/>
  <c r="A119" i="1"/>
  <c r="A120" i="1" s="1"/>
  <c r="A121" i="1" s="1"/>
  <c r="E118" i="1"/>
  <c r="E117" i="1"/>
  <c r="E116" i="1"/>
  <c r="E115" i="1"/>
  <c r="A115" i="1"/>
  <c r="A116" i="1" s="1"/>
  <c r="A117" i="1" s="1"/>
  <c r="E114" i="1"/>
  <c r="E111" i="1"/>
  <c r="A111" i="1"/>
  <c r="A112" i="1" s="1"/>
  <c r="A109" i="1"/>
  <c r="A106" i="1"/>
  <c r="A107" i="1" s="1"/>
  <c r="A103" i="1"/>
  <c r="A104" i="1" s="1"/>
  <c r="A101" i="1"/>
  <c r="E99" i="1"/>
  <c r="E98" i="1"/>
  <c r="E97" i="1"/>
  <c r="E96" i="1"/>
  <c r="D95" i="1"/>
  <c r="E94" i="1"/>
  <c r="A94" i="1"/>
  <c r="A95" i="1" s="1"/>
  <c r="A96" i="1" s="1"/>
  <c r="A97" i="1" s="1"/>
  <c r="A82" i="1"/>
  <c r="A83" i="1" s="1"/>
  <c r="A84" i="1" s="1"/>
  <c r="A85" i="1" s="1"/>
  <c r="A86" i="1" s="1"/>
  <c r="A87" i="1" s="1"/>
  <c r="A88" i="1" s="1"/>
  <c r="A64" i="1"/>
  <c r="B63" i="1" a="1"/>
  <c r="B63" i="1"/>
  <c r="D63" i="1" s="1"/>
  <c r="B62" i="1" a="1"/>
  <c r="B62" i="1"/>
  <c r="D62" i="1" s="1"/>
  <c r="B61" i="1" a="1"/>
  <c r="B61" i="1"/>
  <c r="D61" i="1" s="1"/>
  <c r="B60" i="1"/>
  <c r="D60" i="1" s="1"/>
  <c r="C50" i="2" s="1"/>
  <c r="B59" i="1"/>
  <c r="D59" i="1" s="1"/>
  <c r="C73" i="2" s="1"/>
  <c r="B58" i="1"/>
  <c r="D58" i="1" s="1"/>
  <c r="C33" i="2" s="1"/>
  <c r="B57" i="1"/>
  <c r="D57" i="1" s="1"/>
  <c r="C14" i="2" s="1"/>
  <c r="B56" i="1"/>
  <c r="D56" i="1" s="1"/>
  <c r="C32" i="2" s="1"/>
  <c r="B55" i="1"/>
  <c r="D55" i="1" s="1"/>
  <c r="C31" i="2" s="1"/>
  <c r="B54" i="1"/>
  <c r="D54" i="1" s="1"/>
  <c r="C72" i="2" s="1"/>
  <c r="B53" i="1"/>
  <c r="D53" i="1" s="1"/>
  <c r="C30" i="2" s="1"/>
  <c r="B52" i="1"/>
  <c r="D52" i="1" s="1"/>
  <c r="C55" i="2" s="1"/>
  <c r="B51" i="1"/>
  <c r="D51" i="1" s="1"/>
  <c r="C29" i="2" s="1"/>
  <c r="B50" i="1"/>
  <c r="D50" i="1" s="1"/>
  <c r="C28" i="2" s="1"/>
  <c r="B49" i="1"/>
  <c r="D49" i="1" s="1"/>
  <c r="C70" i="2" s="1"/>
  <c r="B48" i="1"/>
  <c r="D48" i="1" s="1"/>
  <c r="C27" i="2" s="1"/>
  <c r="B47" i="1"/>
  <c r="D47" i="1" s="1"/>
  <c r="C71" i="2" s="1"/>
  <c r="B46" i="1"/>
  <c r="D46" i="1" s="1"/>
  <c r="C26" i="2" s="1"/>
  <c r="B45" i="1"/>
  <c r="D45" i="1" s="1"/>
  <c r="C54" i="2" s="1"/>
  <c r="B44" i="1"/>
  <c r="D44" i="1" s="1"/>
  <c r="C69" i="2" s="1"/>
  <c r="B43" i="1"/>
  <c r="D43" i="1" s="1"/>
  <c r="B42" i="1"/>
  <c r="D42" i="1" s="1"/>
  <c r="C43" i="2" s="1"/>
  <c r="B41" i="1"/>
  <c r="D41" i="1" s="1"/>
  <c r="C49" i="2" s="1"/>
  <c r="B40" i="1"/>
  <c r="D40" i="1" s="1"/>
  <c r="C48" i="2" s="1"/>
  <c r="B39" i="1"/>
  <c r="D39" i="1" s="1"/>
  <c r="C25" i="2" s="1"/>
  <c r="B38" i="1"/>
  <c r="D38" i="1" s="1"/>
  <c r="C68" i="2" s="1"/>
  <c r="B37" i="1"/>
  <c r="D37" i="1" s="1"/>
  <c r="C67" i="2" s="1"/>
  <c r="B36" i="1"/>
  <c r="D36" i="1" s="1"/>
  <c r="C66" i="2" s="1"/>
  <c r="B35" i="1"/>
  <c r="D35" i="1" s="1"/>
  <c r="C42" i="2" s="1"/>
  <c r="B34" i="1"/>
  <c r="D34" i="1" s="1"/>
  <c r="C13" i="2" s="1"/>
  <c r="B33" i="1"/>
  <c r="D33" i="1" s="1"/>
  <c r="C24" i="2" s="1"/>
  <c r="B32" i="1"/>
  <c r="D32" i="1" s="1"/>
  <c r="C23" i="2" s="1"/>
  <c r="B31" i="1"/>
  <c r="D31" i="1" s="1"/>
  <c r="C65" i="2" s="1"/>
  <c r="B30" i="1"/>
  <c r="D30" i="1" s="1"/>
  <c r="C22" i="2" s="1"/>
  <c r="B29" i="1"/>
  <c r="D29" i="1" s="1"/>
  <c r="C21" i="2" s="1"/>
  <c r="B28" i="1"/>
  <c r="D28" i="1" s="1"/>
  <c r="C64" i="2" s="1"/>
  <c r="B27" i="1"/>
  <c r="D27" i="1" s="1"/>
  <c r="C20" i="2" s="1"/>
  <c r="B26" i="1"/>
  <c r="D26" i="1" s="1"/>
  <c r="C53" i="2" s="1"/>
  <c r="B25" i="1"/>
  <c r="D25" i="1" s="1"/>
  <c r="C63" i="2" s="1"/>
  <c r="B24" i="1"/>
  <c r="D24" i="1" s="1"/>
  <c r="C19" i="2" s="1"/>
  <c r="B23" i="1"/>
  <c r="D23" i="1" s="1"/>
  <c r="C62" i="2" s="1"/>
  <c r="B22" i="1"/>
  <c r="D22" i="1" s="1"/>
  <c r="C8" i="2" s="1"/>
  <c r="B21" i="1"/>
  <c r="D21" i="1" s="1"/>
  <c r="C61" i="2" s="1"/>
  <c r="B20" i="1"/>
  <c r="D20" i="1" s="1"/>
  <c r="C7" i="2" s="1"/>
  <c r="B19" i="1"/>
  <c r="D19" i="1" s="1"/>
  <c r="C41" i="2" s="1"/>
  <c r="B18" i="1"/>
  <c r="D18" i="1" s="1"/>
  <c r="C60" i="2" s="1"/>
  <c r="B17" i="1"/>
  <c r="D17" i="1" s="1"/>
  <c r="C18" i="2" s="1"/>
  <c r="B16" i="1"/>
  <c r="D16" i="1" s="1"/>
  <c r="C52" i="2" s="1"/>
  <c r="B15" i="1"/>
  <c r="D15" i="1" s="1"/>
  <c r="C59" i="2" s="1"/>
  <c r="B14" i="1"/>
  <c r="D14" i="1" s="1"/>
  <c r="C47" i="2" s="1"/>
  <c r="B13" i="1"/>
  <c r="D13" i="1" s="1"/>
  <c r="C46" i="2" s="1"/>
  <c r="B12" i="1"/>
  <c r="D12" i="1" s="1"/>
  <c r="C58" i="2" s="1"/>
  <c r="B11" i="1"/>
  <c r="D11" i="1" s="1"/>
  <c r="C10" i="2" s="1"/>
  <c r="B10" i="1"/>
  <c r="D10" i="1" s="1"/>
  <c r="C57" i="2" s="1"/>
  <c r="B9" i="1"/>
  <c r="D9" i="1" s="1"/>
  <c r="C40" i="2" s="1"/>
  <c r="B8" i="1"/>
  <c r="D8" i="1" s="1"/>
  <c r="C39" i="2" s="1"/>
  <c r="B7" i="1"/>
  <c r="D7" i="1" s="1"/>
  <c r="C38" i="2" s="1"/>
  <c r="B6" i="1"/>
  <c r="D6" i="1" s="1"/>
  <c r="C45" i="2" s="1"/>
  <c r="B5" i="1"/>
  <c r="D5" i="1" s="1"/>
  <c r="C37" i="2" s="1"/>
  <c r="B4" i="1"/>
  <c r="D4" i="1" s="1"/>
  <c r="C36" i="2" s="1"/>
  <c r="B3" i="1"/>
  <c r="D3" i="1" s="1"/>
  <c r="C35" i="2" s="1"/>
  <c r="B2" i="1"/>
  <c r="D2" i="1" s="1"/>
  <c r="C17" i="2" s="1"/>
  <c r="B1" i="1"/>
  <c r="D1" i="1" s="1"/>
  <c r="A1" i="1"/>
  <c r="A2733" i="1" l="1"/>
  <c r="A2734" i="1" s="1"/>
  <c r="A2735" i="1" s="1"/>
  <c r="A2738" i="1" s="1"/>
  <c r="A2739" i="1" s="1"/>
  <c r="A2740" i="1" s="1"/>
  <c r="A2741" i="1" s="1"/>
  <c r="A2743" i="1" s="1"/>
  <c r="A2744" i="1" s="1"/>
  <c r="A2745" i="1" s="1"/>
  <c r="A2746" i="1" s="1"/>
  <c r="A2747" i="1" s="1"/>
  <c r="A2748" i="1" s="1"/>
  <c r="A2749" i="1" s="1"/>
  <c r="A2751" i="1" s="1"/>
  <c r="A2754" i="1" s="1"/>
  <c r="A2757" i="1" s="1"/>
  <c r="A2758" i="1" s="1"/>
  <c r="A2759" i="1" s="1"/>
  <c r="A2760" i="1" s="1"/>
  <c r="A2762" i="1" s="1"/>
  <c r="A2763" i="1" s="1"/>
  <c r="A2764" i="1" s="1"/>
  <c r="A2766" i="1" s="1"/>
  <c r="A2767" i="1" s="1"/>
  <c r="A2768" i="1" s="1"/>
  <c r="A2770" i="1" s="1"/>
  <c r="A2771" i="1" s="1"/>
  <c r="A2772" i="1" s="1"/>
  <c r="A2773" i="1" s="1"/>
  <c r="A2774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A10003" i="1" s="1"/>
  <c r="A10004" i="1" s="1"/>
  <c r="A10005" i="1" s="1"/>
  <c r="A10006" i="1" s="1"/>
  <c r="A10007" i="1" s="1"/>
  <c r="A10008" i="1" s="1"/>
  <c r="A10009" i="1" s="1"/>
  <c r="A10010" i="1" s="1"/>
  <c r="A10011" i="1" s="1"/>
  <c r="A10012" i="1" s="1"/>
  <c r="A10013" i="1" s="1"/>
  <c r="A10014" i="1" s="1"/>
  <c r="A10015" i="1" s="1"/>
  <c r="A10016" i="1" s="1"/>
  <c r="A10017" i="1" s="1"/>
  <c r="A10018" i="1" s="1"/>
  <c r="A10019" i="1" s="1"/>
  <c r="A10020" i="1" s="1"/>
  <c r="A10021" i="1" s="1"/>
  <c r="A10022" i="1" s="1"/>
  <c r="A10023" i="1" s="1"/>
  <c r="A10024" i="1" s="1"/>
  <c r="A10025" i="1" s="1"/>
  <c r="A10026" i="1" s="1"/>
  <c r="A10027" i="1" s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0037" i="1" s="1"/>
  <c r="A10038" i="1" s="1"/>
  <c r="A10039" i="1" s="1"/>
  <c r="A10040" i="1" s="1"/>
  <c r="A10041" i="1" s="1"/>
  <c r="A10042" i="1" s="1"/>
  <c r="A10043" i="1" s="1"/>
  <c r="A10044" i="1" s="1"/>
  <c r="A10045" i="1" s="1"/>
  <c r="A10046" i="1" s="1"/>
  <c r="A10047" i="1" s="1"/>
  <c r="A10048" i="1" s="1"/>
  <c r="A10049" i="1" s="1"/>
  <c r="A10050" i="1" s="1"/>
  <c r="A10051" i="1" s="1"/>
  <c r="A10052" i="1" s="1"/>
  <c r="A10053" i="1" s="1"/>
  <c r="A10054" i="1" s="1"/>
  <c r="A10055" i="1" s="1"/>
  <c r="A10056" i="1" s="1"/>
  <c r="A10057" i="1" s="1"/>
  <c r="A10058" i="1" s="1"/>
  <c r="A10059" i="1" s="1"/>
  <c r="A10060" i="1" s="1"/>
  <c r="A10061" i="1" s="1"/>
  <c r="A10062" i="1" s="1"/>
  <c r="A10063" i="1" s="1"/>
  <c r="A10064" i="1" s="1"/>
  <c r="A10065" i="1" s="1"/>
  <c r="A10066" i="1" s="1"/>
  <c r="A10067" i="1" s="1"/>
  <c r="A10068" i="1" s="1"/>
  <c r="A10069" i="1" s="1"/>
  <c r="A10070" i="1" s="1"/>
  <c r="A10071" i="1" s="1"/>
  <c r="A10072" i="1" s="1"/>
  <c r="A10073" i="1" s="1"/>
  <c r="A10074" i="1" s="1"/>
  <c r="A10075" i="1" s="1"/>
  <c r="A10076" i="1" s="1"/>
  <c r="A10077" i="1" s="1"/>
  <c r="A10078" i="1" s="1"/>
  <c r="A10079" i="1" s="1"/>
  <c r="A10080" i="1" s="1"/>
  <c r="A10081" i="1" s="1"/>
  <c r="A10082" i="1" s="1"/>
  <c r="A10083" i="1" s="1"/>
  <c r="A10084" i="1" s="1"/>
  <c r="A10085" i="1" s="1"/>
  <c r="A10086" i="1" s="1"/>
  <c r="A10087" i="1" s="1"/>
  <c r="A10088" i="1" s="1"/>
  <c r="A10089" i="1" s="1"/>
  <c r="A10090" i="1" s="1"/>
  <c r="A10091" i="1" s="1"/>
  <c r="A10092" i="1" s="1"/>
  <c r="A10093" i="1" s="1"/>
  <c r="A10094" i="1" s="1"/>
  <c r="A10095" i="1" s="1"/>
  <c r="A10096" i="1" s="1"/>
  <c r="A10097" i="1" s="1"/>
  <c r="A10098" i="1" s="1"/>
  <c r="A10099" i="1" s="1"/>
  <c r="A10100" i="1" s="1"/>
  <c r="A10101" i="1" s="1"/>
  <c r="A10102" i="1" s="1"/>
  <c r="A10103" i="1" s="1"/>
  <c r="A10104" i="1" s="1"/>
  <c r="A10105" i="1" s="1"/>
  <c r="A10106" i="1" s="1"/>
  <c r="A10107" i="1" s="1"/>
  <c r="A10108" i="1" s="1"/>
  <c r="A10109" i="1" s="1"/>
  <c r="A10110" i="1" s="1"/>
  <c r="A10111" i="1" s="1"/>
  <c r="A10112" i="1" s="1"/>
  <c r="A10113" i="1" s="1"/>
  <c r="A10114" i="1" s="1"/>
  <c r="A10115" i="1" s="1"/>
  <c r="A10116" i="1" s="1"/>
  <c r="A10117" i="1" s="1"/>
  <c r="A10118" i="1" s="1"/>
  <c r="A10119" i="1" s="1"/>
  <c r="A10120" i="1" s="1"/>
  <c r="A10121" i="1" s="1"/>
  <c r="A10122" i="1" s="1"/>
  <c r="A10123" i="1" s="1"/>
  <c r="A10124" i="1" s="1"/>
  <c r="A10125" i="1" s="1"/>
  <c r="A10126" i="1" s="1"/>
  <c r="A10127" i="1" s="1"/>
  <c r="A10128" i="1" s="1"/>
  <c r="A10129" i="1" s="1"/>
  <c r="A10130" i="1" s="1"/>
  <c r="A10131" i="1" s="1"/>
  <c r="A10132" i="1" s="1"/>
  <c r="A10133" i="1" s="1"/>
  <c r="A10134" i="1" s="1"/>
  <c r="A10135" i="1" s="1"/>
  <c r="A10136" i="1" s="1"/>
  <c r="A10137" i="1" s="1"/>
  <c r="A10138" i="1" s="1"/>
  <c r="A10139" i="1" s="1"/>
  <c r="A10140" i="1" s="1"/>
  <c r="A10141" i="1" s="1"/>
  <c r="A10142" i="1" s="1"/>
  <c r="A10143" i="1" s="1"/>
  <c r="A10144" i="1" s="1"/>
  <c r="A10145" i="1" s="1"/>
  <c r="A10146" i="1" s="1"/>
  <c r="A10147" i="1" s="1"/>
  <c r="A10148" i="1" s="1"/>
  <c r="A10149" i="1" s="1"/>
  <c r="A10150" i="1" s="1"/>
  <c r="A10151" i="1" s="1"/>
  <c r="A10152" i="1" s="1"/>
  <c r="A10153" i="1" s="1"/>
  <c r="A10154" i="1" s="1"/>
  <c r="A10155" i="1" s="1"/>
  <c r="A10156" i="1" s="1"/>
  <c r="A10157" i="1" s="1"/>
  <c r="A10158" i="1" s="1"/>
  <c r="A10159" i="1" s="1"/>
  <c r="A10160" i="1" s="1"/>
  <c r="A10161" i="1" s="1"/>
  <c r="A10162" i="1" s="1"/>
  <c r="A10163" i="1" s="1"/>
  <c r="A10164" i="1" s="1"/>
  <c r="A10165" i="1" s="1"/>
  <c r="A10166" i="1" s="1"/>
  <c r="A10167" i="1" s="1"/>
  <c r="A10168" i="1" s="1"/>
  <c r="A10169" i="1" s="1"/>
  <c r="A10170" i="1" s="1"/>
  <c r="A10171" i="1" s="1"/>
  <c r="A10172" i="1" s="1"/>
  <c r="A10173" i="1" s="1"/>
  <c r="A10174" i="1" s="1"/>
  <c r="A10175" i="1" s="1"/>
  <c r="A10176" i="1" s="1"/>
  <c r="A10177" i="1" s="1"/>
  <c r="A10178" i="1" s="1"/>
  <c r="A10179" i="1" s="1"/>
  <c r="A10180" i="1" s="1"/>
  <c r="A10181" i="1" s="1"/>
  <c r="A10182" i="1" s="1"/>
  <c r="A10183" i="1" s="1"/>
  <c r="A10184" i="1" s="1"/>
  <c r="A10185" i="1" s="1"/>
  <c r="A10186" i="1" s="1"/>
  <c r="A10187" i="1" s="1"/>
  <c r="A10188" i="1" s="1"/>
  <c r="A10189" i="1" s="1"/>
  <c r="A10190" i="1" s="1"/>
  <c r="A10191" i="1" s="1"/>
  <c r="A10192" i="1" s="1"/>
  <c r="A10193" i="1" s="1"/>
  <c r="A10194" i="1" s="1"/>
  <c r="A10195" i="1" s="1"/>
  <c r="A10196" i="1" s="1"/>
  <c r="A10197" i="1" s="1"/>
  <c r="A10198" i="1" s="1"/>
  <c r="A10199" i="1" s="1"/>
  <c r="A10200" i="1" s="1"/>
  <c r="A10201" i="1" s="1"/>
  <c r="A10202" i="1" s="1"/>
  <c r="A10203" i="1" s="1"/>
  <c r="A10204" i="1" s="1"/>
  <c r="A10205" i="1" s="1"/>
  <c r="A10206" i="1" s="1"/>
  <c r="A10207" i="1" s="1"/>
  <c r="A10208" i="1" s="1"/>
  <c r="A10209" i="1" s="1"/>
  <c r="A10210" i="1" s="1"/>
  <c r="A10211" i="1" s="1"/>
  <c r="A10212" i="1" s="1"/>
  <c r="A10213" i="1" s="1"/>
  <c r="A10214" i="1" s="1"/>
  <c r="A10215" i="1" s="1"/>
  <c r="A10216" i="1" s="1"/>
  <c r="A10217" i="1" s="1"/>
  <c r="A10218" i="1" s="1"/>
  <c r="A10219" i="1" s="1"/>
  <c r="A10220" i="1" s="1"/>
  <c r="A10221" i="1" s="1"/>
  <c r="A10222" i="1" s="1"/>
  <c r="A10223" i="1" s="1"/>
  <c r="A10224" i="1" s="1"/>
  <c r="A10225" i="1" s="1"/>
  <c r="A10226" i="1" s="1"/>
  <c r="A10227" i="1" s="1"/>
  <c r="A10228" i="1" s="1"/>
  <c r="A10229" i="1" s="1"/>
  <c r="A10230" i="1" s="1"/>
  <c r="A10231" i="1" s="1"/>
  <c r="A10232" i="1" s="1"/>
  <c r="A10233" i="1" s="1"/>
  <c r="A10234" i="1" s="1"/>
  <c r="A10235" i="1" s="1"/>
  <c r="A10236" i="1" s="1"/>
  <c r="A10237" i="1" s="1"/>
  <c r="A10238" i="1" s="1"/>
  <c r="A10239" i="1" s="1"/>
  <c r="A10240" i="1" s="1"/>
  <c r="A10241" i="1" s="1"/>
  <c r="A10242" i="1" s="1"/>
  <c r="A10243" i="1" s="1"/>
  <c r="A10244" i="1" s="1"/>
  <c r="A10245" i="1" s="1"/>
  <c r="A10246" i="1" s="1"/>
  <c r="A10247" i="1" s="1"/>
  <c r="A10248" i="1" s="1"/>
  <c r="A10249" i="1" s="1"/>
  <c r="A10250" i="1" s="1"/>
  <c r="A10251" i="1" s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3" i="1" s="1"/>
  <c r="A10264" i="1" s="1"/>
  <c r="A10265" i="1" s="1"/>
  <c r="A10266" i="1" s="1"/>
  <c r="A10267" i="1" s="1"/>
  <c r="A10268" i="1" s="1"/>
  <c r="A10269" i="1" s="1"/>
  <c r="A10270" i="1" s="1"/>
  <c r="A10271" i="1" s="1"/>
  <c r="A10272" i="1" s="1"/>
  <c r="A10273" i="1" s="1"/>
  <c r="A10274" i="1" s="1"/>
  <c r="A10275" i="1" s="1"/>
  <c r="A10276" i="1" s="1"/>
  <c r="A10277" i="1" s="1"/>
  <c r="A10278" i="1" s="1"/>
  <c r="A10279" i="1" s="1"/>
  <c r="A10280" i="1" s="1"/>
  <c r="A10281" i="1" s="1"/>
  <c r="A10282" i="1" s="1"/>
  <c r="A10283" i="1" s="1"/>
  <c r="A10284" i="1" s="1"/>
  <c r="A10285" i="1" s="1"/>
  <c r="A10286" i="1" s="1"/>
  <c r="A10287" i="1" s="1"/>
  <c r="A10288" i="1" s="1"/>
  <c r="A10289" i="1" s="1"/>
  <c r="A10290" i="1" s="1"/>
  <c r="A10291" i="1" s="1"/>
  <c r="A10292" i="1" s="1"/>
  <c r="A10293" i="1" s="1"/>
  <c r="A10294" i="1" s="1"/>
  <c r="A10295" i="1" s="1"/>
  <c r="A10296" i="1" s="1"/>
  <c r="A10297" i="1" s="1"/>
  <c r="A10298" i="1" s="1"/>
  <c r="A10299" i="1" s="1"/>
  <c r="A10300" i="1" s="1"/>
  <c r="A10301" i="1" s="1"/>
  <c r="A10302" i="1" s="1"/>
  <c r="A10303" i="1" s="1"/>
  <c r="A10304" i="1" s="1"/>
  <c r="A10305" i="1" s="1"/>
  <c r="A10306" i="1" s="1"/>
  <c r="A10307" i="1" s="1"/>
  <c r="A10308" i="1" s="1"/>
  <c r="A10309" i="1" s="1"/>
  <c r="A10310" i="1" s="1"/>
  <c r="A10311" i="1" s="1"/>
  <c r="A10312" i="1" s="1"/>
  <c r="A10313" i="1" s="1"/>
  <c r="A10314" i="1" s="1"/>
  <c r="A10315" i="1" s="1"/>
  <c r="A10316" i="1" s="1"/>
  <c r="A10317" i="1" s="1"/>
  <c r="A10318" i="1" s="1"/>
  <c r="A10319" i="1" s="1"/>
  <c r="A10320" i="1" s="1"/>
  <c r="A10321" i="1" s="1"/>
  <c r="A10322" i="1" s="1"/>
  <c r="A10323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3" i="1" s="1"/>
  <c r="A10344" i="1" s="1"/>
  <c r="A10345" i="1" s="1"/>
  <c r="A10346" i="1" s="1"/>
  <c r="A10347" i="1" s="1"/>
  <c r="A10348" i="1" s="1"/>
  <c r="A10349" i="1" s="1"/>
  <c r="A10350" i="1" s="1"/>
  <c r="A10351" i="1" s="1"/>
  <c r="A10352" i="1" s="1"/>
  <c r="A10353" i="1" s="1"/>
  <c r="A10354" i="1" s="1"/>
  <c r="A10355" i="1" s="1"/>
  <c r="A10356" i="1" s="1"/>
  <c r="A10357" i="1" s="1"/>
  <c r="A10358" i="1" s="1"/>
  <c r="A10359" i="1" s="1"/>
  <c r="A10360" i="1" s="1"/>
  <c r="A10361" i="1" s="1"/>
  <c r="A10362" i="1" s="1"/>
  <c r="A10363" i="1" s="1"/>
  <c r="A10364" i="1" s="1"/>
  <c r="A10365" i="1" s="1"/>
  <c r="A10366" i="1" s="1"/>
  <c r="A10367" i="1" s="1"/>
  <c r="A10368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78" i="1" s="1"/>
  <c r="A10379" i="1" s="1"/>
  <c r="A10380" i="1" s="1"/>
  <c r="A10381" i="1" s="1"/>
  <c r="A10382" i="1" s="1"/>
  <c r="A10383" i="1" s="1"/>
  <c r="A10384" i="1" s="1"/>
  <c r="A10385" i="1" s="1"/>
  <c r="A10386" i="1" s="1"/>
  <c r="A10387" i="1" s="1"/>
  <c r="A10388" i="1" s="1"/>
  <c r="A10389" i="1" s="1"/>
  <c r="A10390" i="1" s="1"/>
  <c r="A10391" i="1" s="1"/>
  <c r="A10392" i="1" s="1"/>
  <c r="A10393" i="1" s="1"/>
  <c r="A10394" i="1" s="1"/>
  <c r="A10395" i="1" s="1"/>
  <c r="A10396" i="1" s="1"/>
  <c r="A10397" i="1" s="1"/>
  <c r="A10398" i="1" s="1"/>
  <c r="A10399" i="1" s="1"/>
  <c r="A10400" i="1" s="1"/>
  <c r="A10401" i="1" s="1"/>
  <c r="A10402" i="1" s="1"/>
  <c r="A10403" i="1" s="1"/>
  <c r="A10404" i="1" s="1"/>
  <c r="A10405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3" i="1" s="1"/>
  <c r="A10434" i="1" s="1"/>
  <c r="A10435" i="1" s="1"/>
  <c r="A10436" i="1" s="1"/>
  <c r="A10437" i="1" s="1"/>
  <c r="A10438" i="1" s="1"/>
  <c r="A10439" i="1" s="1"/>
  <c r="A10440" i="1" s="1"/>
  <c r="A10441" i="1" s="1"/>
  <c r="A10442" i="1" s="1"/>
  <c r="A10443" i="1" s="1"/>
  <c r="A10444" i="1" s="1"/>
  <c r="A10445" i="1" s="1"/>
  <c r="A10446" i="1" s="1"/>
  <c r="A10447" i="1" s="1"/>
  <c r="A10448" i="1" s="1"/>
  <c r="A10449" i="1" s="1"/>
  <c r="A10450" i="1" s="1"/>
  <c r="A10451" i="1" s="1"/>
  <c r="A10452" i="1" s="1"/>
  <c r="A10453" i="1" s="1"/>
  <c r="A10454" i="1" s="1"/>
  <c r="A10455" i="1" s="1"/>
  <c r="A10456" i="1" s="1"/>
  <c r="A10457" i="1" s="1"/>
  <c r="A10458" i="1" s="1"/>
  <c r="A10459" i="1" s="1"/>
  <c r="A10460" i="1" s="1"/>
  <c r="A10461" i="1" s="1"/>
  <c r="A10462" i="1" s="1"/>
  <c r="A10463" i="1" s="1"/>
  <c r="A10464" i="1" s="1"/>
  <c r="A10465" i="1" s="1"/>
  <c r="A10466" i="1" s="1"/>
  <c r="A10467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79" i="1" s="1"/>
  <c r="A10480" i="1" s="1"/>
  <c r="A10481" i="1" s="1"/>
  <c r="A10482" i="1" s="1"/>
  <c r="A10483" i="1" s="1"/>
  <c r="A10484" i="1" s="1"/>
  <c r="A10485" i="1" s="1"/>
  <c r="A10486" i="1" s="1"/>
  <c r="A10487" i="1" s="1"/>
  <c r="A10488" i="1" s="1"/>
  <c r="A10489" i="1" s="1"/>
  <c r="A10490" i="1" s="1"/>
  <c r="A10491" i="1" s="1"/>
  <c r="A10492" i="1" s="1"/>
  <c r="A10493" i="1" s="1"/>
  <c r="A10494" i="1" s="1"/>
  <c r="A10495" i="1" s="1"/>
  <c r="A10496" i="1" s="1"/>
  <c r="A10497" i="1" s="1"/>
  <c r="A10498" i="1" s="1"/>
  <c r="A10499" i="1" s="1"/>
  <c r="A10500" i="1" s="1"/>
  <c r="A10501" i="1" s="1"/>
  <c r="A10502" i="1" s="1"/>
  <c r="A10503" i="1" s="1"/>
  <c r="A10504" i="1" s="1"/>
  <c r="A10505" i="1" s="1"/>
  <c r="A10506" i="1" s="1"/>
  <c r="A10507" i="1" s="1"/>
  <c r="A10508" i="1" s="1"/>
  <c r="A10509" i="1" s="1"/>
  <c r="A10510" i="1" s="1"/>
  <c r="A10511" i="1" s="1"/>
  <c r="A10512" i="1" s="1"/>
  <c r="A10513" i="1" s="1"/>
  <c r="A10514" i="1" s="1"/>
  <c r="A10515" i="1" s="1"/>
  <c r="A10516" i="1" s="1"/>
  <c r="A10517" i="1" s="1"/>
  <c r="A10518" i="1" s="1"/>
  <c r="A10519" i="1" s="1"/>
  <c r="A10520" i="1" s="1"/>
  <c r="A10521" i="1" s="1"/>
  <c r="A10522" i="1" s="1"/>
  <c r="A10523" i="1" s="1"/>
  <c r="A10524" i="1" s="1"/>
  <c r="A10525" i="1" s="1"/>
  <c r="A10526" i="1" s="1"/>
  <c r="A10527" i="1" s="1"/>
  <c r="A10528" i="1" s="1"/>
  <c r="A10529" i="1" s="1"/>
  <c r="A10530" i="1" s="1"/>
  <c r="A10531" i="1" s="1"/>
  <c r="A10532" i="1" s="1"/>
  <c r="A10533" i="1" s="1"/>
  <c r="A10534" i="1" s="1"/>
  <c r="A10535" i="1" s="1"/>
  <c r="A10536" i="1" s="1"/>
  <c r="A10537" i="1" s="1"/>
  <c r="A10538" i="1" s="1"/>
  <c r="A10539" i="1" s="1"/>
  <c r="A10540" i="1" s="1"/>
  <c r="A10541" i="1" s="1"/>
  <c r="A10542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10703" i="1" s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2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2728" i="1"/>
  <c r="A2729" i="1" s="1"/>
  <c r="A2730" i="1" s="1"/>
  <c r="A2731" i="1" s="1"/>
  <c r="C16" i="2"/>
  <c r="E65" i="1"/>
  <c r="D64" i="1"/>
  <c r="E17" i="2"/>
  <c r="C44" i="2"/>
  <c r="E35" i="2"/>
  <c r="E36" i="2"/>
  <c r="E37" i="2"/>
  <c r="C51" i="2"/>
  <c r="E45" i="2"/>
  <c r="E38" i="2"/>
  <c r="E39" i="2"/>
  <c r="E40" i="2"/>
  <c r="C74" i="2"/>
  <c r="E57" i="2"/>
  <c r="E10" i="2"/>
  <c r="E58" i="2"/>
  <c r="E46" i="2"/>
  <c r="E47" i="2"/>
  <c r="E59" i="2"/>
  <c r="C56" i="2"/>
  <c r="E52" i="2"/>
  <c r="E18" i="2"/>
  <c r="E60" i="2"/>
  <c r="E41" i="2"/>
  <c r="C9" i="2"/>
  <c r="E7" i="2"/>
  <c r="C4" i="2"/>
  <c r="E61" i="2"/>
  <c r="E8" i="2"/>
  <c r="E62" i="2"/>
  <c r="E19" i="2"/>
  <c r="E63" i="2"/>
  <c r="E53" i="2"/>
  <c r="E20" i="2"/>
  <c r="E64" i="2"/>
  <c r="E21" i="2"/>
  <c r="E22" i="2"/>
  <c r="E65" i="2"/>
  <c r="E23" i="2"/>
  <c r="E24" i="2"/>
  <c r="C15" i="2"/>
  <c r="E13" i="2"/>
  <c r="E42" i="2"/>
  <c r="E66" i="2"/>
  <c r="E67" i="2"/>
  <c r="E68" i="2"/>
  <c r="E25" i="2"/>
  <c r="E48" i="2"/>
  <c r="G49" i="2"/>
  <c r="G43" i="2"/>
  <c r="C11" i="2"/>
  <c r="F65" i="1"/>
  <c r="G69" i="2"/>
  <c r="G54" i="2"/>
  <c r="G26" i="2"/>
  <c r="G71" i="2"/>
  <c r="G27" i="2"/>
  <c r="G70" i="2"/>
  <c r="G28" i="2"/>
  <c r="G29" i="2"/>
  <c r="G55" i="2"/>
  <c r="G30" i="2"/>
  <c r="G72" i="2"/>
  <c r="G31" i="2"/>
  <c r="G32" i="2"/>
  <c r="G14" i="2"/>
  <c r="G33" i="2"/>
  <c r="G73" i="2"/>
  <c r="G50" i="2"/>
  <c r="A1023" i="1"/>
  <c r="A1021" i="1"/>
  <c r="A1022" i="1" s="1"/>
  <c r="A1119" i="1"/>
  <c r="A1117" i="1"/>
  <c r="A1118" i="1" s="1"/>
  <c r="A1771" i="1"/>
  <c r="A1772" i="1" s="1"/>
  <c r="A1773" i="1" s="1"/>
  <c r="A1774" i="1" s="1"/>
  <c r="A1769" i="1"/>
  <c r="A1770" i="1" s="1"/>
  <c r="A1792" i="1"/>
  <c r="A1793" i="1" s="1"/>
  <c r="A1794" i="1" s="1"/>
  <c r="A1795" i="1" s="1"/>
  <c r="A1796" i="1" s="1"/>
  <c r="A1791" i="1"/>
  <c r="A1953" i="1"/>
  <c r="A1954" i="1" s="1"/>
  <c r="A1955" i="1" s="1"/>
  <c r="A1956" i="1" s="1"/>
  <c r="A1957" i="1" s="1"/>
  <c r="A1958" i="1" s="1"/>
  <c r="A1947" i="1"/>
  <c r="A1948" i="1" s="1"/>
  <c r="A1949" i="1" s="1"/>
  <c r="A1950" i="1" s="1"/>
  <c r="A1951" i="1" s="1"/>
  <c r="A1952" i="1" s="1"/>
  <c r="A2251" i="1"/>
  <c r="A2252" i="1" s="1"/>
  <c r="A2253" i="1" s="1"/>
  <c r="A2254" i="1" s="1"/>
  <c r="A2255" i="1" s="1"/>
  <c r="A2256" i="1" s="1"/>
  <c r="A2257" i="1" s="1"/>
  <c r="A2258" i="1" s="1"/>
  <c r="A2250" i="1"/>
  <c r="A2608" i="1"/>
  <c r="A2609" i="1" s="1"/>
  <c r="A2610" i="1" s="1"/>
  <c r="A2611" i="1" s="1"/>
  <c r="A2606" i="1"/>
  <c r="A2607" i="1" s="1"/>
  <c r="E87" i="2"/>
  <c r="E6" i="2" s="1"/>
  <c r="G87" i="2"/>
  <c r="G6" i="2" s="1"/>
  <c r="D16" i="4"/>
  <c r="F3" i="4"/>
  <c r="M16" i="4"/>
  <c r="P3" i="4"/>
  <c r="P16" i="4" s="1"/>
  <c r="F4" i="4"/>
  <c r="H4" i="4" s="1"/>
  <c r="F5" i="4"/>
  <c r="H5" i="4" s="1"/>
  <c r="F6" i="4"/>
  <c r="H6" i="4" s="1"/>
  <c r="F7" i="4"/>
  <c r="H7" i="4" s="1"/>
  <c r="F8" i="4"/>
  <c r="H8" i="4" s="1"/>
  <c r="F9" i="4"/>
  <c r="H9" i="4" s="1"/>
  <c r="F10" i="4"/>
  <c r="H10" i="4" s="1"/>
  <c r="F11" i="4"/>
  <c r="H11" i="4" s="1"/>
  <c r="F12" i="4"/>
  <c r="H12" i="4" s="1"/>
  <c r="F14" i="4"/>
  <c r="H14" i="4" s="1"/>
  <c r="F15" i="4"/>
  <c r="H15" i="4" s="1"/>
  <c r="E32" i="4"/>
  <c r="G19" i="4"/>
  <c r="M32" i="4"/>
  <c r="O19" i="4"/>
  <c r="G20" i="4"/>
  <c r="H20" i="4" s="1"/>
  <c r="O20" i="4"/>
  <c r="P20" i="4" s="1"/>
  <c r="G21" i="4"/>
  <c r="H21" i="4" s="1"/>
  <c r="O21" i="4"/>
  <c r="P21" i="4" s="1"/>
  <c r="G22" i="4"/>
  <c r="H22" i="4" s="1"/>
  <c r="O22" i="4"/>
  <c r="P22" i="4" s="1"/>
  <c r="G23" i="4"/>
  <c r="H23" i="4" s="1"/>
  <c r="O23" i="4"/>
  <c r="P23" i="4" s="1"/>
  <c r="G24" i="4"/>
  <c r="H24" i="4" s="1"/>
  <c r="O24" i="4"/>
  <c r="P24" i="4" s="1"/>
  <c r="G25" i="4"/>
  <c r="H25" i="4" s="1"/>
  <c r="O25" i="4"/>
  <c r="P25" i="4" s="1"/>
  <c r="G26" i="4"/>
  <c r="H26" i="4" s="1"/>
  <c r="O26" i="4"/>
  <c r="P26" i="4" s="1"/>
  <c r="G27" i="4"/>
  <c r="H27" i="4" s="1"/>
  <c r="O27" i="4"/>
  <c r="P27" i="4" s="1"/>
  <c r="G28" i="4"/>
  <c r="H28" i="4" s="1"/>
  <c r="O28" i="4"/>
  <c r="P28" i="4" s="1"/>
  <c r="G29" i="4"/>
  <c r="H29" i="4" s="1"/>
  <c r="O29" i="4"/>
  <c r="P29" i="4" s="1"/>
  <c r="G30" i="4"/>
  <c r="H30" i="4" s="1"/>
  <c r="O30" i="4"/>
  <c r="P30" i="4" s="1"/>
  <c r="G31" i="4"/>
  <c r="H31" i="4" s="1"/>
  <c r="O31" i="4"/>
  <c r="P31" i="4" s="1"/>
  <c r="H2" i="5"/>
  <c r="G2" i="5"/>
  <c r="F2" i="5"/>
  <c r="I2" i="5"/>
  <c r="H3" i="5"/>
  <c r="G3" i="5"/>
  <c r="F3" i="5"/>
  <c r="I3" i="5"/>
  <c r="H4" i="5"/>
  <c r="G4" i="5"/>
  <c r="F4" i="5"/>
  <c r="I4" i="5"/>
  <c r="H5" i="5"/>
  <c r="G5" i="5"/>
  <c r="F5" i="5"/>
  <c r="I5" i="5"/>
  <c r="H6" i="5"/>
  <c r="G6" i="5"/>
  <c r="F6" i="5"/>
  <c r="H7" i="5"/>
  <c r="G7" i="5"/>
  <c r="F7" i="5"/>
  <c r="I7" i="5"/>
  <c r="H8" i="5"/>
  <c r="G8" i="5"/>
  <c r="F8" i="5"/>
  <c r="D29" i="5"/>
  <c r="E8" i="5"/>
  <c r="H9" i="5"/>
  <c r="G9" i="5"/>
  <c r="F9" i="5"/>
  <c r="I9" i="5"/>
  <c r="H10" i="5"/>
  <c r="G10" i="5"/>
  <c r="F10" i="5"/>
  <c r="I10" i="5"/>
  <c r="H11" i="5"/>
  <c r="G11" i="5"/>
  <c r="F11" i="5"/>
  <c r="I11" i="5"/>
  <c r="H12" i="5"/>
  <c r="G12" i="5"/>
  <c r="F12" i="5"/>
  <c r="I12" i="5"/>
  <c r="H13" i="5"/>
  <c r="G13" i="5"/>
  <c r="F13" i="5"/>
  <c r="I13" i="5"/>
  <c r="H14" i="5"/>
  <c r="G14" i="5"/>
  <c r="F14" i="5"/>
  <c r="I14" i="5"/>
  <c r="H15" i="5"/>
  <c r="G15" i="5"/>
  <c r="F15" i="5"/>
  <c r="I15" i="5"/>
  <c r="H16" i="5"/>
  <c r="G16" i="5"/>
  <c r="F16" i="5"/>
  <c r="I16" i="5"/>
  <c r="H17" i="5"/>
  <c r="G17" i="5"/>
  <c r="F17" i="5"/>
  <c r="I17" i="5"/>
  <c r="H18" i="5"/>
  <c r="G18" i="5"/>
  <c r="F18" i="5"/>
  <c r="I18" i="5"/>
  <c r="H19" i="5"/>
  <c r="G19" i="5"/>
  <c r="F19" i="5"/>
  <c r="I19" i="5"/>
  <c r="H20" i="5"/>
  <c r="G20" i="5"/>
  <c r="F20" i="5"/>
  <c r="I20" i="5"/>
  <c r="H21" i="5"/>
  <c r="G21" i="5"/>
  <c r="F21" i="5"/>
  <c r="I21" i="5"/>
  <c r="H22" i="5"/>
  <c r="G22" i="5"/>
  <c r="F22" i="5"/>
  <c r="I22" i="5"/>
  <c r="H23" i="5"/>
  <c r="G23" i="5"/>
  <c r="F23" i="5"/>
  <c r="H24" i="5"/>
  <c r="G24" i="5"/>
  <c r="F24" i="5"/>
  <c r="I24" i="5"/>
  <c r="H25" i="5"/>
  <c r="G25" i="5"/>
  <c r="F25" i="5"/>
  <c r="I25" i="5"/>
  <c r="H26" i="5"/>
  <c r="G26" i="5"/>
  <c r="F26" i="5"/>
  <c r="I26" i="5"/>
  <c r="H27" i="5"/>
  <c r="G27" i="5"/>
  <c r="F27" i="5"/>
  <c r="I27" i="5"/>
  <c r="H28" i="5"/>
  <c r="G28" i="5"/>
  <c r="F28" i="5"/>
  <c r="I8" i="5" l="1"/>
  <c r="E29" i="5"/>
  <c r="F29" i="5"/>
  <c r="G29" i="5"/>
  <c r="H29" i="5"/>
  <c r="O32" i="4"/>
  <c r="P19" i="4"/>
  <c r="P32" i="4" s="1"/>
  <c r="G32" i="4"/>
  <c r="H19" i="4"/>
  <c r="H32" i="4" s="1"/>
  <c r="E16" i="4"/>
  <c r="H3" i="4"/>
  <c r="H16" i="4" s="1"/>
  <c r="G15" i="2"/>
  <c r="G34" i="2"/>
  <c r="G56" i="2"/>
  <c r="G74" i="2"/>
  <c r="G11" i="2"/>
  <c r="C12" i="2"/>
  <c r="G44" i="2"/>
  <c r="G51" i="2"/>
  <c r="E15" i="2"/>
  <c r="E9" i="2"/>
  <c r="E4" i="2" s="1"/>
  <c r="E56" i="2"/>
  <c r="E12" i="2"/>
  <c r="E74" i="2"/>
  <c r="E51" i="2"/>
  <c r="E44" i="2"/>
  <c r="E5" i="2" s="1"/>
  <c r="C5" i="2"/>
  <c r="C34" i="2"/>
  <c r="C3" i="2" s="1"/>
  <c r="E16" i="2"/>
  <c r="E34" i="2" l="1"/>
  <c r="E3" i="2"/>
  <c r="E2" i="2"/>
  <c r="F4" i="2"/>
  <c r="G5" i="2"/>
  <c r="C2" i="2"/>
  <c r="G12" i="2"/>
  <c r="I29" i="5"/>
  <c r="G3" i="2" l="1"/>
  <c r="G2" i="2"/>
  <c r="D86" i="2"/>
  <c r="D85" i="2"/>
  <c r="D84" i="2"/>
  <c r="D83" i="2"/>
  <c r="D82" i="2"/>
  <c r="D81" i="2"/>
  <c r="D80" i="2"/>
  <c r="D79" i="2"/>
  <c r="D78" i="2"/>
  <c r="D77" i="2"/>
  <c r="D76" i="2"/>
  <c r="D75" i="2"/>
  <c r="D87" i="2" s="1"/>
  <c r="D17" i="2"/>
  <c r="D35" i="2"/>
  <c r="D36" i="2"/>
  <c r="D37" i="2"/>
  <c r="D45" i="2"/>
  <c r="D38" i="2"/>
  <c r="D39" i="2"/>
  <c r="D40" i="2"/>
  <c r="D57" i="2"/>
  <c r="D10" i="2"/>
  <c r="D58" i="2"/>
  <c r="D46" i="2"/>
  <c r="D47" i="2"/>
  <c r="D59" i="2"/>
  <c r="D52" i="2"/>
  <c r="D18" i="2"/>
  <c r="D60" i="2"/>
  <c r="D41" i="2"/>
  <c r="D7" i="2"/>
  <c r="D61" i="2"/>
  <c r="D8" i="2"/>
  <c r="D62" i="2"/>
  <c r="D19" i="2"/>
  <c r="D63" i="2"/>
  <c r="D53" i="2"/>
  <c r="D20" i="2"/>
  <c r="D64" i="2"/>
  <c r="D21" i="2"/>
  <c r="D22" i="2"/>
  <c r="D65" i="2"/>
  <c r="D23" i="2"/>
  <c r="D24" i="2"/>
  <c r="D13" i="2"/>
  <c r="D42" i="2"/>
  <c r="D66" i="2"/>
  <c r="D67" i="2"/>
  <c r="D68" i="2"/>
  <c r="D25" i="2"/>
  <c r="D48" i="2"/>
  <c r="D49" i="2"/>
  <c r="D43" i="2"/>
  <c r="D69" i="2"/>
  <c r="D54" i="2"/>
  <c r="D26" i="2"/>
  <c r="D71" i="2"/>
  <c r="D27" i="2"/>
  <c r="D70" i="2"/>
  <c r="D28" i="2"/>
  <c r="D29" i="2"/>
  <c r="D55" i="2"/>
  <c r="D30" i="2"/>
  <c r="D72" i="2"/>
  <c r="D31" i="2"/>
  <c r="D32" i="2"/>
  <c r="D14" i="2"/>
  <c r="D33" i="2"/>
  <c r="D73" i="2"/>
  <c r="D50" i="2"/>
  <c r="D6" i="2"/>
  <c r="D11" i="2"/>
  <c r="D4" i="2"/>
  <c r="D16" i="2"/>
  <c r="D34" i="2" s="1"/>
  <c r="D3" i="2"/>
  <c r="D5" i="2"/>
  <c r="H5" i="2"/>
  <c r="F75" i="2"/>
  <c r="F76" i="2"/>
  <c r="F77" i="2"/>
  <c r="F78" i="2"/>
  <c r="F79" i="2"/>
  <c r="F80" i="2"/>
  <c r="F81" i="2"/>
  <c r="F6" i="2"/>
  <c r="F48" i="2"/>
  <c r="F25" i="2"/>
  <c r="F68" i="2"/>
  <c r="F67" i="2"/>
  <c r="F66" i="2"/>
  <c r="F42" i="2"/>
  <c r="F13" i="2"/>
  <c r="F15" i="2" s="1"/>
  <c r="F24" i="2"/>
  <c r="F23" i="2"/>
  <c r="F65" i="2"/>
  <c r="F22" i="2"/>
  <c r="F21" i="2"/>
  <c r="F64" i="2"/>
  <c r="F20" i="2"/>
  <c r="F53" i="2"/>
  <c r="F63" i="2"/>
  <c r="F19" i="2"/>
  <c r="F62" i="2"/>
  <c r="F8" i="2"/>
  <c r="F61" i="2"/>
  <c r="F7" i="2"/>
  <c r="F9" i="2" s="1"/>
  <c r="F41" i="2"/>
  <c r="F60" i="2"/>
  <c r="F18" i="2"/>
  <c r="F52" i="2"/>
  <c r="F56" i="2" s="1"/>
  <c r="F59" i="2"/>
  <c r="F47" i="2"/>
  <c r="F46" i="2"/>
  <c r="F58" i="2"/>
  <c r="F10" i="2"/>
  <c r="F12" i="2" s="1"/>
  <c r="F57" i="2"/>
  <c r="F74" i="2" s="1"/>
  <c r="F40" i="2"/>
  <c r="F39" i="2"/>
  <c r="F38" i="2"/>
  <c r="F45" i="2"/>
  <c r="F51" i="2" s="1"/>
  <c r="F37" i="2"/>
  <c r="F36" i="2"/>
  <c r="F35" i="2"/>
  <c r="F44" i="2" s="1"/>
  <c r="F17" i="2"/>
  <c r="F16" i="2"/>
  <c r="F34" i="2" s="1"/>
  <c r="F5" i="2"/>
  <c r="F3" i="2"/>
  <c r="F87" i="2" l="1"/>
  <c r="D15" i="2"/>
  <c r="D9" i="2"/>
  <c r="D56" i="2"/>
  <c r="D12" i="2"/>
  <c r="D74" i="2"/>
  <c r="D51" i="2"/>
  <c r="D44" i="2"/>
  <c r="H4" i="2"/>
  <c r="H82" i="2"/>
  <c r="H83" i="2"/>
  <c r="H84" i="2"/>
  <c r="H85" i="2"/>
  <c r="H86" i="2"/>
  <c r="H6" i="2"/>
  <c r="H50" i="2"/>
  <c r="H73" i="2"/>
  <c r="H33" i="2"/>
  <c r="H14" i="2"/>
  <c r="H15" i="2" s="1"/>
  <c r="H32" i="2"/>
  <c r="H31" i="2"/>
  <c r="H72" i="2"/>
  <c r="H30" i="2"/>
  <c r="H55" i="2"/>
  <c r="H29" i="2"/>
  <c r="H28" i="2"/>
  <c r="H70" i="2"/>
  <c r="H27" i="2"/>
  <c r="H71" i="2"/>
  <c r="H26" i="2"/>
  <c r="H34" i="2" s="1"/>
  <c r="H54" i="2"/>
  <c r="H56" i="2" s="1"/>
  <c r="H69" i="2"/>
  <c r="H74" i="2" s="1"/>
  <c r="H43" i="2"/>
  <c r="H44" i="2" s="1"/>
  <c r="H49" i="2"/>
  <c r="H51" i="2" s="1"/>
  <c r="H11" i="2"/>
  <c r="H12" i="2" s="1"/>
  <c r="H3" i="2"/>
  <c r="H87" i="2" l="1"/>
</calcChain>
</file>

<file path=xl/sharedStrings.xml><?xml version="1.0" encoding="utf-8"?>
<sst xmlns="http://schemas.openxmlformats.org/spreadsheetml/2006/main" count="10298" uniqueCount="856">
  <si>
    <t>Dani</t>
  </si>
  <si>
    <t>Norma</t>
  </si>
  <si>
    <t>..............................................</t>
  </si>
  <si>
    <t>……...…………..…..SUBTOTALES………………………..………..</t>
  </si>
  <si>
    <t>FECHA</t>
  </si>
  <si>
    <t>CUENTA</t>
  </si>
  <si>
    <t>CONCEPTO</t>
  </si>
  <si>
    <t>IMPORTE</t>
  </si>
  <si>
    <t>DESCRIPCIÓN</t>
  </si>
  <si>
    <t>BENEFICIARIO</t>
  </si>
  <si>
    <t>D-MYINVESTORPENSIÓN</t>
  </si>
  <si>
    <t>Inicial</t>
  </si>
  <si>
    <t>EXISTENCIA INICIAL</t>
  </si>
  <si>
    <t>D-TRADEREPUBLICFONDOS</t>
  </si>
  <si>
    <t>N-PENSIÓN</t>
  </si>
  <si>
    <t>N-TRADEFONDOS</t>
  </si>
  <si>
    <t>D-TARJETA</t>
  </si>
  <si>
    <t>N-TARJETA</t>
  </si>
  <si>
    <t>D-EFECTIVO</t>
  </si>
  <si>
    <t>N-EFECTIVO</t>
  </si>
  <si>
    <t>D-ING</t>
  </si>
  <si>
    <t>D-LETRAS</t>
  </si>
  <si>
    <t>D-NARANJA</t>
  </si>
  <si>
    <t>D-REVOLUT</t>
  </si>
  <si>
    <t>D-SABADELL</t>
  </si>
  <si>
    <t>D-SANTANDER</t>
  </si>
  <si>
    <t>D-TRADEREPUBLIC</t>
  </si>
  <si>
    <t>N-ING</t>
  </si>
  <si>
    <t>N-LETRAS</t>
  </si>
  <si>
    <t>N-NARANJA</t>
  </si>
  <si>
    <t>N-REVOLUT</t>
  </si>
  <si>
    <t>N-SABADELL</t>
  </si>
  <si>
    <t>N-SANTANDER</t>
  </si>
  <si>
    <t>N-TRADEREPUBLIC</t>
  </si>
  <si>
    <t>Intereses</t>
  </si>
  <si>
    <t>INTERESES</t>
  </si>
  <si>
    <t>Comida</t>
  </si>
  <si>
    <t>MERCADONA</t>
  </si>
  <si>
    <t>Común</t>
  </si>
  <si>
    <t>Alquiler</t>
  </si>
  <si>
    <t>ENERO</t>
  </si>
  <si>
    <t>Ocio</t>
  </si>
  <si>
    <t>ALMUERZO</t>
  </si>
  <si>
    <t>Comunidad</t>
  </si>
  <si>
    <t>Otros Gastos</t>
  </si>
  <si>
    <t>CHORRADICAS VARIAS</t>
  </si>
  <si>
    <t>Traspaso</t>
  </si>
  <si>
    <t>Comunes</t>
  </si>
  <si>
    <t>DICIEMBRE</t>
  </si>
  <si>
    <t>Int</t>
  </si>
  <si>
    <t>Regalos</t>
  </si>
  <si>
    <t>Regal Tío</t>
  </si>
  <si>
    <t>Deporte</t>
  </si>
  <si>
    <t>Bono Gym Forus</t>
  </si>
  <si>
    <t>Medicamentos</t>
  </si>
  <si>
    <t>Mapfre Salud</t>
  </si>
  <si>
    <t>Carpeta guarda Puzzle</t>
  </si>
  <si>
    <t>Gastos diciembre</t>
  </si>
  <si>
    <t>Variosvivienda</t>
  </si>
  <si>
    <t>SARTENES Y VARIOS</t>
  </si>
  <si>
    <t>Varioscoche</t>
  </si>
  <si>
    <t>Parking</t>
  </si>
  <si>
    <t>Lotería</t>
  </si>
  <si>
    <t>Décimo Niño</t>
  </si>
  <si>
    <t>Cdad 1er trim</t>
  </si>
  <si>
    <t>ONEPLUS WATCH</t>
  </si>
  <si>
    <t>GARAJE</t>
  </si>
  <si>
    <t>Lot Niño</t>
  </si>
  <si>
    <t>Parking Ayto</t>
  </si>
  <si>
    <t>Taronges</t>
  </si>
  <si>
    <t>Aigua</t>
  </si>
  <si>
    <t>Rev/Itv</t>
  </si>
  <si>
    <t>Rev Kadjar cambio filtros</t>
  </si>
  <si>
    <t>Combustible</t>
  </si>
  <si>
    <t>Gasóleo</t>
  </si>
  <si>
    <t>Taronges Gilet</t>
  </si>
  <si>
    <t>Vestir</t>
  </si>
  <si>
    <t>Chaq Columbia Amazon</t>
  </si>
  <si>
    <t>Alta Gym Aspresso</t>
  </si>
  <si>
    <t>PÁDEL</t>
  </si>
  <si>
    <t>Ocaso seguro</t>
  </si>
  <si>
    <t>Móvil</t>
  </si>
  <si>
    <t>Lowi</t>
  </si>
  <si>
    <t>Funda coixí mercat</t>
  </si>
  <si>
    <t>Esmorzar</t>
  </si>
  <si>
    <t>GASOLINA</t>
  </si>
  <si>
    <t>D-Freedom24</t>
  </si>
  <si>
    <t>Consulta Psico Empar</t>
  </si>
  <si>
    <t>D-INTERACTIVEBROKERS</t>
  </si>
  <si>
    <t>Luz</t>
  </si>
  <si>
    <t>BONO PÁDEL</t>
  </si>
  <si>
    <t>Entrades Palau</t>
  </si>
  <si>
    <t>Otros Ingresos</t>
  </si>
  <si>
    <t>Botines Wallapop</t>
  </si>
  <si>
    <t>Hotel Ibis Málaga</t>
  </si>
  <si>
    <t>Tren Málaga</t>
  </si>
  <si>
    <t>CARREFOUR</t>
  </si>
  <si>
    <t>Bar</t>
  </si>
  <si>
    <t>Caminito del Rey</t>
  </si>
  <si>
    <t>Gafas sol Optica Palau</t>
  </si>
  <si>
    <t>Pago tío ulleres sol</t>
  </si>
  <si>
    <t>Atida Hylo Gel 2 unid</t>
  </si>
  <si>
    <t>Neteja Yine</t>
  </si>
  <si>
    <t>Polen Herb Marina</t>
  </si>
  <si>
    <t>Puzzle Vinted</t>
  </si>
  <si>
    <t>Peluquería</t>
  </si>
  <si>
    <t>Depil Irena</t>
  </si>
  <si>
    <t>Gasoil</t>
  </si>
  <si>
    <t>MESA Y VARIOS</t>
  </si>
  <si>
    <t>D-COINBASE</t>
  </si>
  <si>
    <t>Nómina</t>
  </si>
  <si>
    <t>Corretja Viceroy</t>
  </si>
  <si>
    <t>Toalles mercat</t>
  </si>
  <si>
    <t>TRASPASO</t>
  </si>
  <si>
    <t>Hilaturas Torrijo Lanas Mama</t>
  </si>
  <si>
    <t>Chaleco Z&amp;H</t>
  </si>
  <si>
    <t>D-TradeRepublic</t>
  </si>
  <si>
    <t>DIVIDENDO  S&amp;P SMALLCAP</t>
  </si>
  <si>
    <t>FEBRERO</t>
  </si>
  <si>
    <t>Higiene</t>
  </si>
  <si>
    <t>Pallardó</t>
  </si>
  <si>
    <t>Bollo preñao</t>
  </si>
  <si>
    <t>Chocolates Mercaet</t>
  </si>
  <si>
    <t>Mapfre salud</t>
  </si>
  <si>
    <t>CASA</t>
  </si>
  <si>
    <t>D-BIT2ME</t>
  </si>
  <si>
    <t>Arrend trastero</t>
  </si>
  <si>
    <t>Pila rellotge Casio</t>
  </si>
  <si>
    <t>Vinted puzzle Wasgij</t>
  </si>
  <si>
    <t>Gastos enero</t>
  </si>
  <si>
    <t>Gym Aspresso</t>
  </si>
  <si>
    <t>COMISIONES</t>
  </si>
  <si>
    <t>D-MYINVESTOR</t>
  </si>
  <si>
    <t>Lidl</t>
  </si>
  <si>
    <t>COMISIONES LETRAS</t>
  </si>
  <si>
    <t>TOSTADORA</t>
  </si>
  <si>
    <t>TEVETENS, AFLOYAN Y BESITRANS</t>
  </si>
  <si>
    <t>EL RECHUPETE</t>
  </si>
  <si>
    <t>MANGUERA Y CARTERA</t>
  </si>
  <si>
    <t>TAXI SAB A AVE</t>
  </si>
  <si>
    <t>COMIDA MÁLAGA</t>
  </si>
  <si>
    <t>CENA MÁLAGA</t>
  </si>
  <si>
    <t>Desdejuni</t>
  </si>
  <si>
    <t>Carrefour</t>
  </si>
  <si>
    <t>Bus Ronda Málaga</t>
  </si>
  <si>
    <t>Dinar Ronda</t>
  </si>
  <si>
    <t>Souvenirs Ronda</t>
  </si>
  <si>
    <t>Pastissets Ronda</t>
  </si>
  <si>
    <t>Esmorzar Ronda</t>
  </si>
  <si>
    <t>Seguros</t>
  </si>
  <si>
    <t>Seguro Kadjar</t>
  </si>
  <si>
    <t>D-MYINVESTORFONDO</t>
  </si>
  <si>
    <t>MÁLAGA A RONDA</t>
  </si>
  <si>
    <t>Gelats Málaga</t>
  </si>
  <si>
    <t>Sopar Pimpi</t>
  </si>
  <si>
    <t>Bus Lanzadera Caminito</t>
  </si>
  <si>
    <t>Imán Caminito</t>
  </si>
  <si>
    <t>Tren Caminito</t>
  </si>
  <si>
    <t>BONIFICACIÓN</t>
  </si>
  <si>
    <t>DESAYUNO MÁLAGA</t>
  </si>
  <si>
    <t>IMÁN</t>
  </si>
  <si>
    <t>Desdejuni Granier</t>
  </si>
  <si>
    <t>Caramelos</t>
  </si>
  <si>
    <t>Bus Nerja</t>
  </si>
  <si>
    <t>Entrades Coves Nerja</t>
  </si>
  <si>
    <t>Dinar Indio Nerja</t>
  </si>
  <si>
    <t>Gas</t>
  </si>
  <si>
    <t>CENA SANTANDER</t>
  </si>
  <si>
    <t>Fruta</t>
  </si>
  <si>
    <t>Desdejuni Málaga</t>
  </si>
  <si>
    <t>D-DEGIRO</t>
  </si>
  <si>
    <t>TAXI AVE A SAB</t>
  </si>
  <si>
    <t>MINIPC N-ONE AIR</t>
  </si>
  <si>
    <t>Esmorzar Hungría</t>
  </si>
  <si>
    <t>D-CRIPTAN</t>
  </si>
  <si>
    <t>PHARMATUSGRIP</t>
  </si>
  <si>
    <t>Vacaciones</t>
  </si>
  <si>
    <t>Seguro Crucero Adriático</t>
  </si>
  <si>
    <t>Reserva Crucero Adriático</t>
  </si>
  <si>
    <t>Billetes Venecia</t>
  </si>
  <si>
    <t>SANDERO BOMBILLA DCHA</t>
  </si>
  <si>
    <t>D-CIVISLEND</t>
  </si>
  <si>
    <t>D-HOUSERS</t>
  </si>
  <si>
    <t>DIVIDENCO ASML</t>
  </si>
  <si>
    <t>Serum Eleven Obi Adonia</t>
  </si>
  <si>
    <t>Pallardó Bono 4</t>
  </si>
  <si>
    <t>Tío Viatge Málaga</t>
  </si>
  <si>
    <t>GASOIL</t>
  </si>
  <si>
    <t>Pago Hilaturas Torrijos mama</t>
  </si>
  <si>
    <t>GELA</t>
  </si>
  <si>
    <t>MEMORIA 16GB DDR4</t>
  </si>
  <si>
    <t>PERDIDA REINVEST24</t>
  </si>
  <si>
    <t>Vestido Erika</t>
  </si>
  <si>
    <t>Jersei Marisa</t>
  </si>
  <si>
    <t>Bioferta</t>
  </si>
  <si>
    <t>Dinar Recaptació</t>
  </si>
  <si>
    <t>MARZO</t>
  </si>
  <si>
    <t>ESCOBA ELÉCTRICA</t>
  </si>
  <si>
    <t>VARIOS VIVIENDA</t>
  </si>
  <si>
    <t>Arrend Trastero</t>
  </si>
  <si>
    <t>Excursiones para cruceros Adriatico</t>
  </si>
  <si>
    <t>N-TradeRepublicFondo</t>
  </si>
  <si>
    <t>Shore2shore Dubrovnik</t>
  </si>
  <si>
    <t>LIDL</t>
  </si>
  <si>
    <t>DERRAMA GARAJE</t>
  </si>
  <si>
    <t>Gimnasio</t>
  </si>
  <si>
    <t>Derrama Garaje Manises</t>
  </si>
  <si>
    <t>Gastos febrero</t>
  </si>
  <si>
    <t>Comisión Letras</t>
  </si>
  <si>
    <t>DIVIDENDOS ETF</t>
  </si>
  <si>
    <t>Entrades El Fantasma de la Ópera</t>
  </si>
  <si>
    <t>DUCHA MANISES MAMPARA/PLATO/GRIFO</t>
  </si>
  <si>
    <t>TEVETENS, AFLOYAN Y BESITRAN</t>
  </si>
  <si>
    <t>Vinted Chaqueta Pana</t>
  </si>
  <si>
    <t>Pendientes Singularu</t>
  </si>
  <si>
    <t>Pila rellotge Viceroy</t>
  </si>
  <si>
    <t>CENA LOS TONELES</t>
  </si>
  <si>
    <t>Trufes mongetes Godella</t>
  </si>
  <si>
    <t>LÁMPARA</t>
  </si>
  <si>
    <t>DIVIDENDOS</t>
  </si>
  <si>
    <t>Entrades Magos Alm</t>
  </si>
  <si>
    <t>COMIDA FALLAS</t>
  </si>
  <si>
    <t>Cuadritos Fallas</t>
  </si>
  <si>
    <t>Esmorzar Falles</t>
  </si>
  <si>
    <t>DIVIDENDO ALPHABET</t>
  </si>
  <si>
    <t>PADEL</t>
  </si>
  <si>
    <t>Kinky Boots Olympia</t>
  </si>
  <si>
    <t>DIVIDENDO ETF</t>
  </si>
  <si>
    <t>GUITARRA ELÉCTRICA</t>
  </si>
  <si>
    <t>CAMISETAS</t>
  </si>
  <si>
    <t>FRUTERÍA</t>
  </si>
  <si>
    <t>GUITARRA ACÚSTICA</t>
  </si>
  <si>
    <t>Diners tío</t>
  </si>
  <si>
    <t>Excursión Zadar</t>
  </si>
  <si>
    <t>COMPRA BITCOINS</t>
  </si>
  <si>
    <t>COMPRA BITCOIN</t>
  </si>
  <si>
    <t>CHORRADICAS GUITARRA</t>
  </si>
  <si>
    <t>Pila mando garaje</t>
  </si>
  <si>
    <t>ZAPATILLAS</t>
  </si>
  <si>
    <t>D-N26</t>
  </si>
  <si>
    <t>Venta libro Vinted</t>
  </si>
  <si>
    <t>Psico Empar</t>
  </si>
  <si>
    <t>DERRAMA PISO</t>
  </si>
  <si>
    <t>MEMORIA 32GB DDR4</t>
  </si>
  <si>
    <t>BATIDORA</t>
  </si>
  <si>
    <t>PSICÓLOGA</t>
  </si>
  <si>
    <t>COMPRA ACCIONES TESLA</t>
  </si>
  <si>
    <t>D-N26FONDO</t>
  </si>
  <si>
    <t>Primark</t>
  </si>
  <si>
    <t>Ysabel Mora Bonaire</t>
  </si>
  <si>
    <t>Jysk</t>
  </si>
  <si>
    <t>Dinar El Pastoret</t>
  </si>
  <si>
    <t>Garaje</t>
  </si>
  <si>
    <t>BEBIDA</t>
  </si>
  <si>
    <t>CURSO GUITARRA</t>
  </si>
  <si>
    <t>COMPRA ETF BITCOIN</t>
  </si>
  <si>
    <t>N-N26</t>
  </si>
  <si>
    <t>ABRIL</t>
  </si>
  <si>
    <t>Descuadre</t>
  </si>
  <si>
    <t>Centro Planchado Rowenta Amazon</t>
  </si>
  <si>
    <t>D-BBVA</t>
  </si>
  <si>
    <t>Regal Tio</t>
  </si>
  <si>
    <t>PISO</t>
  </si>
  <si>
    <t>Suje esportiu Mercat Ysabel Mora</t>
  </si>
  <si>
    <t>Gastos marzo</t>
  </si>
  <si>
    <t>Citrato magnesio Navarro</t>
  </si>
  <si>
    <t>DIVIDENDO NVIDIA</t>
  </si>
  <si>
    <t>Gym  Aspresso</t>
  </si>
  <si>
    <t>Pallardó Flores</t>
  </si>
  <si>
    <t>Crucero Adriático 2_2</t>
  </si>
  <si>
    <t>Regalo N26</t>
  </si>
  <si>
    <t>Reserva Natura Finestrat Inma</t>
  </si>
  <si>
    <t>BONIFICACIÓN AMIGO</t>
  </si>
  <si>
    <t>Sopar Alm</t>
  </si>
  <si>
    <t>BURGUER CARLS</t>
  </si>
  <si>
    <t>DUCHA MANISES AZULEJOS</t>
  </si>
  <si>
    <t>MULTA 2/3/2025</t>
  </si>
  <si>
    <t>Agua</t>
  </si>
  <si>
    <t>Cuponazo</t>
  </si>
  <si>
    <t>Regal tío</t>
  </si>
  <si>
    <t>Cdad Garaje Manises</t>
  </si>
  <si>
    <t>Llibre Vinted Tio Rey</t>
  </si>
  <si>
    <t>FUNDA SOFA Y SILLAS</t>
  </si>
  <si>
    <t>Casa Mundo</t>
  </si>
  <si>
    <t>ZAPATILLAS PÁDEL</t>
  </si>
  <si>
    <t>DIVIDENDO TSMC</t>
  </si>
  <si>
    <t>Comisión fin letras</t>
  </si>
  <si>
    <t>Pulsera</t>
  </si>
  <si>
    <t>Decathlon</t>
  </si>
  <si>
    <t>Dinar Calp</t>
  </si>
  <si>
    <t>Visita bodega</t>
  </si>
  <si>
    <t>Reserva Inma Natura Suites</t>
  </si>
  <si>
    <t>Reserva Natura Suites</t>
  </si>
  <si>
    <t>CAMBIO DIVISAS</t>
  </si>
  <si>
    <t>CARGAR LOTOBOLSA</t>
  </si>
  <si>
    <t>Mercadona</t>
  </si>
  <si>
    <t>SÁBANA BAJERA Y BATIDORA</t>
  </si>
  <si>
    <t>MANTEL TRANSPARENTE</t>
  </si>
  <si>
    <t>Torrijas</t>
  </si>
  <si>
    <t>Dinar xino</t>
  </si>
  <si>
    <t>MANTEL Y MACETA</t>
  </si>
  <si>
    <t>MACETAS</t>
  </si>
  <si>
    <t>Diners tio</t>
  </si>
  <si>
    <t>ESTANTERÍA</t>
  </si>
  <si>
    <t>Tabla planchar Bauhaus</t>
  </si>
  <si>
    <t>Funda tabla Tío</t>
  </si>
  <si>
    <t>Reserva Retiro Gilet</t>
  </si>
  <si>
    <t>Reserva Retiro Gilet Eva</t>
  </si>
  <si>
    <t>COPAS BENIDORM</t>
  </si>
  <si>
    <t>CENA BENIDORM</t>
  </si>
  <si>
    <t>Benidorm</t>
  </si>
  <si>
    <t>Misako Mochila blanca</t>
  </si>
  <si>
    <t>PISO DERRAMA</t>
  </si>
  <si>
    <t>DIVIDENDO LVMH</t>
  </si>
  <si>
    <t>FIGURAS JARDIN</t>
  </si>
  <si>
    <t>Funda tabla planchar tío</t>
  </si>
  <si>
    <t>D-KRAKEN</t>
  </si>
  <si>
    <t>D-INDEXACAPITALFONDO</t>
  </si>
  <si>
    <t>MAYO</t>
  </si>
  <si>
    <t>Impuestos</t>
  </si>
  <si>
    <t>Gastos financieros</t>
  </si>
  <si>
    <t>Neteja cotxe</t>
  </si>
  <si>
    <t>DUCHA MANISES MONTAJE MAMPARA</t>
  </si>
  <si>
    <t>APARCAR</t>
  </si>
  <si>
    <t>SILICONA</t>
  </si>
  <si>
    <t>Sopar Valencia</t>
  </si>
  <si>
    <t>DUCHA MANISES MANO OBRA</t>
  </si>
  <si>
    <t>BONIFICACIÓN DOMICILIACIÓN NÓMINA</t>
  </si>
  <si>
    <t>D-IndexaCapitalPensión</t>
  </si>
  <si>
    <t>Calcetins mercat</t>
  </si>
  <si>
    <t>DIVIDENDO ASML</t>
  </si>
  <si>
    <t>ZAPATILLAS SPINING</t>
  </si>
  <si>
    <t>D-MINTOS</t>
  </si>
  <si>
    <t>D-HAUSERA</t>
  </si>
  <si>
    <t>Camisa Natura</t>
  </si>
  <si>
    <t>Seguro hogar SAB</t>
  </si>
  <si>
    <t>Comisiones letras</t>
  </si>
  <si>
    <t>AFLOYAN Y BESITRAN</t>
  </si>
  <si>
    <t>Wallapop Tatami</t>
  </si>
  <si>
    <t>CHORRADITAS VARIAS</t>
  </si>
  <si>
    <t>TEVETENS</t>
  </si>
  <si>
    <t>Druni</t>
  </si>
  <si>
    <t>Euromillones Nieves</t>
  </si>
  <si>
    <t>D-URBANITAE</t>
  </si>
  <si>
    <t>Singularu pulsera i anell</t>
  </si>
  <si>
    <t>COMIDA TRABAJO ONLY YOU</t>
  </si>
  <si>
    <t>Toldo terraza 1_2</t>
  </si>
  <si>
    <t>Retiro Gilet 2_2</t>
  </si>
  <si>
    <t>Braga Ysabel Mora mercat</t>
  </si>
  <si>
    <t>Camisa rosa mercat</t>
  </si>
  <si>
    <t>Eleven Bistro dinar</t>
  </si>
  <si>
    <t>Pastillas freno delanteras Kadjar</t>
  </si>
  <si>
    <t>Camiseta Decathlon</t>
  </si>
  <si>
    <t>Roba Decathlon</t>
  </si>
  <si>
    <t>Bolsa Paddle Dani</t>
  </si>
  <si>
    <t>EMPASTE MUELA</t>
  </si>
  <si>
    <t>Dentista</t>
  </si>
  <si>
    <t>Atida farma</t>
  </si>
  <si>
    <t>Rifa Inma personal</t>
  </si>
  <si>
    <t>Pago Nieves Atida farma</t>
  </si>
  <si>
    <t>Pago M Carmen Atida farma</t>
  </si>
  <si>
    <t>Womens Secret</t>
  </si>
  <si>
    <t>Pelu Saray SAB</t>
  </si>
  <si>
    <t>Devol bolsa padel Dani</t>
  </si>
  <si>
    <t>Falda mercat</t>
  </si>
  <si>
    <t>Suéter verd mercat</t>
  </si>
  <si>
    <t>Mochila mercat</t>
  </si>
  <si>
    <t>Forn</t>
  </si>
  <si>
    <t>MAMÁ</t>
  </si>
  <si>
    <t>Neteja Georgina</t>
  </si>
  <si>
    <t>BOLSA PADEL</t>
  </si>
  <si>
    <t>INTERESES ETF</t>
  </si>
  <si>
    <t>Pantalones Springfield</t>
  </si>
  <si>
    <t>Camisetas Springfield</t>
  </si>
  <si>
    <t>N-MYINVESTORFONDO</t>
  </si>
  <si>
    <t>Visa</t>
  </si>
  <si>
    <t>N-MYINVESTOR</t>
  </si>
  <si>
    <t>Bonificación amigo</t>
  </si>
  <si>
    <t>Pantalones Decathlon</t>
  </si>
  <si>
    <t>VENTA SILLÓN IKEA</t>
  </si>
  <si>
    <t>JUNIO</t>
  </si>
  <si>
    <t>Retención</t>
  </si>
  <si>
    <t>Bitcoin</t>
  </si>
  <si>
    <t>N-CRIPTAN</t>
  </si>
  <si>
    <t>Biodramina</t>
  </si>
  <si>
    <t>Gastos mayo</t>
  </si>
  <si>
    <t>Antimosquitos stick</t>
  </si>
  <si>
    <t>FLORES</t>
  </si>
  <si>
    <t>Devol Springfield</t>
  </si>
  <si>
    <t>Protector solar stick Navarro</t>
  </si>
  <si>
    <t>TEVETENS Y AFLOYAN</t>
  </si>
  <si>
    <t>CHORRADICAS</t>
  </si>
  <si>
    <t>BONO PADEL</t>
  </si>
  <si>
    <t>Multa DGT</t>
  </si>
  <si>
    <t>N-INDEXACAPITALPENSIÓN</t>
  </si>
  <si>
    <t>Hotel Delle Rose Venecia</t>
  </si>
  <si>
    <t>CASHBACK</t>
  </si>
  <si>
    <t>TAXI AEROPUERTO</t>
  </si>
  <si>
    <t>Free Tour Venecia</t>
  </si>
  <si>
    <t>Pañuelo Basílica</t>
  </si>
  <si>
    <t>Góndola Venecia</t>
  </si>
  <si>
    <t>Devol Bikinis Women Secret</t>
  </si>
  <si>
    <t>IBI URBANA TRASTERO</t>
  </si>
  <si>
    <t>IBI URBANA GARAJE</t>
  </si>
  <si>
    <t>IBI URBANA PISO</t>
  </si>
  <si>
    <t>Corfú</t>
  </si>
  <si>
    <t>INTERESES MICROSOFT</t>
  </si>
  <si>
    <t>Horno Kotor</t>
  </si>
  <si>
    <t>WC</t>
  </si>
  <si>
    <t>Mireia Dama</t>
  </si>
  <si>
    <t>Gelat Zadar</t>
  </si>
  <si>
    <t>VACACIONES</t>
  </si>
  <si>
    <t>Gastos varios Crucero Adriático</t>
  </si>
  <si>
    <t>ZAPATOS Y CAMISA</t>
  </si>
  <si>
    <t>INTERESES ALPHABET</t>
  </si>
  <si>
    <t>Wallapop Ukelele</t>
  </si>
  <si>
    <t>Dinar Alm</t>
  </si>
  <si>
    <t>Devol Decathlon sombrero gris</t>
  </si>
  <si>
    <t>TEVETENS Y BESITRANS</t>
  </si>
  <si>
    <t>N-INDEXACAPITALFONDO</t>
  </si>
  <si>
    <t>Bonometro</t>
  </si>
  <si>
    <t>Consulta Amparo</t>
  </si>
  <si>
    <t>Pantaló Natura</t>
  </si>
  <si>
    <t>Wallapop Puzzle</t>
  </si>
  <si>
    <t>CHARTER</t>
  </si>
  <si>
    <t>IRPF</t>
  </si>
  <si>
    <t>ZAPATILLAS Y VARIOS</t>
  </si>
  <si>
    <t>JULIO</t>
  </si>
  <si>
    <t>EUROJACKPOT</t>
  </si>
  <si>
    <t>Bobina Hilo</t>
  </si>
  <si>
    <t>Gastos junio</t>
  </si>
  <si>
    <t>INTERESES NVIDIA</t>
  </si>
  <si>
    <t>Puzzle Wallapop</t>
  </si>
  <si>
    <t>Libro Gomaespuma</t>
  </si>
  <si>
    <t>Cdad 3er trim</t>
  </si>
  <si>
    <t>IBI URBANA CASA</t>
  </si>
  <si>
    <t>SEGURO PISO</t>
  </si>
  <si>
    <t>D-Tarjeta</t>
  </si>
  <si>
    <t>D-Civislend</t>
  </si>
  <si>
    <t>TELÉFONO</t>
  </si>
  <si>
    <t>Pago parcial fra Lowi Dani</t>
  </si>
  <si>
    <t>COMIDA TRABAJO</t>
  </si>
  <si>
    <t>Neteja Katherine</t>
  </si>
  <si>
    <t>BESITRANS Y AFLOYAN</t>
  </si>
  <si>
    <t>Vitaminas y ansiedad</t>
  </si>
  <si>
    <t>N-Tarjeta</t>
  </si>
  <si>
    <t>N-Santander</t>
  </si>
  <si>
    <t>Móvil Dani</t>
  </si>
  <si>
    <t>N-Sabadell</t>
  </si>
  <si>
    <t>D-Sabadell</t>
  </si>
  <si>
    <t>N-Naranja</t>
  </si>
  <si>
    <t>Natura Outlet</t>
  </si>
  <si>
    <t>N-Efectivo</t>
  </si>
  <si>
    <t>Psicóloga</t>
  </si>
  <si>
    <t>D-Myinvestor</t>
  </si>
  <si>
    <t>Pádel</t>
  </si>
  <si>
    <t>Casa</t>
  </si>
  <si>
    <t>D-IndexaCapitalFondo</t>
  </si>
  <si>
    <t>Urbanitae</t>
  </si>
  <si>
    <t>N-Urbanitae</t>
  </si>
  <si>
    <t>Eurojackpot</t>
  </si>
  <si>
    <t>Otrosgastos</t>
  </si>
  <si>
    <t>Dcho Examen A2</t>
  </si>
  <si>
    <t>Otrosingresos</t>
  </si>
  <si>
    <t>Vta Puzzle Wallapop Japón</t>
  </si>
  <si>
    <t>Neteja Rosa</t>
  </si>
  <si>
    <t>Calcetins Mercat Dani</t>
  </si>
  <si>
    <t>Almuerzo</t>
  </si>
  <si>
    <t>Toldo Aludeco 2_2</t>
  </si>
  <si>
    <t>Bono 3 sesiones acupuntura</t>
  </si>
  <si>
    <t>Partituras Milanuncios</t>
  </si>
  <si>
    <t>D-Bbva</t>
  </si>
  <si>
    <t>D-MyinvestorFondo</t>
  </si>
  <si>
    <t>Flors Carmen Plusva</t>
  </si>
  <si>
    <t>Nutricionista Sylvia L Eliana</t>
  </si>
  <si>
    <t>N-Myinvestor</t>
  </si>
  <si>
    <t>Fruita mercat</t>
  </si>
  <si>
    <t>Sopar Indio Casa</t>
  </si>
  <si>
    <t>D-Deblock</t>
  </si>
  <si>
    <t>Bonificación</t>
  </si>
  <si>
    <t>D-Bit2me</t>
  </si>
  <si>
    <t>D-Santander</t>
  </si>
  <si>
    <t>Cargar Lotobolsa</t>
  </si>
  <si>
    <t>Massatge relajante Apunto SAB</t>
  </si>
  <si>
    <t>Devolución Temu</t>
  </si>
  <si>
    <t>D-TradeRepublicFondos</t>
  </si>
  <si>
    <t>United Health Group</t>
  </si>
  <si>
    <t>Lvmh</t>
  </si>
  <si>
    <t>Asml</t>
  </si>
  <si>
    <t>Berkshire</t>
  </si>
  <si>
    <t>Tesla</t>
  </si>
  <si>
    <t>Alphabet</t>
  </si>
  <si>
    <t>Amazon</t>
  </si>
  <si>
    <t>Tsmc</t>
  </si>
  <si>
    <t>Microsoft</t>
  </si>
  <si>
    <t>Nvidia</t>
  </si>
  <si>
    <t>N-Civislend</t>
  </si>
  <si>
    <t>Inv Palacio Las Salinas</t>
  </si>
  <si>
    <t>Piso</t>
  </si>
  <si>
    <t>D-N26Fondo</t>
  </si>
  <si>
    <t>Intereses Etf</t>
  </si>
  <si>
    <t>Agosto</t>
  </si>
  <si>
    <t>D-Naranja</t>
  </si>
  <si>
    <t>Diccionario Vinted</t>
  </si>
  <si>
    <t>N-TradeRepublic</t>
  </si>
  <si>
    <t>Finde Benitatxell</t>
  </si>
  <si>
    <t>Gelats Moraria</t>
  </si>
  <si>
    <t>Atida Mifarma</t>
  </si>
  <si>
    <t>D-Kraken</t>
  </si>
  <si>
    <t>Tevetens y Afloyan</t>
  </si>
  <si>
    <t>Revisión/Itv</t>
  </si>
  <si>
    <t>Itv Sandero</t>
  </si>
  <si>
    <t>AntiStress Pure Farma SAB 24h</t>
  </si>
  <si>
    <t>Dividendo Asml</t>
  </si>
  <si>
    <t>Cashback</t>
  </si>
  <si>
    <t>Gotas Flores Bach Pallardó</t>
  </si>
  <si>
    <t>Sartén tortilla</t>
  </si>
  <si>
    <t>Julio</t>
  </si>
  <si>
    <t>Gastos Julio</t>
  </si>
  <si>
    <t>Wallapop Rellotge despertador</t>
  </si>
  <si>
    <t>N-Letras</t>
  </si>
  <si>
    <t>Gastos letras del tesoro</t>
  </si>
  <si>
    <t>N-Criptan</t>
  </si>
  <si>
    <t>regal tío</t>
  </si>
  <si>
    <t>Muñequera y varios</t>
  </si>
  <si>
    <t>D-Urbanitae</t>
  </si>
  <si>
    <t>Plan Amigo</t>
  </si>
  <si>
    <t>Int amigo</t>
  </si>
  <si>
    <t>Neteja Sonia</t>
  </si>
  <si>
    <t>1ª visita Emanuel Osteópata</t>
  </si>
  <si>
    <t>Venta varios Wallapop</t>
  </si>
  <si>
    <t>Venta Vinted</t>
  </si>
  <si>
    <t>Tomates Cherry</t>
  </si>
  <si>
    <t>Gasolina</t>
  </si>
  <si>
    <t>D-MyinvestorPensión</t>
  </si>
  <si>
    <t>Tevetens y Besitrans</t>
  </si>
  <si>
    <t>Horchata</t>
  </si>
  <si>
    <t>Reserva Hotel Rosa Denia</t>
  </si>
  <si>
    <t>Esmorzar Aspresso</t>
  </si>
  <si>
    <t>Plantas</t>
  </si>
  <si>
    <t>Berenar</t>
  </si>
  <si>
    <t>Maceta huerto</t>
  </si>
  <si>
    <t>D-Bitvavo</t>
  </si>
  <si>
    <t>Bonificación apertura</t>
  </si>
  <si>
    <t>devol Lidl</t>
  </si>
  <si>
    <t>devol Jysk</t>
  </si>
  <si>
    <t>Jysk sábanas</t>
  </si>
  <si>
    <t>Berenar Soa</t>
  </si>
  <si>
    <t>Maceta Lidl</t>
  </si>
  <si>
    <t>Visita Emanuel Osteópata</t>
  </si>
  <si>
    <t>Depil Cristina Valero</t>
  </si>
  <si>
    <t>Antistress Planeta Huerto</t>
  </si>
  <si>
    <t>Venta acciones Tesla</t>
  </si>
  <si>
    <t>D-Criptan</t>
  </si>
  <si>
    <t>D-Ing</t>
  </si>
  <si>
    <t>Traspaso de Visa Carrefour</t>
  </si>
  <si>
    <t>Denia</t>
  </si>
  <si>
    <t>Pikolinos cremas</t>
  </si>
  <si>
    <t>Lidl tío</t>
  </si>
  <si>
    <t>Gastos int</t>
  </si>
  <si>
    <t>Septiembre</t>
  </si>
  <si>
    <t>Gasoleo</t>
  </si>
  <si>
    <t>Pure Amazon</t>
  </si>
  <si>
    <t>Pilas mando garaje</t>
  </si>
  <si>
    <t>Gastos agosto</t>
  </si>
  <si>
    <t>Div Bitcoin</t>
  </si>
  <si>
    <t>D-Openbank</t>
  </si>
  <si>
    <t>Dividendo Bitcoin</t>
  </si>
  <si>
    <t>Páde</t>
  </si>
  <si>
    <t>Macetas y tierra</t>
  </si>
  <si>
    <t>Intereses dividendo</t>
  </si>
  <si>
    <t>Int Amigo Civislend</t>
  </si>
  <si>
    <t>Libro Vinted</t>
  </si>
  <si>
    <t>Loteria Nadal Marisa</t>
  </si>
  <si>
    <t>D-Efectivo</t>
  </si>
  <si>
    <t>Cargar lotobolsa</t>
  </si>
  <si>
    <t>Revisión Sandero</t>
  </si>
  <si>
    <t>Chaqueta vaquera</t>
  </si>
  <si>
    <t>2 ruedas delanteras</t>
  </si>
  <si>
    <t>Emanuel</t>
  </si>
  <si>
    <t>Nutricionista</t>
  </si>
  <si>
    <t>Crema Druni</t>
  </si>
  <si>
    <t>Regalo María</t>
  </si>
  <si>
    <t>Tevetens, Afloyan y Besitran</t>
  </si>
  <si>
    <t>Pérdida inversión</t>
  </si>
  <si>
    <t>D-TradeRepublicPrivate</t>
  </si>
  <si>
    <t>Bonificación 1%</t>
  </si>
  <si>
    <t>Atrasos nómina</t>
  </si>
  <si>
    <t>Vortioxetina Antidepresivos</t>
  </si>
  <si>
    <t>Camisetas Lidl</t>
  </si>
  <si>
    <t>Maceta</t>
  </si>
  <si>
    <t>Entrades FSO</t>
  </si>
  <si>
    <t>Granado y romero</t>
  </si>
  <si>
    <t>Fregona y recambios</t>
  </si>
  <si>
    <t>Camiseta Lidl</t>
  </si>
  <si>
    <t>Devol camisetas Lidl</t>
  </si>
  <si>
    <t>Pallardó limp y vitaminas</t>
  </si>
  <si>
    <t>Tintoreria Cañada relleno nórdico</t>
  </si>
  <si>
    <t>Regal Boda Altea Jefa</t>
  </si>
  <si>
    <t>Devol camiseta Lidl</t>
  </si>
  <si>
    <t>Regal Altea</t>
  </si>
  <si>
    <t>Vinted Libro cómo dejar de ser tu peor enemigo</t>
  </si>
  <si>
    <t>Sonia Neteja</t>
  </si>
  <si>
    <t>D-Coinbase</t>
  </si>
  <si>
    <t>visa</t>
  </si>
  <si>
    <t>Medicamentos Amazon</t>
  </si>
  <si>
    <t>Mapfre seguro</t>
  </si>
  <si>
    <t>Arred trastero</t>
  </si>
  <si>
    <t>Pila xino</t>
  </si>
  <si>
    <t>Octubre</t>
  </si>
  <si>
    <t>N-MyinvestorFondo</t>
  </si>
  <si>
    <t>Sandero</t>
  </si>
  <si>
    <t>Gastos septiembre</t>
  </si>
  <si>
    <t>Ropa interior Lidl</t>
  </si>
  <si>
    <t>Berenar Eva</t>
  </si>
  <si>
    <t>Impto Vehículo Sandero</t>
  </si>
  <si>
    <t>Cdad garaje Manises</t>
  </si>
  <si>
    <t>Garatge Ayto</t>
  </si>
  <si>
    <t>IVTM 2025</t>
  </si>
  <si>
    <t>Psico Amparo</t>
  </si>
  <si>
    <t>Int Letras 12 meses 50000</t>
  </si>
  <si>
    <t>Devol IRPF 2024 placas Dani</t>
  </si>
  <si>
    <t>N-IndexaCapitalPensión</t>
  </si>
  <si>
    <t>Depil Sophia SAB</t>
  </si>
  <si>
    <t>Devolución IRPF</t>
  </si>
  <si>
    <t>D-Binance</t>
  </si>
  <si>
    <t>D-Letras</t>
  </si>
  <si>
    <t>Parking Fisio</t>
  </si>
  <si>
    <t>Pack Forn SAB</t>
  </si>
  <si>
    <t>Picaeta platja</t>
  </si>
  <si>
    <t>Décimo Ayto Paterna mama y Bruno</t>
  </si>
  <si>
    <t>Décimo Ayto Paterna tío</t>
  </si>
  <si>
    <t>Décimo Ayto Paterna nuestro y Javier</t>
  </si>
  <si>
    <t>Lotería Navidad</t>
  </si>
  <si>
    <t>Farmacia</t>
  </si>
  <si>
    <t>Melissa</t>
  </si>
  <si>
    <t>Regal Dani</t>
  </si>
  <si>
    <t>Norma Etf</t>
  </si>
  <si>
    <t>Varios pádel</t>
  </si>
  <si>
    <t>Denia finde</t>
  </si>
  <si>
    <t>N-RevolutFondo</t>
  </si>
  <si>
    <t>Traspaso Compra Oro</t>
  </si>
  <si>
    <t>Farma Vázquez</t>
  </si>
  <si>
    <t>Libro Wallapop El hombre en busca</t>
  </si>
  <si>
    <t>Regalos Lidl</t>
  </si>
  <si>
    <t>Sopar xino</t>
  </si>
  <si>
    <t>Noviembre</t>
  </si>
  <si>
    <t>Ocaso Seguro</t>
  </si>
  <si>
    <t>Gastos octubre</t>
  </si>
  <si>
    <t>Lotería Pamesa</t>
  </si>
  <si>
    <t>Devol Lidl</t>
  </si>
  <si>
    <t>Jersei Lidl tio</t>
  </si>
  <si>
    <t>Lidl xaqueta beig</t>
  </si>
  <si>
    <t>IRPF 2024 2_2</t>
  </si>
  <si>
    <t>Mercat fruta</t>
  </si>
  <si>
    <t>Springfield chaqueta y vestido</t>
  </si>
  <si>
    <t>Springfield chaqueta</t>
  </si>
  <si>
    <t>pádel</t>
  </si>
  <si>
    <t>Pelu SAB Saray corte, mechas y tinte</t>
  </si>
  <si>
    <t>Int Letras</t>
  </si>
  <si>
    <t>Comisión traspaso</t>
  </si>
  <si>
    <t>Esmorzar amigues</t>
  </si>
  <si>
    <t>Plantas huerto</t>
  </si>
  <si>
    <t>D-Interactivebrokers</t>
  </si>
  <si>
    <t>Impto Basura</t>
  </si>
  <si>
    <t>Macha Latte</t>
  </si>
  <si>
    <t>Décimo ayto La Pobla</t>
  </si>
  <si>
    <t>Chino</t>
  </si>
  <si>
    <t>Fondo Lotería ayto</t>
  </si>
  <si>
    <t>Rev placas solares Nerosolar</t>
  </si>
  <si>
    <t>Brintellix</t>
  </si>
  <si>
    <t>Donación AECC</t>
  </si>
  <si>
    <t>Tevetens, afloyan y besitrans</t>
  </si>
  <si>
    <t>D-Bankinter</t>
  </si>
  <si>
    <t>D-TradeRepublicFijo</t>
  </si>
  <si>
    <t>Mercat medieval</t>
  </si>
  <si>
    <t>Dinar</t>
  </si>
  <si>
    <t>Zapatillas</t>
  </si>
  <si>
    <t>Ledger (cartera fría)</t>
  </si>
  <si>
    <t>D-TradeRepublicCrypto</t>
  </si>
  <si>
    <t>Caixeta regal Julia</t>
  </si>
  <si>
    <t>Antón encargo screens</t>
  </si>
  <si>
    <t>Dinar Rec</t>
  </si>
  <si>
    <t>devol suéter Lidl</t>
  </si>
  <si>
    <t>Polvorons</t>
  </si>
  <si>
    <t>Diners Mama</t>
  </si>
  <si>
    <t>Dinar Los Maños</t>
  </si>
  <si>
    <t>Puzzle Julia</t>
  </si>
  <si>
    <t>Piles botó</t>
  </si>
  <si>
    <t>Mantel Aldi</t>
  </si>
  <si>
    <t>Puzzles Aldi</t>
  </si>
  <si>
    <t>Regal Mama Aldi</t>
  </si>
  <si>
    <t>Sopar Villatoya</t>
  </si>
  <si>
    <t>Regal Bruno i Julia Nadal</t>
  </si>
  <si>
    <t>Cabanyes Villatoya</t>
  </si>
  <si>
    <t>Comisión</t>
  </si>
  <si>
    <t>Base con ruedas</t>
  </si>
  <si>
    <t>dinar Jorquera</t>
  </si>
  <si>
    <t>Esmorzar Requena</t>
  </si>
  <si>
    <t>Diciembre</t>
  </si>
  <si>
    <t>Memoria USB</t>
  </si>
  <si>
    <t>Venta Wallapop planchador</t>
  </si>
  <si>
    <t>Mercat</t>
  </si>
  <si>
    <t>Suéter gris Mercat Rosario</t>
  </si>
  <si>
    <t>Reserva Retiro Beniarbeig</t>
  </si>
  <si>
    <t>Depil láser brazos Pallardó</t>
  </si>
  <si>
    <t>Bono Indiba Pallardó 4 sesiones</t>
  </si>
  <si>
    <t>Gastos noviembre</t>
  </si>
  <si>
    <t>Screens Antón 2_2</t>
  </si>
  <si>
    <t>Baliza tío</t>
  </si>
  <si>
    <t>Balizas</t>
  </si>
  <si>
    <t>Radio linterna</t>
  </si>
  <si>
    <t>Cancelación cta Santander</t>
  </si>
  <si>
    <t>Flors Tina</t>
  </si>
  <si>
    <t>Dinar Javier</t>
  </si>
  <si>
    <t>D-Ledger</t>
  </si>
  <si>
    <t>Placa habitació Julia</t>
  </si>
  <si>
    <t>Vinted llibre Stradivarius</t>
  </si>
  <si>
    <t>Wallapop Gorro Burberrys</t>
  </si>
  <si>
    <t>Varios Vivienda</t>
  </si>
  <si>
    <t>Cremas Pallardó</t>
  </si>
  <si>
    <t>Tramitación ayudas placas Jordi</t>
  </si>
  <si>
    <t>Lidl bases plantas</t>
  </si>
  <si>
    <t>Cambio cisterna</t>
  </si>
  <si>
    <t>Tramitación ayudas placas Jordi 2_2</t>
  </si>
  <si>
    <t>Taxi</t>
  </si>
  <si>
    <t>Café</t>
  </si>
  <si>
    <t>Paperetes Ayto</t>
  </si>
  <si>
    <t>Dècim Gespa</t>
  </si>
  <si>
    <t>1ª Clase japonés</t>
  </si>
  <si>
    <t>Lot Nadal MJBR</t>
  </si>
  <si>
    <t>Lidl manualidades</t>
  </si>
  <si>
    <t>Botellas personalizados</t>
  </si>
  <si>
    <t>B complex vitamina C Terranova Herbasana</t>
  </si>
  <si>
    <t>Perchero Amazon</t>
  </si>
  <si>
    <t>Esmorzar Helena</t>
  </si>
  <si>
    <t>Colonies Mercadona</t>
  </si>
  <si>
    <t>Chorraditas</t>
  </si>
  <si>
    <t>Vinted puzzles</t>
  </si>
  <si>
    <t>Springfield pago Dani</t>
  </si>
  <si>
    <t>Encuadernación libro japonés</t>
  </si>
  <si>
    <t>Regalos Navidad</t>
  </si>
  <si>
    <t>Intereses ibonds</t>
  </si>
  <si>
    <t>Regularización</t>
  </si>
  <si>
    <t>D-Degiro</t>
  </si>
  <si>
    <t>D-Mintos</t>
  </si>
  <si>
    <t>D-Revolut</t>
  </si>
  <si>
    <t>D-Housers</t>
  </si>
  <si>
    <t>Estrena Mama</t>
  </si>
  <si>
    <t>Varios Temu</t>
  </si>
  <si>
    <t>Esmorzar i taronges</t>
  </si>
  <si>
    <t>Intereses plan amigo</t>
  </si>
  <si>
    <t>Esmorzar gym</t>
  </si>
  <si>
    <t>Okfarma Griffonia y Hylogel</t>
  </si>
  <si>
    <t>Regularización Amazon</t>
  </si>
  <si>
    <t>Pijama Women Secret tio</t>
  </si>
  <si>
    <t>Pijamas Women Secret</t>
  </si>
  <si>
    <t>Lot Nadal</t>
  </si>
  <si>
    <t>Enero</t>
  </si>
  <si>
    <t>D-Metamask</t>
  </si>
  <si>
    <t>1er trim garaje Manises</t>
  </si>
  <si>
    <t>Esmorzar Pili</t>
  </si>
  <si>
    <t>ITV Kadjar</t>
  </si>
  <si>
    <t>Cancelación fondo</t>
  </si>
  <si>
    <t>Roscón Horno San Antonio</t>
  </si>
  <si>
    <t>Kadjar Rev y pre ITV</t>
  </si>
  <si>
    <t>Clase japonés</t>
  </si>
  <si>
    <t>Loteria Niño</t>
  </si>
  <si>
    <t>Chaqueta Springfield online</t>
  </si>
  <si>
    <t>Farma</t>
  </si>
  <si>
    <t>Mercat fruita</t>
  </si>
  <si>
    <t>Esmorzar platja</t>
  </si>
  <si>
    <t>Pantaló verd Springfield</t>
  </si>
  <si>
    <t>Springfield Mama cumple</t>
  </si>
  <si>
    <t>Devol chaqueta Springfield</t>
  </si>
  <si>
    <t>Nochebuena</t>
  </si>
  <si>
    <t>VariosVivienda</t>
  </si>
  <si>
    <t>Tierra</t>
  </si>
  <si>
    <t xml:space="preserve">T O T A L </t>
  </si>
  <si>
    <t>DANI</t>
  </si>
  <si>
    <t>NORMA</t>
  </si>
  <si>
    <t>Efectivo/Tarjeta/Banco</t>
  </si>
  <si>
    <t>Autocustodia</t>
  </si>
  <si>
    <t>Cripto/Crownfunding/Pensiones/Bolsa</t>
  </si>
  <si>
    <t>Propiedades</t>
  </si>
  <si>
    <t>-</t>
  </si>
  <si>
    <t>Efectivo</t>
  </si>
  <si>
    <t>Tarjeta</t>
  </si>
  <si>
    <t>Bancos</t>
  </si>
  <si>
    <t>Criptomonedas</t>
  </si>
  <si>
    <t>Crowdfunding</t>
  </si>
  <si>
    <t>Plan de Pensiones</t>
  </si>
  <si>
    <t>BOLSA</t>
  </si>
  <si>
    <t>PROPIEDADES</t>
  </si>
  <si>
    <t>Filtrar</t>
  </si>
  <si>
    <t>(Todas)</t>
  </si>
  <si>
    <t>Suma - IMPORTE</t>
  </si>
  <si>
    <t>Años</t>
  </si>
  <si>
    <t>Total general</t>
  </si>
  <si>
    <t>2025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</si>
  <si>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</si>
  <si>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</si>
  <si>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</si>
  <si>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</si>
  <si>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</si>
  <si>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</si>
  <si>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</si>
  <si>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</si>
  <si>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</si>
  <si>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</si>
  <si>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</si>
  <si>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</si>
  <si>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2026</t>
  </si>
  <si>
    <t>BRUTO</t>
  </si>
  <si>
    <t>SS</t>
  </si>
  <si>
    <t>LÍQUIDO</t>
  </si>
  <si>
    <t>AÑO 2025</t>
  </si>
  <si>
    <t>AGOSTO</t>
  </si>
  <si>
    <t>SEPTIEMBRE</t>
  </si>
  <si>
    <t>OCTUBRE</t>
  </si>
  <si>
    <t>Atrasos sept</t>
  </si>
  <si>
    <t>Atrasos</t>
  </si>
  <si>
    <t>NOVIEMBRE</t>
  </si>
  <si>
    <t>TOTAL</t>
  </si>
  <si>
    <t>AÑO 2026</t>
  </si>
  <si>
    <t>CONCEPTOS</t>
  </si>
  <si>
    <t>ESTIMACIÓN</t>
  </si>
  <si>
    <t>REAL</t>
  </si>
  <si>
    <t>% DESV.</t>
  </si>
  <si>
    <t>DÍAS</t>
  </si>
  <si>
    <t>TOTAL……………....…</t>
  </si>
  <si>
    <t>TIPOCUENTA</t>
  </si>
  <si>
    <t>D-Casa</t>
  </si>
  <si>
    <t>D-Coche</t>
  </si>
  <si>
    <t>D-Garaje</t>
  </si>
  <si>
    <t>D-Garaje&amp;Trastero</t>
  </si>
  <si>
    <t>D-MobilCasa</t>
  </si>
  <si>
    <t>D-MobilPiso</t>
  </si>
  <si>
    <t>D-Piso</t>
  </si>
  <si>
    <t>N-Casa</t>
  </si>
  <si>
    <t>N-Coche</t>
  </si>
  <si>
    <t>N-Garaje&amp;Trastero</t>
  </si>
  <si>
    <t>N-MobilCasa</t>
  </si>
  <si>
    <t>N-MobilPiso</t>
  </si>
  <si>
    <t>Banco</t>
  </si>
  <si>
    <t>OtrosGastos</t>
  </si>
  <si>
    <t>OtrosIngresos</t>
  </si>
  <si>
    <t>Bolsa</t>
  </si>
  <si>
    <t>D-Hausera</t>
  </si>
  <si>
    <t>VariosCoche</t>
  </si>
  <si>
    <t>Plan de pensiones</t>
  </si>
  <si>
    <t>N-IndexaCapitalFondo</t>
  </si>
  <si>
    <t>N-Ing</t>
  </si>
  <si>
    <t>N-Pensión</t>
  </si>
  <si>
    <t>N-Revolut</t>
  </si>
  <si>
    <t>=SI(B1054=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</si>
</sst>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#,##0.00\ [$€-C0A];\-#,##0.00\ [$€-C0A]"/>
    <numFmt numFmtId="165" formatCode="#,##0.00\ [$€-C0A];[Red]\-#,##0.00\ [$€-C0A]"/>
    <numFmt numFmtId="166" formatCode="#,##0.00&quot; €&quot;;[Red]\-#,##0.00&quot; €&quot;"/>
    <numFmt numFmtId="167" formatCode="#,##0.00&quot; €&quot;"/>
    <numFmt numFmtId="168" formatCode="0.00\ %"/>
    <numFmt numFmtId="169" formatCode="[$-C0A]d&quot; de &quot;mmmm&quot; de &quot;yyyy;@"/>
    <numFmt numFmtId="170" formatCode="d&quot; de &quot;mmmm&quot; de &quot;yyyy"/>
    <numFmt numFmtId="171" formatCode="* #,##0.00&quot; € &quot;;\-* #,##0.00&quot; € &quot;;* \-#&quot; € &quot;;@\ "/>
    <numFmt numFmtId="172" formatCode="#,##0.00\ _€;[Red]\-#,##0.00\ _€"/>
  </numFmts>
  <fonts count="32">
    <font>
      <sz val="10"/>
      <name val="Arial"/>
      <family val="2"/>
      <charset val="1"/>
    </font>
    <font>
      <u/>
      <sz val="10"/>
      <color theme="10"/>
      <name val="Arial"/>
      <family val="2"/>
      <charset val="1"/>
    </font>
    <font>
      <b/>
      <sz val="10"/>
      <name val="Arial"/>
      <family val="2"/>
      <charset val="1"/>
    </font>
    <font>
      <sz val="10"/>
      <color rgb="FF3465A4"/>
      <name val="Arial"/>
      <family val="2"/>
      <charset val="1"/>
    </font>
    <font>
      <sz val="10"/>
      <color rgb="FFFF0000"/>
      <name val="Arial"/>
      <family val="2"/>
      <charset val="1"/>
    </font>
    <font>
      <sz val="10"/>
      <color rgb="FF069A2E"/>
      <name val="Arial"/>
      <family val="2"/>
      <charset val="1"/>
    </font>
    <font>
      <sz val="10"/>
      <name val="Microsoft JhengHei"/>
      <charset val="1"/>
    </font>
    <font>
      <sz val="12"/>
      <name val="Microsoft JhengHei"/>
      <charset val="1"/>
    </font>
    <font>
      <i/>
      <sz val="12"/>
      <name val="Microsoft JhengHei"/>
      <charset val="1"/>
    </font>
    <font>
      <b/>
      <i/>
      <sz val="12"/>
      <name val="Microsoft JhengHei"/>
      <charset val="1"/>
    </font>
    <font>
      <b/>
      <sz val="12"/>
      <name val="Microsoft JhengHei"/>
      <charset val="1"/>
    </font>
    <font>
      <sz val="10"/>
      <color theme="1"/>
      <name val="Microsoft JhengHei"/>
      <charset val="1"/>
    </font>
    <font>
      <sz val="8"/>
      <name val="Microsoft JhengHei"/>
      <charset val="1"/>
    </font>
    <font>
      <b/>
      <sz val="14"/>
      <color theme="1"/>
      <name val="Microsoft JhengHei"/>
      <charset val="1"/>
    </font>
    <font>
      <b/>
      <sz val="14"/>
      <name val="Microsoft JhengHei"/>
      <charset val="1"/>
    </font>
    <font>
      <b/>
      <sz val="14"/>
      <color rgb="FF000000"/>
      <name val="Microsoft JhengHei"/>
      <charset val="1"/>
    </font>
    <font>
      <b/>
      <sz val="15"/>
      <name val="Microsoft JhengHei"/>
      <charset val="1"/>
    </font>
    <font>
      <sz val="14"/>
      <color theme="1"/>
      <name val="Microsoft JhengHei"/>
      <charset val="1"/>
    </font>
    <font>
      <sz val="14"/>
      <name val="Microsoft JhengHei"/>
      <charset val="1"/>
    </font>
    <font>
      <sz val="12"/>
      <color theme="1"/>
      <name val="Microsoft JhengHei"/>
      <charset val="1"/>
    </font>
    <font>
      <sz val="12"/>
      <color rgb="FF000000"/>
      <name val="Microsoft JhengHei"/>
      <charset val="1"/>
    </font>
    <font>
      <sz val="10"/>
      <name val="Mangal"/>
      <family val="2"/>
      <charset val="1"/>
    </font>
    <font>
      <b/>
      <sz val="12"/>
      <color rgb="FF000000"/>
      <name val="Microsoft JhengHei"/>
      <charset val="1"/>
    </font>
    <font>
      <b/>
      <sz val="12"/>
      <color theme="1"/>
      <name val="Microsoft JhengHei"/>
      <charset val="1"/>
    </font>
    <font>
      <sz val="8"/>
      <color theme="1"/>
      <name val="Microsoft JhengHei"/>
      <charset val="1"/>
    </font>
    <font>
      <sz val="10"/>
      <color rgb="FF000000"/>
      <name val="Arial"/>
      <family val="2"/>
      <charset val="1"/>
    </font>
    <font>
      <b/>
      <sz val="10"/>
      <name val="Microsoft JhengHei"/>
      <charset val="1"/>
    </font>
    <font>
      <b/>
      <sz val="10"/>
      <color rgb="FF000000"/>
      <name val="Microsoft JhengHei"/>
      <charset val="1"/>
    </font>
    <font>
      <b/>
      <i/>
      <sz val="10"/>
      <color rgb="FF0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1"/>
      <name val="Microsoft JhengHei"/>
      <charset val="1"/>
    </font>
    <font>
      <sz val="10"/>
      <name val="Arial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theme="0" tint="-4.9989318521683403E-2"/>
        <bgColor rgb="FFFFFFFF"/>
      </patternFill>
    </fill>
    <fill>
      <patternFill patternType="solid">
        <fgColor theme="5" tint="0.79979857783745845"/>
        <bgColor rgb="FFD9D9D9"/>
      </patternFill>
    </fill>
    <fill>
      <patternFill patternType="solid">
        <fgColor theme="8" tint="0.79979857783745845"/>
        <bgColor rgb="FFF2F2F2"/>
      </patternFill>
    </fill>
    <fill>
      <patternFill patternType="solid">
        <fgColor theme="0" tint="-0.14999847407452621"/>
        <bgColor rgb="FFE0E0E0"/>
      </patternFill>
    </fill>
    <fill>
      <patternFill patternType="solid">
        <fgColor theme="4" tint="0.79979857783745845"/>
        <bgColor rgb="FFBBE6FE"/>
      </patternFill>
    </fill>
    <fill>
      <patternFill patternType="solid">
        <fgColor theme="6" tint="0.79979857783745845"/>
        <bgColor rgb="FFFED3BA"/>
      </patternFill>
    </fill>
    <fill>
      <patternFill patternType="solid">
        <fgColor theme="7" tint="0.79979857783745845"/>
        <bgColor rgb="FFF8CFCE"/>
      </patternFill>
    </fill>
    <fill>
      <patternFill patternType="solid">
        <fgColor theme="0" tint="-0.249977111117893"/>
        <bgColor rgb="FFA6A6A6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E0E0E0"/>
        <bgColor rgb="FFD9D9D9"/>
      </patternFill>
    </fill>
    <fill>
      <patternFill patternType="solid">
        <fgColor rgb="FFFF0000"/>
        <bgColor rgb="FF993300"/>
      </patternFill>
    </fill>
    <fill>
      <patternFill patternType="solid">
        <fgColor theme="1" tint="0.49949644459364606"/>
        <bgColor rgb="FFA6A6A6"/>
      </patternFill>
    </fill>
    <fill>
      <patternFill patternType="solid">
        <fgColor rgb="FFFED3BA"/>
        <bgColor rgb="FFFED4BB"/>
      </patternFill>
    </fill>
  </fills>
  <borders count="20">
    <border>
      <left/>
      <right/>
      <top/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theme="0"/>
      </left>
      <right style="medium">
        <color theme="0"/>
      </right>
      <top/>
      <bottom style="medium">
        <color theme="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</borders>
  <cellStyleXfs count="21">
    <xf numFmtId="0" fontId="0" fillId="0" borderId="0"/>
    <xf numFmtId="171" fontId="21" fillId="0" borderId="0" applyBorder="0" applyProtection="0"/>
    <xf numFmtId="0" fontId="31" fillId="0" borderId="0" applyBorder="0" applyProtection="0"/>
    <xf numFmtId="0" fontId="31" fillId="0" borderId="0" applyBorder="0" applyProtection="0">
      <alignment horizontal="left"/>
    </xf>
    <xf numFmtId="0" fontId="31" fillId="0" borderId="0" applyBorder="0" applyProtection="0"/>
    <xf numFmtId="0" fontId="1" fillId="0" borderId="0" applyBorder="0" applyProtection="0"/>
    <xf numFmtId="0" fontId="2" fillId="0" borderId="0" applyBorder="0" applyProtection="0"/>
    <xf numFmtId="0" fontId="3" fillId="0" borderId="0" applyBorder="0" applyProtection="0"/>
    <xf numFmtId="0" fontId="3" fillId="0" borderId="0" applyBorder="0" applyProtection="0"/>
    <xf numFmtId="0" fontId="4" fillId="0" borderId="0" applyBorder="0" applyProtection="0"/>
    <xf numFmtId="0" fontId="5" fillId="0" borderId="0" applyBorder="0" applyProtection="0"/>
    <xf numFmtId="0" fontId="4" fillId="0" borderId="0" applyBorder="0" applyProtection="0"/>
    <xf numFmtId="0" fontId="3" fillId="0" borderId="0" applyBorder="0" applyProtection="0"/>
    <xf numFmtId="0" fontId="4" fillId="0" borderId="0" applyBorder="0" applyProtection="0"/>
    <xf numFmtId="0" fontId="5" fillId="0" borderId="0" applyBorder="0" applyProtection="0"/>
    <xf numFmtId="0" fontId="3" fillId="0" borderId="0" applyBorder="0" applyProtection="0"/>
    <xf numFmtId="0" fontId="3" fillId="0" borderId="0" applyBorder="0" applyProtection="0"/>
    <xf numFmtId="0" fontId="4" fillId="0" borderId="0" applyBorder="0" applyProtection="0"/>
    <xf numFmtId="0" fontId="5" fillId="0" borderId="0" applyBorder="0" applyProtection="0"/>
    <xf numFmtId="0" fontId="2" fillId="0" borderId="0" applyBorder="0" applyProtection="0">
      <alignment horizontal="left"/>
    </xf>
    <xf numFmtId="0" fontId="31" fillId="0" borderId="0" applyBorder="0" applyProtection="0"/>
  </cellStyleXfs>
  <cellXfs count="285">
    <xf numFmtId="0" fontId="0" fillId="0" borderId="0" xfId="0"/>
    <xf numFmtId="14" fontId="6" fillId="2" borderId="0" xfId="0" applyNumberFormat="1" applyFont="1" applyFill="1" applyAlignment="1" applyProtection="1">
      <alignment horizontal="center"/>
    </xf>
    <xf numFmtId="0" fontId="6" fillId="2" borderId="0" xfId="0" applyFont="1" applyFill="1" applyAlignment="1" applyProtection="1"/>
    <xf numFmtId="164" fontId="6" fillId="2" borderId="0" xfId="0" applyNumberFormat="1" applyFont="1" applyFill="1" applyAlignment="1" applyProtection="1">
      <alignment horizontal="right"/>
    </xf>
    <xf numFmtId="0" fontId="6" fillId="3" borderId="1" xfId="0" applyFont="1" applyFill="1" applyBorder="1" applyAlignment="1" applyProtection="1"/>
    <xf numFmtId="14" fontId="6" fillId="3" borderId="1" xfId="0" applyNumberFormat="1" applyFont="1" applyFill="1" applyBorder="1" applyAlignment="1" applyProtection="1">
      <alignment horizontal="left"/>
    </xf>
    <xf numFmtId="164" fontId="6" fillId="3" borderId="1" xfId="0" applyNumberFormat="1" applyFont="1" applyFill="1" applyBorder="1" applyAlignment="1" applyProtection="1">
      <alignment horizontal="right"/>
    </xf>
    <xf numFmtId="0" fontId="6" fillId="3" borderId="2" xfId="0" applyFont="1" applyFill="1" applyBorder="1" applyAlignment="1" applyProtection="1"/>
    <xf numFmtId="0" fontId="6" fillId="3" borderId="0" xfId="0" applyFont="1" applyFill="1" applyBorder="1" applyAlignment="1" applyProtection="1"/>
    <xf numFmtId="14" fontId="6" fillId="3" borderId="0" xfId="0" applyNumberFormat="1" applyFont="1" applyFill="1" applyBorder="1" applyAlignment="1" applyProtection="1">
      <alignment horizontal="left"/>
    </xf>
    <xf numFmtId="164" fontId="6" fillId="3" borderId="0" xfId="0" applyNumberFormat="1" applyFont="1" applyFill="1" applyBorder="1" applyAlignment="1" applyProtection="1">
      <alignment horizontal="right"/>
    </xf>
    <xf numFmtId="0" fontId="6" fillId="3" borderId="3" xfId="0" applyFont="1" applyFill="1" applyBorder="1" applyAlignment="1" applyProtection="1"/>
    <xf numFmtId="165" fontId="6" fillId="3" borderId="0" xfId="0" applyNumberFormat="1" applyFont="1" applyFill="1" applyBorder="1" applyAlignment="1" applyProtection="1"/>
    <xf numFmtId="0" fontId="6" fillId="3" borderId="0" xfId="0" applyFont="1" applyFill="1" applyBorder="1" applyAlignment="1" applyProtection="1">
      <alignment horizontal="center"/>
    </xf>
    <xf numFmtId="165" fontId="6" fillId="3" borderId="0" xfId="0" applyNumberFormat="1" applyFont="1" applyFill="1" applyBorder="1" applyAlignment="1" applyProtection="1">
      <alignment horizontal="center"/>
    </xf>
    <xf numFmtId="166" fontId="6" fillId="3" borderId="0" xfId="0" applyNumberFormat="1" applyFont="1" applyFill="1" applyBorder="1" applyAlignment="1" applyProtection="1"/>
    <xf numFmtId="166" fontId="6" fillId="2" borderId="0" xfId="0" applyNumberFormat="1" applyFont="1" applyFill="1" applyAlignment="1" applyProtection="1"/>
    <xf numFmtId="164" fontId="6" fillId="3" borderId="0" xfId="0" applyNumberFormat="1" applyFont="1" applyFill="1" applyBorder="1" applyAlignment="1" applyProtection="1"/>
    <xf numFmtId="0" fontId="7" fillId="2" borderId="4" xfId="0" applyFont="1" applyFill="1" applyBorder="1" applyAlignment="1" applyProtection="1"/>
    <xf numFmtId="0" fontId="8" fillId="4" borderId="4" xfId="0" applyFont="1" applyFill="1" applyBorder="1" applyAlignment="1" applyProtection="1">
      <alignment horizontal="right"/>
    </xf>
    <xf numFmtId="0" fontId="8" fillId="4" borderId="5" xfId="0" applyFont="1" applyFill="1" applyBorder="1" applyAlignment="1" applyProtection="1"/>
    <xf numFmtId="164" fontId="8" fillId="4" borderId="6" xfId="0" applyNumberFormat="1" applyFont="1" applyFill="1" applyBorder="1" applyAlignment="1" applyProtection="1">
      <alignment horizontal="right"/>
    </xf>
    <xf numFmtId="166" fontId="7" fillId="2" borderId="5" xfId="0" applyNumberFormat="1" applyFont="1" applyFill="1" applyBorder="1" applyAlignment="1" applyProtection="1"/>
    <xf numFmtId="0" fontId="7" fillId="2" borderId="6" xfId="0" applyFont="1" applyFill="1" applyBorder="1" applyAlignment="1" applyProtection="1"/>
    <xf numFmtId="0" fontId="7" fillId="2" borderId="0" xfId="0" applyFont="1" applyFill="1" applyAlignment="1" applyProtection="1"/>
    <xf numFmtId="166" fontId="7" fillId="2" borderId="1" xfId="0" applyNumberFormat="1" applyFont="1" applyFill="1" applyBorder="1" applyAlignment="1" applyProtection="1"/>
    <xf numFmtId="0" fontId="1" fillId="5" borderId="9" xfId="5" applyFont="1" applyFill="1" applyBorder="1" applyAlignment="1" applyProtection="1">
      <alignment horizontal="center"/>
    </xf>
    <xf numFmtId="0" fontId="9" fillId="5" borderId="3" xfId="0" applyFont="1" applyFill="1" applyBorder="1" applyAlignment="1" applyProtection="1">
      <alignment horizontal="center"/>
    </xf>
    <xf numFmtId="167" fontId="9" fillId="5" borderId="10" xfId="0" applyNumberFormat="1" applyFont="1" applyFill="1" applyBorder="1" applyAlignment="1" applyProtection="1">
      <alignment horizontal="center"/>
    </xf>
    <xf numFmtId="166" fontId="9" fillId="5" borderId="11" xfId="0" applyNumberFormat="1" applyFont="1" applyFill="1" applyBorder="1" applyAlignment="1" applyProtection="1">
      <alignment horizontal="center"/>
    </xf>
    <xf numFmtId="14" fontId="10" fillId="6" borderId="8" xfId="0" applyNumberFormat="1" applyFont="1" applyFill="1" applyBorder="1" applyAlignment="1" applyProtection="1">
      <alignment horizontal="center"/>
    </xf>
    <xf numFmtId="0" fontId="10" fillId="6" borderId="8" xfId="0" applyFont="1" applyFill="1" applyBorder="1" applyAlignment="1" applyProtection="1"/>
    <xf numFmtId="164" fontId="10" fillId="6" borderId="8" xfId="0" applyNumberFormat="1" applyFont="1" applyFill="1" applyBorder="1" applyAlignment="1" applyProtection="1">
      <alignment horizontal="right"/>
    </xf>
    <xf numFmtId="166" fontId="10" fillId="6" borderId="8" xfId="0" applyNumberFormat="1" applyFont="1" applyFill="1" applyBorder="1" applyAlignment="1" applyProtection="1"/>
    <xf numFmtId="14" fontId="6" fillId="3" borderId="0" xfId="0" applyNumberFormat="1" applyFont="1" applyFill="1" applyBorder="1" applyAlignment="1" applyProtection="1">
      <alignment horizontal="center"/>
    </xf>
    <xf numFmtId="14" fontId="6" fillId="3" borderId="8" xfId="0" applyNumberFormat="1" applyFont="1" applyFill="1" applyBorder="1" applyAlignment="1" applyProtection="1">
      <alignment horizontal="center"/>
    </xf>
    <xf numFmtId="0" fontId="6" fillId="3" borderId="8" xfId="0" applyFont="1" applyFill="1" applyBorder="1" applyAlignment="1" applyProtection="1"/>
    <xf numFmtId="164" fontId="6" fillId="3" borderId="8" xfId="0" applyNumberFormat="1" applyFont="1" applyFill="1" applyBorder="1" applyAlignment="1" applyProtection="1">
      <alignment horizontal="right"/>
    </xf>
    <xf numFmtId="0" fontId="6" fillId="3" borderId="11" xfId="0" applyFont="1" applyFill="1" applyBorder="1" applyAlignment="1" applyProtection="1"/>
    <xf numFmtId="14" fontId="6" fillId="2" borderId="0" xfId="0" applyNumberFormat="1" applyFont="1" applyFill="1" applyBorder="1" applyAlignment="1" applyProtection="1">
      <alignment horizontal="center"/>
    </xf>
    <xf numFmtId="0" fontId="6" fillId="2" borderId="0" xfId="0" applyFont="1" applyFill="1" applyBorder="1" applyAlignment="1" applyProtection="1"/>
    <xf numFmtId="164" fontId="6" fillId="2" borderId="0" xfId="0" applyNumberFormat="1" applyFont="1" applyFill="1" applyBorder="1" applyAlignment="1" applyProtection="1">
      <alignment horizontal="right"/>
    </xf>
    <xf numFmtId="0" fontId="6" fillId="2" borderId="3" xfId="0" applyFont="1" applyFill="1" applyBorder="1" applyAlignment="1" applyProtection="1"/>
    <xf numFmtId="0" fontId="6" fillId="2" borderId="0" xfId="0" applyFont="1" applyFill="1" applyBorder="1" applyAlignment="1" applyProtection="1">
      <alignment horizontal="left"/>
    </xf>
    <xf numFmtId="0" fontId="6" fillId="2" borderId="0" xfId="0" applyFont="1" applyFill="1" applyBorder="1" applyAlignment="1" applyProtection="1">
      <alignment horizontal="left" wrapText="1"/>
    </xf>
    <xf numFmtId="0" fontId="6" fillId="2" borderId="0" xfId="0" applyFont="1" applyFill="1" applyBorder="1" applyAlignment="1" applyProtection="1">
      <alignment horizontal="left" vertical="top" wrapText="1"/>
    </xf>
    <xf numFmtId="0" fontId="6" fillId="2" borderId="0" xfId="0" applyFont="1" applyFill="1" applyBorder="1" applyAlignment="1" applyProtection="1">
      <alignment wrapText="1"/>
    </xf>
    <xf numFmtId="2" fontId="6" fillId="2" borderId="0" xfId="0" applyNumberFormat="1" applyFont="1" applyFill="1" applyAlignment="1" applyProtection="1"/>
    <xf numFmtId="4" fontId="6" fillId="2" borderId="0" xfId="0" applyNumberFormat="1" applyFont="1" applyFill="1" applyAlignment="1" applyProtection="1"/>
    <xf numFmtId="167" fontId="6" fillId="2" borderId="0" xfId="0" applyNumberFormat="1" applyFont="1" applyFill="1" applyAlignment="1" applyProtection="1"/>
    <xf numFmtId="14" fontId="6" fillId="2" borderId="8" xfId="0" applyNumberFormat="1" applyFont="1" applyFill="1" applyBorder="1" applyAlignment="1" applyProtection="1">
      <alignment horizontal="center"/>
    </xf>
    <xf numFmtId="0" fontId="6" fillId="2" borderId="8" xfId="0" applyFont="1" applyFill="1" applyBorder="1" applyAlignment="1" applyProtection="1"/>
    <xf numFmtId="164" fontId="6" fillId="2" borderId="8" xfId="0" applyNumberFormat="1" applyFont="1" applyFill="1" applyBorder="1" applyAlignment="1" applyProtection="1">
      <alignment horizontal="right"/>
    </xf>
    <xf numFmtId="0" fontId="6" fillId="2" borderId="8" xfId="0" applyFont="1" applyFill="1" applyBorder="1" applyAlignment="1" applyProtection="1">
      <alignment horizontal="left"/>
    </xf>
    <xf numFmtId="0" fontId="6" fillId="2" borderId="11" xfId="0" applyFont="1" applyFill="1" applyBorder="1" applyAlignment="1" applyProtection="1"/>
    <xf numFmtId="0" fontId="11" fillId="0" borderId="0" xfId="0" applyFont="1" applyBorder="1" applyAlignment="1" applyProtection="1"/>
    <xf numFmtId="165" fontId="12" fillId="2" borderId="0" xfId="0" applyNumberFormat="1" applyFont="1" applyFill="1" applyAlignment="1" applyProtection="1"/>
    <xf numFmtId="166" fontId="12" fillId="2" borderId="0" xfId="0" applyNumberFormat="1" applyFont="1" applyFill="1" applyAlignment="1" applyProtection="1">
      <alignment horizontal="right"/>
    </xf>
    <xf numFmtId="168" fontId="12" fillId="2" borderId="0" xfId="0" applyNumberFormat="1" applyFont="1" applyFill="1" applyAlignment="1" applyProtection="1">
      <alignment horizontal="right"/>
    </xf>
    <xf numFmtId="168" fontId="12" fillId="2" borderId="0" xfId="0" applyNumberFormat="1" applyFont="1" applyFill="1" applyBorder="1" applyAlignment="1" applyProtection="1">
      <alignment horizontal="right" vertical="center"/>
    </xf>
    <xf numFmtId="168" fontId="12" fillId="2" borderId="0" xfId="0" applyNumberFormat="1" applyFont="1" applyFill="1" applyAlignment="1" applyProtection="1">
      <alignment horizontal="right" vertical="center"/>
    </xf>
    <xf numFmtId="0" fontId="12" fillId="2" borderId="0" xfId="0" applyFont="1" applyFill="1" applyAlignment="1" applyProtection="1"/>
    <xf numFmtId="0" fontId="6" fillId="0" borderId="0" xfId="0" applyFont="1" applyAlignment="1" applyProtection="1"/>
    <xf numFmtId="0" fontId="13" fillId="2" borderId="0" xfId="0" applyFont="1" applyFill="1" applyAlignment="1" applyProtection="1"/>
    <xf numFmtId="165" fontId="14" fillId="2" borderId="0" xfId="0" applyNumberFormat="1" applyFont="1" applyFill="1" applyAlignment="1" applyProtection="1"/>
    <xf numFmtId="0" fontId="14" fillId="2" borderId="0" xfId="0" applyFont="1" applyFill="1" applyAlignment="1" applyProtection="1"/>
    <xf numFmtId="170" fontId="14" fillId="2" borderId="0" xfId="0" applyNumberFormat="1" applyFont="1" applyFill="1" applyAlignment="1" applyProtection="1">
      <alignment horizontal="center"/>
    </xf>
    <xf numFmtId="0" fontId="16" fillId="0" borderId="0" xfId="0" applyFont="1" applyAlignment="1" applyProtection="1"/>
    <xf numFmtId="0" fontId="17" fillId="2" borderId="0" xfId="0" applyFont="1" applyFill="1" applyAlignment="1" applyProtection="1"/>
    <xf numFmtId="166" fontId="14" fillId="7" borderId="7" xfId="0" applyNumberFormat="1" applyFont="1" applyFill="1" applyBorder="1" applyAlignment="1" applyProtection="1">
      <alignment horizontal="right"/>
    </xf>
    <xf numFmtId="168" fontId="14" fillId="7" borderId="8" xfId="0" applyNumberFormat="1" applyFont="1" applyFill="1" applyBorder="1" applyAlignment="1" applyProtection="1">
      <alignment horizontal="center" vertical="center"/>
    </xf>
    <xf numFmtId="166" fontId="14" fillId="4" borderId="7" xfId="0" applyNumberFormat="1" applyFont="1" applyFill="1" applyBorder="1" applyAlignment="1" applyProtection="1">
      <alignment horizontal="right"/>
    </xf>
    <xf numFmtId="168" fontId="14" fillId="4" borderId="8" xfId="0" applyNumberFormat="1" applyFont="1" applyFill="1" applyBorder="1" applyAlignment="1" applyProtection="1">
      <alignment horizontal="center" vertical="center"/>
    </xf>
    <xf numFmtId="166" fontId="14" fillId="8" borderId="7" xfId="0" applyNumberFormat="1" applyFont="1" applyFill="1" applyBorder="1" applyAlignment="1" applyProtection="1">
      <alignment horizontal="right"/>
    </xf>
    <xf numFmtId="168" fontId="14" fillId="8" borderId="11" xfId="0" applyNumberFormat="1" applyFont="1" applyFill="1" applyBorder="1" applyAlignment="1" applyProtection="1">
      <alignment horizontal="center" vertical="center"/>
    </xf>
    <xf numFmtId="165" fontId="18" fillId="2" borderId="0" xfId="0" applyNumberFormat="1" applyFont="1" applyFill="1" applyAlignment="1" applyProtection="1"/>
    <xf numFmtId="0" fontId="18" fillId="2" borderId="0" xfId="0" applyFont="1" applyFill="1" applyAlignment="1" applyProtection="1"/>
    <xf numFmtId="0" fontId="14" fillId="0" borderId="0" xfId="0" applyFont="1" applyAlignment="1" applyProtection="1"/>
    <xf numFmtId="169" fontId="10" fillId="7" borderId="13" xfId="0" applyNumberFormat="1" applyFont="1" applyFill="1" applyBorder="1" applyAlignment="1" applyProtection="1">
      <alignment horizontal="center" vertical="center"/>
    </xf>
    <xf numFmtId="166" fontId="10" fillId="7" borderId="13" xfId="0" applyNumberFormat="1" applyFont="1" applyFill="1" applyBorder="1" applyAlignment="1" applyProtection="1">
      <alignment horizontal="right"/>
    </xf>
    <xf numFmtId="168" fontId="10" fillId="7" borderId="0" xfId="0" applyNumberFormat="1" applyFont="1" applyFill="1" applyBorder="1" applyAlignment="1" applyProtection="1">
      <alignment horizontal="center" vertical="center"/>
    </xf>
    <xf numFmtId="166" fontId="10" fillId="4" borderId="13" xfId="0" applyNumberFormat="1" applyFont="1" applyFill="1" applyBorder="1" applyAlignment="1" applyProtection="1">
      <alignment horizontal="right"/>
    </xf>
    <xf numFmtId="168" fontId="10" fillId="4" borderId="0" xfId="0" applyNumberFormat="1" applyFont="1" applyFill="1" applyBorder="1" applyAlignment="1" applyProtection="1">
      <alignment horizontal="center" vertical="center"/>
    </xf>
    <xf numFmtId="166" fontId="10" fillId="8" borderId="13" xfId="0" applyNumberFormat="1" applyFont="1" applyFill="1" applyBorder="1" applyAlignment="1" applyProtection="1">
      <alignment horizontal="right"/>
    </xf>
    <xf numFmtId="168" fontId="10" fillId="8" borderId="3" xfId="0" applyNumberFormat="1" applyFont="1" applyFill="1" applyBorder="1" applyAlignment="1" applyProtection="1">
      <alignment horizontal="center" vertical="center"/>
    </xf>
    <xf numFmtId="169" fontId="9" fillId="7" borderId="13" xfId="0" applyNumberFormat="1" applyFont="1" applyFill="1" applyBorder="1" applyAlignment="1" applyProtection="1">
      <alignment horizontal="center" vertical="center" wrapText="1"/>
    </xf>
    <xf numFmtId="166" fontId="9" fillId="7" borderId="13" xfId="0" applyNumberFormat="1" applyFont="1" applyFill="1" applyBorder="1" applyAlignment="1" applyProtection="1">
      <alignment horizontal="right"/>
    </xf>
    <xf numFmtId="168" fontId="9" fillId="7" borderId="0" xfId="0" applyNumberFormat="1" applyFont="1" applyFill="1" applyBorder="1" applyAlignment="1" applyProtection="1">
      <alignment horizontal="center" vertical="center"/>
    </xf>
    <xf numFmtId="166" fontId="9" fillId="4" borderId="13" xfId="0" applyNumberFormat="1" applyFont="1" applyFill="1" applyBorder="1" applyAlignment="1" applyProtection="1">
      <alignment horizontal="right"/>
    </xf>
    <xf numFmtId="168" fontId="9" fillId="4" borderId="0" xfId="0" applyNumberFormat="1" applyFont="1" applyFill="1" applyBorder="1" applyAlignment="1" applyProtection="1">
      <alignment horizontal="center" vertical="center"/>
    </xf>
    <xf numFmtId="166" fontId="9" fillId="8" borderId="13" xfId="0" applyNumberFormat="1" applyFont="1" applyFill="1" applyBorder="1" applyAlignment="1" applyProtection="1">
      <alignment horizontal="right"/>
    </xf>
    <xf numFmtId="168" fontId="9" fillId="8" borderId="3" xfId="0" applyNumberFormat="1" applyFont="1" applyFill="1" applyBorder="1" applyAlignment="1" applyProtection="1">
      <alignment horizontal="center" vertical="center"/>
    </xf>
    <xf numFmtId="169" fontId="10" fillId="7" borderId="14" xfId="0" applyNumberFormat="1" applyFont="1" applyFill="1" applyBorder="1" applyAlignment="1" applyProtection="1">
      <alignment horizontal="center" vertical="center"/>
    </xf>
    <xf numFmtId="166" fontId="10" fillId="7" borderId="14" xfId="0" applyNumberFormat="1" applyFont="1" applyFill="1" applyBorder="1" applyAlignment="1" applyProtection="1">
      <alignment horizontal="right"/>
    </xf>
    <xf numFmtId="168" fontId="10" fillId="7" borderId="1" xfId="0" applyNumberFormat="1" applyFont="1" applyFill="1" applyBorder="1" applyAlignment="1" applyProtection="1">
      <alignment horizontal="center" vertical="center"/>
    </xf>
    <xf numFmtId="166" fontId="10" fillId="4" borderId="14" xfId="0" applyNumberFormat="1" applyFont="1" applyFill="1" applyBorder="1" applyAlignment="1" applyProtection="1">
      <alignment horizontal="right"/>
    </xf>
    <xf numFmtId="168" fontId="10" fillId="4" borderId="1" xfId="0" applyNumberFormat="1" applyFont="1" applyFill="1" applyBorder="1" applyAlignment="1" applyProtection="1">
      <alignment horizontal="center" vertical="center"/>
    </xf>
    <xf numFmtId="166" fontId="10" fillId="8" borderId="14" xfId="0" applyNumberFormat="1" applyFont="1" applyFill="1" applyBorder="1" applyAlignment="1" applyProtection="1">
      <alignment horizontal="right"/>
    </xf>
    <xf numFmtId="168" fontId="10" fillId="8" borderId="2" xfId="0" applyNumberFormat="1" applyFont="1" applyFill="1" applyBorder="1" applyAlignment="1" applyProtection="1">
      <alignment horizontal="center" vertical="center"/>
    </xf>
    <xf numFmtId="0" fontId="10" fillId="0" borderId="0" xfId="0" applyFont="1" applyAlignment="1" applyProtection="1"/>
    <xf numFmtId="0" fontId="19" fillId="2" borderId="0" xfId="0" applyFont="1" applyFill="1" applyAlignment="1" applyProtection="1"/>
    <xf numFmtId="165" fontId="20" fillId="9" borderId="15" xfId="0" applyNumberFormat="1" applyFont="1" applyFill="1" applyBorder="1" applyAlignment="1" applyProtection="1">
      <alignment horizontal="left"/>
    </xf>
    <xf numFmtId="166" fontId="7" fillId="9" borderId="0" xfId="1" applyNumberFormat="1" applyFont="1" applyFill="1" applyBorder="1" applyAlignment="1" applyProtection="1">
      <alignment horizontal="center"/>
    </xf>
    <xf numFmtId="168" fontId="7" fillId="9" borderId="0" xfId="0" applyNumberFormat="1" applyFont="1" applyFill="1" applyBorder="1" applyAlignment="1" applyProtection="1">
      <alignment horizontal="center" vertical="center"/>
    </xf>
    <xf numFmtId="166" fontId="7" fillId="9" borderId="13" xfId="0" applyNumberFormat="1" applyFont="1" applyFill="1" applyBorder="1" applyAlignment="1" applyProtection="1">
      <alignment horizontal="center"/>
    </xf>
    <xf numFmtId="168" fontId="7" fillId="9" borderId="3" xfId="0" applyNumberFormat="1" applyFont="1" applyFill="1" applyBorder="1" applyAlignment="1" applyProtection="1">
      <alignment horizontal="center" vertical="center"/>
    </xf>
    <xf numFmtId="165" fontId="7" fillId="2" borderId="0" xfId="0" applyNumberFormat="1" applyFont="1" applyFill="1" applyAlignment="1" applyProtection="1"/>
    <xf numFmtId="167" fontId="7" fillId="2" borderId="0" xfId="0" applyNumberFormat="1" applyFont="1" applyFill="1" applyAlignment="1" applyProtection="1"/>
    <xf numFmtId="0" fontId="7" fillId="0" borderId="0" xfId="0" applyFont="1" applyAlignment="1" applyProtection="1"/>
    <xf numFmtId="165" fontId="10" fillId="9" borderId="4" xfId="0" applyNumberFormat="1" applyFont="1" applyFill="1" applyBorder="1" applyAlignment="1" applyProtection="1"/>
    <xf numFmtId="166" fontId="10" fillId="9" borderId="4" xfId="0" applyNumberFormat="1" applyFont="1" applyFill="1" applyBorder="1" applyAlignment="1" applyProtection="1">
      <alignment horizontal="center"/>
    </xf>
    <xf numFmtId="168" fontId="10" fillId="9" borderId="5" xfId="0" applyNumberFormat="1" applyFont="1" applyFill="1" applyBorder="1" applyAlignment="1" applyProtection="1">
      <alignment horizontal="center" vertical="center"/>
    </xf>
    <xf numFmtId="168" fontId="10" fillId="9" borderId="6" xfId="0" applyNumberFormat="1" applyFont="1" applyFill="1" applyBorder="1" applyAlignment="1" applyProtection="1">
      <alignment horizontal="center" vertical="center"/>
    </xf>
    <xf numFmtId="165" fontId="20" fillId="3" borderId="13" xfId="0" applyNumberFormat="1" applyFont="1" applyFill="1" applyBorder="1" applyAlignment="1" applyProtection="1">
      <alignment horizontal="left"/>
    </xf>
    <xf numFmtId="166" fontId="7" fillId="3" borderId="13" xfId="1" applyNumberFormat="1" applyFont="1" applyFill="1" applyBorder="1" applyAlignment="1" applyProtection="1">
      <alignment horizontal="center"/>
    </xf>
    <xf numFmtId="168" fontId="7" fillId="3" borderId="0" xfId="0" applyNumberFormat="1" applyFont="1" applyFill="1" applyBorder="1" applyAlignment="1" applyProtection="1">
      <alignment horizontal="center" vertical="center"/>
    </xf>
    <xf numFmtId="166" fontId="7" fillId="3" borderId="13" xfId="0" applyNumberFormat="1" applyFont="1" applyFill="1" applyBorder="1" applyAlignment="1" applyProtection="1">
      <alignment horizontal="center"/>
    </xf>
    <xf numFmtId="168" fontId="7" fillId="3" borderId="3" xfId="0" applyNumberFormat="1" applyFont="1" applyFill="1" applyBorder="1" applyAlignment="1" applyProtection="1">
      <alignment horizontal="center" vertical="center"/>
    </xf>
    <xf numFmtId="168" fontId="7" fillId="3" borderId="11" xfId="0" applyNumberFormat="1" applyFont="1" applyFill="1" applyBorder="1" applyAlignment="1" applyProtection="1">
      <alignment horizontal="center" vertical="center"/>
    </xf>
    <xf numFmtId="165" fontId="22" fillId="3" borderId="4" xfId="0" applyNumberFormat="1" applyFont="1" applyFill="1" applyBorder="1" applyAlignment="1" applyProtection="1">
      <alignment horizontal="left"/>
    </xf>
    <xf numFmtId="166" fontId="10" fillId="3" borderId="4" xfId="1" applyNumberFormat="1" applyFont="1" applyFill="1" applyBorder="1" applyAlignment="1" applyProtection="1">
      <alignment horizontal="center"/>
    </xf>
    <xf numFmtId="168" fontId="10" fillId="3" borderId="5" xfId="0" applyNumberFormat="1" applyFont="1" applyFill="1" applyBorder="1" applyAlignment="1" applyProtection="1">
      <alignment horizontal="center" vertical="center"/>
    </xf>
    <xf numFmtId="166" fontId="10" fillId="3" borderId="4" xfId="0" applyNumberFormat="1" applyFont="1" applyFill="1" applyBorder="1" applyAlignment="1" applyProtection="1">
      <alignment horizontal="center"/>
    </xf>
    <xf numFmtId="168" fontId="10" fillId="3" borderId="6" xfId="0" applyNumberFormat="1" applyFont="1" applyFill="1" applyBorder="1" applyAlignment="1" applyProtection="1">
      <alignment horizontal="center" vertical="center"/>
    </xf>
    <xf numFmtId="166" fontId="7" fillId="3" borderId="7" xfId="1" applyNumberFormat="1" applyFont="1" applyFill="1" applyBorder="1" applyAlignment="1" applyProtection="1">
      <alignment horizontal="center"/>
    </xf>
    <xf numFmtId="168" fontId="7" fillId="3" borderId="8" xfId="0" applyNumberFormat="1" applyFont="1" applyFill="1" applyBorder="1" applyAlignment="1" applyProtection="1">
      <alignment horizontal="center" vertical="center"/>
    </xf>
    <xf numFmtId="165" fontId="10" fillId="3" borderId="12" xfId="0" applyNumberFormat="1" applyFont="1" applyFill="1" applyBorder="1" applyAlignment="1" applyProtection="1"/>
    <xf numFmtId="166" fontId="10" fillId="3" borderId="8" xfId="1" applyNumberFormat="1" applyFont="1" applyFill="1" applyBorder="1" applyAlignment="1" applyProtection="1">
      <alignment horizontal="center"/>
    </xf>
    <xf numFmtId="168" fontId="10" fillId="3" borderId="8" xfId="1" applyNumberFormat="1" applyFont="1" applyFill="1" applyBorder="1" applyAlignment="1" applyProtection="1">
      <alignment horizontal="center" vertical="center"/>
    </xf>
    <xf numFmtId="168" fontId="10" fillId="3" borderId="11" xfId="1" applyNumberFormat="1" applyFont="1" applyFill="1" applyBorder="1" applyAlignment="1" applyProtection="1">
      <alignment horizontal="center" vertical="center"/>
    </xf>
    <xf numFmtId="165" fontId="20" fillId="6" borderId="9" xfId="0" applyNumberFormat="1" applyFont="1" applyFill="1" applyBorder="1" applyAlignment="1" applyProtection="1">
      <alignment horizontal="left"/>
    </xf>
    <xf numFmtId="166" fontId="7" fillId="6" borderId="1" xfId="1" applyNumberFormat="1" applyFont="1" applyFill="1" applyBorder="1" applyAlignment="1" applyProtection="1">
      <alignment horizontal="center"/>
    </xf>
    <xf numFmtId="168" fontId="7" fillId="6" borderId="0" xfId="0" applyNumberFormat="1" applyFont="1" applyFill="1" applyBorder="1" applyAlignment="1" applyProtection="1">
      <alignment horizontal="center" vertical="center"/>
    </xf>
    <xf numFmtId="166" fontId="7" fillId="6" borderId="14" xfId="0" applyNumberFormat="1" applyFont="1" applyFill="1" applyBorder="1" applyAlignment="1" applyProtection="1">
      <alignment horizontal="center"/>
    </xf>
    <xf numFmtId="168" fontId="7" fillId="6" borderId="2" xfId="0" applyNumberFormat="1" applyFont="1" applyFill="1" applyBorder="1" applyAlignment="1" applyProtection="1">
      <alignment horizontal="center" vertical="center"/>
    </xf>
    <xf numFmtId="166" fontId="7" fillId="2" borderId="0" xfId="0" applyNumberFormat="1" applyFont="1" applyFill="1" applyAlignment="1" applyProtection="1"/>
    <xf numFmtId="165" fontId="20" fillId="6" borderId="15" xfId="0" applyNumberFormat="1" applyFont="1" applyFill="1" applyBorder="1" applyAlignment="1" applyProtection="1">
      <alignment horizontal="left"/>
    </xf>
    <xf numFmtId="166" fontId="7" fillId="6" borderId="0" xfId="1" applyNumberFormat="1" applyFont="1" applyFill="1" applyBorder="1" applyAlignment="1" applyProtection="1">
      <alignment horizontal="center"/>
    </xf>
    <xf numFmtId="166" fontId="7" fillId="6" borderId="13" xfId="0" applyNumberFormat="1" applyFont="1" applyFill="1" applyBorder="1" applyAlignment="1" applyProtection="1">
      <alignment horizontal="center"/>
    </xf>
    <xf numFmtId="168" fontId="7" fillId="6" borderId="3" xfId="0" applyNumberFormat="1" applyFont="1" applyFill="1" applyBorder="1" applyAlignment="1" applyProtection="1">
      <alignment horizontal="center" vertical="center"/>
    </xf>
    <xf numFmtId="166" fontId="7" fillId="6" borderId="8" xfId="1" applyNumberFormat="1" applyFont="1" applyFill="1" applyBorder="1" applyAlignment="1" applyProtection="1">
      <alignment horizontal="center"/>
    </xf>
    <xf numFmtId="166" fontId="7" fillId="6" borderId="7" xfId="0" applyNumberFormat="1" applyFont="1" applyFill="1" applyBorder="1" applyAlignment="1" applyProtection="1">
      <alignment horizontal="center"/>
    </xf>
    <xf numFmtId="168" fontId="7" fillId="6" borderId="8" xfId="0" applyNumberFormat="1" applyFont="1" applyFill="1" applyBorder="1" applyAlignment="1" applyProtection="1">
      <alignment horizontal="center" vertical="center"/>
    </xf>
    <xf numFmtId="165" fontId="10" fillId="6" borderId="12" xfId="0" applyNumberFormat="1" applyFont="1" applyFill="1" applyBorder="1" applyAlignment="1" applyProtection="1"/>
    <xf numFmtId="166" fontId="10" fillId="6" borderId="5" xfId="1" applyNumberFormat="1" applyFont="1" applyFill="1" applyBorder="1" applyAlignment="1" applyProtection="1">
      <alignment horizontal="center"/>
    </xf>
    <xf numFmtId="168" fontId="10" fillId="6" borderId="5" xfId="1" applyNumberFormat="1" applyFont="1" applyFill="1" applyBorder="1" applyAlignment="1" applyProtection="1">
      <alignment horizontal="center" vertical="center"/>
    </xf>
    <xf numFmtId="166" fontId="10" fillId="6" borderId="4" xfId="1" applyNumberFormat="1" applyFont="1" applyFill="1" applyBorder="1" applyAlignment="1" applyProtection="1">
      <alignment horizontal="center"/>
    </xf>
    <xf numFmtId="168" fontId="10" fillId="6" borderId="6" xfId="1" applyNumberFormat="1" applyFont="1" applyFill="1" applyBorder="1" applyAlignment="1" applyProtection="1">
      <alignment horizontal="center" vertical="center"/>
    </xf>
    <xf numFmtId="165" fontId="20" fillId="10" borderId="15" xfId="0" applyNumberFormat="1" applyFont="1" applyFill="1" applyBorder="1" applyAlignment="1" applyProtection="1">
      <alignment horizontal="left"/>
    </xf>
    <xf numFmtId="166" fontId="7" fillId="10" borderId="1" xfId="1" applyNumberFormat="1" applyFont="1" applyFill="1" applyBorder="1" applyAlignment="1" applyProtection="1">
      <alignment horizontal="center"/>
    </xf>
    <xf numFmtId="168" fontId="7" fillId="10" borderId="0" xfId="0" applyNumberFormat="1" applyFont="1" applyFill="1" applyBorder="1" applyAlignment="1" applyProtection="1">
      <alignment horizontal="center" vertical="center"/>
    </xf>
    <xf numFmtId="166" fontId="7" fillId="10" borderId="14" xfId="0" applyNumberFormat="1" applyFont="1" applyFill="1" applyBorder="1" applyAlignment="1" applyProtection="1">
      <alignment horizontal="center"/>
    </xf>
    <xf numFmtId="168" fontId="7" fillId="10" borderId="2" xfId="0" applyNumberFormat="1" applyFont="1" applyFill="1" applyBorder="1" applyAlignment="1" applyProtection="1">
      <alignment horizontal="center" vertical="center"/>
    </xf>
    <xf numFmtId="166" fontId="7" fillId="10" borderId="0" xfId="1" applyNumberFormat="1" applyFont="1" applyFill="1" applyBorder="1" applyAlignment="1" applyProtection="1">
      <alignment horizontal="center"/>
    </xf>
    <xf numFmtId="166" fontId="7" fillId="10" borderId="13" xfId="0" applyNumberFormat="1" applyFont="1" applyFill="1" applyBorder="1" applyAlignment="1" applyProtection="1">
      <alignment horizontal="center"/>
    </xf>
    <xf numFmtId="168" fontId="7" fillId="10" borderId="3" xfId="0" applyNumberFormat="1" applyFont="1" applyFill="1" applyBorder="1" applyAlignment="1" applyProtection="1">
      <alignment horizontal="center" vertical="center"/>
    </xf>
    <xf numFmtId="169" fontId="10" fillId="10" borderId="4" xfId="0" applyNumberFormat="1" applyFont="1" applyFill="1" applyBorder="1" applyAlignment="1" applyProtection="1">
      <alignment horizontal="left" vertical="center"/>
    </xf>
    <xf numFmtId="166" fontId="10" fillId="10" borderId="5" xfId="0" applyNumberFormat="1" applyFont="1" applyFill="1" applyBorder="1" applyAlignment="1" applyProtection="1">
      <alignment horizontal="center"/>
    </xf>
    <xf numFmtId="168" fontId="10" fillId="10" borderId="5" xfId="0" applyNumberFormat="1" applyFont="1" applyFill="1" applyBorder="1" applyAlignment="1" applyProtection="1">
      <alignment horizontal="center" vertical="center"/>
    </xf>
    <xf numFmtId="168" fontId="10" fillId="10" borderId="6" xfId="0" applyNumberFormat="1" applyFont="1" applyFill="1" applyBorder="1" applyAlignment="1" applyProtection="1">
      <alignment horizontal="center" vertical="center"/>
    </xf>
    <xf numFmtId="0" fontId="23" fillId="2" borderId="0" xfId="0" applyFont="1" applyFill="1" applyAlignment="1" applyProtection="1"/>
    <xf numFmtId="165" fontId="10" fillId="2" borderId="0" xfId="0" applyNumberFormat="1" applyFont="1" applyFill="1" applyAlignment="1" applyProtection="1"/>
    <xf numFmtId="0" fontId="10" fillId="2" borderId="0" xfId="0" applyFont="1" applyFill="1" applyAlignment="1" applyProtection="1"/>
    <xf numFmtId="167" fontId="10" fillId="2" borderId="0" xfId="0" applyNumberFormat="1" applyFont="1" applyFill="1" applyAlignment="1" applyProtection="1"/>
    <xf numFmtId="165" fontId="20" fillId="10" borderId="10" xfId="0" applyNumberFormat="1" applyFont="1" applyFill="1" applyBorder="1" applyAlignment="1" applyProtection="1">
      <alignment horizontal="left"/>
    </xf>
    <xf numFmtId="166" fontId="7" fillId="10" borderId="8" xfId="1" applyNumberFormat="1" applyFont="1" applyFill="1" applyBorder="1" applyAlignment="1" applyProtection="1">
      <alignment horizontal="center"/>
    </xf>
    <xf numFmtId="166" fontId="7" fillId="10" borderId="7" xfId="0" applyNumberFormat="1" applyFont="1" applyFill="1" applyBorder="1" applyAlignment="1" applyProtection="1">
      <alignment horizontal="center"/>
    </xf>
    <xf numFmtId="168" fontId="7" fillId="10" borderId="8" xfId="0" applyNumberFormat="1" applyFont="1" applyFill="1" applyBorder="1" applyAlignment="1" applyProtection="1">
      <alignment horizontal="center" vertical="center"/>
    </xf>
    <xf numFmtId="165" fontId="10" fillId="10" borderId="4" xfId="0" applyNumberFormat="1" applyFont="1" applyFill="1" applyBorder="1" applyAlignment="1" applyProtection="1"/>
    <xf numFmtId="166" fontId="10" fillId="10" borderId="4" xfId="0" applyNumberFormat="1" applyFont="1" applyFill="1" applyBorder="1" applyAlignment="1" applyProtection="1">
      <alignment horizontal="center"/>
    </xf>
    <xf numFmtId="165" fontId="20" fillId="11" borderId="14" xfId="0" applyNumberFormat="1" applyFont="1" applyFill="1" applyBorder="1" applyAlignment="1" applyProtection="1">
      <alignment horizontal="left"/>
    </xf>
    <xf numFmtId="166" fontId="7" fillId="11" borderId="14" xfId="1" applyNumberFormat="1" applyFont="1" applyFill="1" applyBorder="1" applyAlignment="1" applyProtection="1">
      <alignment horizontal="center"/>
    </xf>
    <xf numFmtId="168" fontId="7" fillId="11" borderId="1" xfId="0" applyNumberFormat="1" applyFont="1" applyFill="1" applyBorder="1" applyAlignment="1" applyProtection="1">
      <alignment horizontal="center" vertical="center"/>
    </xf>
    <xf numFmtId="166" fontId="7" fillId="11" borderId="14" xfId="0" applyNumberFormat="1" applyFont="1" applyFill="1" applyBorder="1" applyAlignment="1" applyProtection="1">
      <alignment horizontal="center"/>
    </xf>
    <xf numFmtId="168" fontId="7" fillId="11" borderId="3" xfId="0" applyNumberFormat="1" applyFont="1" applyFill="1" applyBorder="1" applyAlignment="1" applyProtection="1">
      <alignment horizontal="center" vertical="center"/>
    </xf>
    <xf numFmtId="165" fontId="20" fillId="11" borderId="13" xfId="0" applyNumberFormat="1" applyFont="1" applyFill="1" applyBorder="1" applyAlignment="1" applyProtection="1">
      <alignment horizontal="left"/>
    </xf>
    <xf numFmtId="166" fontId="7" fillId="11" borderId="13" xfId="1" applyNumberFormat="1" applyFont="1" applyFill="1" applyBorder="1" applyAlignment="1" applyProtection="1">
      <alignment horizontal="center"/>
    </xf>
    <xf numFmtId="168" fontId="7" fillId="11" borderId="0" xfId="0" applyNumberFormat="1" applyFont="1" applyFill="1" applyBorder="1" applyAlignment="1" applyProtection="1">
      <alignment horizontal="center" vertical="center"/>
    </xf>
    <xf numFmtId="166" fontId="7" fillId="11" borderId="13" xfId="0" applyNumberFormat="1" applyFont="1" applyFill="1" applyBorder="1" applyAlignment="1" applyProtection="1">
      <alignment horizontal="center"/>
    </xf>
    <xf numFmtId="165" fontId="10" fillId="11" borderId="4" xfId="0" applyNumberFormat="1" applyFont="1" applyFill="1" applyBorder="1" applyAlignment="1" applyProtection="1"/>
    <xf numFmtId="166" fontId="10" fillId="11" borderId="4" xfId="0" applyNumberFormat="1" applyFont="1" applyFill="1" applyBorder="1" applyAlignment="1" applyProtection="1">
      <alignment horizontal="center"/>
    </xf>
    <xf numFmtId="168" fontId="10" fillId="11" borderId="5" xfId="0" applyNumberFormat="1" applyFont="1" applyFill="1" applyBorder="1" applyAlignment="1" applyProtection="1">
      <alignment horizontal="center" vertical="center"/>
    </xf>
    <xf numFmtId="168" fontId="10" fillId="11" borderId="6" xfId="0" applyNumberFormat="1" applyFont="1" applyFill="1" applyBorder="1" applyAlignment="1" applyProtection="1">
      <alignment horizontal="center" vertical="center"/>
    </xf>
    <xf numFmtId="0" fontId="24" fillId="2" borderId="0" xfId="0" applyFont="1" applyFill="1" applyAlignment="1" applyProtection="1"/>
    <xf numFmtId="167" fontId="12" fillId="2" borderId="0" xfId="0" applyNumberFormat="1" applyFont="1" applyFill="1" applyAlignment="1" applyProtection="1"/>
    <xf numFmtId="0" fontId="0" fillId="0" borderId="0" xfId="0" applyAlignment="1" applyProtection="1"/>
    <xf numFmtId="0" fontId="0" fillId="0" borderId="0" xfId="0" applyFont="1" applyAlignment="1" applyProtection="1"/>
    <xf numFmtId="0" fontId="7" fillId="2" borderId="0" xfId="0" applyFont="1" applyFill="1" applyAlignment="1" applyProtection="1">
      <alignment vertical="center"/>
    </xf>
    <xf numFmtId="0" fontId="10" fillId="3" borderId="14" xfId="0" applyFont="1" applyFill="1" applyBorder="1" applyAlignment="1" applyProtection="1">
      <alignment horizontal="center" vertical="center"/>
    </xf>
    <xf numFmtId="0" fontId="10" fillId="3" borderId="5" xfId="0" applyFont="1" applyFill="1" applyBorder="1" applyAlignment="1" applyProtection="1">
      <alignment horizontal="center" vertical="center"/>
    </xf>
    <xf numFmtId="0" fontId="10" fillId="3" borderId="12" xfId="0" applyFont="1" applyFill="1" applyBorder="1" applyAlignment="1" applyProtection="1">
      <alignment horizontal="center" vertical="center"/>
    </xf>
    <xf numFmtId="0" fontId="7" fillId="3" borderId="14" xfId="0" applyFont="1" applyFill="1" applyBorder="1" applyAlignment="1" applyProtection="1"/>
    <xf numFmtId="166" fontId="7" fillId="2" borderId="14" xfId="0" applyNumberFormat="1" applyFont="1" applyFill="1" applyBorder="1" applyAlignment="1" applyProtection="1"/>
    <xf numFmtId="168" fontId="7" fillId="2" borderId="14" xfId="0" applyNumberFormat="1" applyFont="1" applyFill="1" applyBorder="1" applyAlignment="1" applyProtection="1"/>
    <xf numFmtId="166" fontId="7" fillId="2" borderId="2" xfId="0" applyNumberFormat="1" applyFont="1" applyFill="1" applyBorder="1" applyAlignment="1" applyProtection="1"/>
    <xf numFmtId="166" fontId="7" fillId="2" borderId="0" xfId="0" applyNumberFormat="1" applyFont="1" applyFill="1" applyBorder="1" applyAlignment="1" applyProtection="1"/>
    <xf numFmtId="166" fontId="7" fillId="2" borderId="15" xfId="0" applyNumberFormat="1" applyFont="1" applyFill="1" applyBorder="1" applyAlignment="1" applyProtection="1"/>
    <xf numFmtId="166" fontId="7" fillId="2" borderId="9" xfId="0" applyNumberFormat="1" applyFont="1" applyFill="1" applyBorder="1" applyAlignment="1" applyProtection="1"/>
    <xf numFmtId="0" fontId="7" fillId="3" borderId="13" xfId="0" applyFont="1" applyFill="1" applyBorder="1" applyAlignment="1" applyProtection="1"/>
    <xf numFmtId="166" fontId="7" fillId="2" borderId="13" xfId="0" applyNumberFormat="1" applyFont="1" applyFill="1" applyBorder="1" applyAlignment="1" applyProtection="1"/>
    <xf numFmtId="168" fontId="7" fillId="2" borderId="13" xfId="0" applyNumberFormat="1" applyFont="1" applyFill="1" applyBorder="1" applyAlignment="1" applyProtection="1"/>
    <xf numFmtId="166" fontId="7" fillId="2" borderId="3" xfId="0" applyNumberFormat="1" applyFont="1" applyFill="1" applyBorder="1" applyAlignment="1" applyProtection="1"/>
    <xf numFmtId="0" fontId="7" fillId="3" borderId="7" xfId="0" applyFont="1" applyFill="1" applyBorder="1" applyAlignment="1" applyProtection="1"/>
    <xf numFmtId="168" fontId="7" fillId="2" borderId="7" xfId="0" applyNumberFormat="1" applyFont="1" applyFill="1" applyBorder="1" applyAlignment="1" applyProtection="1"/>
    <xf numFmtId="166" fontId="7" fillId="2" borderId="11" xfId="0" applyNumberFormat="1" applyFont="1" applyFill="1" applyBorder="1" applyAlignment="1" applyProtection="1"/>
    <xf numFmtId="0" fontId="10" fillId="3" borderId="4" xfId="0" applyFont="1" applyFill="1" applyBorder="1" applyAlignment="1" applyProtection="1"/>
    <xf numFmtId="166" fontId="10" fillId="3" borderId="4" xfId="0" applyNumberFormat="1" applyFont="1" applyFill="1" applyBorder="1" applyAlignment="1" applyProtection="1"/>
    <xf numFmtId="166" fontId="10" fillId="3" borderId="5" xfId="0" applyNumberFormat="1" applyFont="1" applyFill="1" applyBorder="1" applyAlignment="1" applyProtection="1"/>
    <xf numFmtId="166" fontId="10" fillId="3" borderId="12" xfId="0" applyNumberFormat="1" applyFont="1" applyFill="1" applyBorder="1" applyAlignment="1" applyProtection="1"/>
    <xf numFmtId="0" fontId="0" fillId="2" borderId="0" xfId="0" applyFill="1" applyAlignment="1" applyProtection="1"/>
    <xf numFmtId="0" fontId="0" fillId="2" borderId="0" xfId="0" applyFill="1" applyAlignment="1" applyProtection="1">
      <alignment vertical="center"/>
    </xf>
    <xf numFmtId="165" fontId="0" fillId="2" borderId="0" xfId="0" applyNumberFormat="1" applyFill="1" applyAlignment="1" applyProtection="1">
      <alignment vertical="center"/>
    </xf>
    <xf numFmtId="166" fontId="25" fillId="2" borderId="0" xfId="0" applyNumberFormat="1" applyFont="1" applyFill="1" applyAlignment="1" applyProtection="1">
      <alignment horizontal="center" vertical="center"/>
    </xf>
    <xf numFmtId="172" fontId="0" fillId="2" borderId="0" xfId="0" applyNumberFormat="1" applyFill="1" applyAlignment="1" applyProtection="1">
      <alignment horizontal="center" vertical="center"/>
    </xf>
    <xf numFmtId="1" fontId="0" fillId="2" borderId="0" xfId="0" applyNumberFormat="1" applyFill="1" applyAlignment="1" applyProtection="1"/>
    <xf numFmtId="2" fontId="0" fillId="2" borderId="0" xfId="0" applyNumberFormat="1" applyFill="1" applyAlignment="1" applyProtection="1"/>
    <xf numFmtId="0" fontId="26" fillId="6" borderId="14" xfId="0" applyFont="1" applyFill="1" applyBorder="1" applyAlignment="1" applyProtection="1">
      <alignment horizontal="left"/>
    </xf>
    <xf numFmtId="165" fontId="26" fillId="4" borderId="14" xfId="0" applyNumberFormat="1" applyFont="1" applyFill="1" applyBorder="1" applyAlignment="1" applyProtection="1">
      <alignment horizontal="center" vertical="center"/>
    </xf>
    <xf numFmtId="165" fontId="26" fillId="8" borderId="14" xfId="0" applyNumberFormat="1" applyFont="1" applyFill="1" applyBorder="1" applyAlignment="1" applyProtection="1">
      <alignment horizontal="center" vertical="center"/>
    </xf>
    <xf numFmtId="165" fontId="26" fillId="12" borderId="14" xfId="0" applyNumberFormat="1" applyFont="1" applyFill="1" applyBorder="1" applyAlignment="1" applyProtection="1">
      <alignment horizontal="right" vertical="center"/>
    </xf>
    <xf numFmtId="166" fontId="27" fillId="12" borderId="14" xfId="0" applyNumberFormat="1" applyFont="1" applyFill="1" applyBorder="1" applyAlignment="1" applyProtection="1">
      <alignment horizontal="center" vertical="center"/>
    </xf>
    <xf numFmtId="172" fontId="26" fillId="12" borderId="4" xfId="0" applyNumberFormat="1" applyFont="1" applyFill="1" applyBorder="1" applyAlignment="1" applyProtection="1">
      <alignment horizontal="center" vertical="center" wrapText="1"/>
    </xf>
    <xf numFmtId="1" fontId="26" fillId="12" borderId="4" xfId="0" applyNumberFormat="1" applyFont="1" applyFill="1" applyBorder="1" applyAlignment="1" applyProtection="1"/>
    <xf numFmtId="1" fontId="26" fillId="12" borderId="6" xfId="0" applyNumberFormat="1" applyFont="1" applyFill="1" applyBorder="1" applyAlignment="1" applyProtection="1"/>
    <xf numFmtId="0" fontId="6" fillId="6" borderId="14" xfId="0" applyFont="1" applyFill="1" applyBorder="1" applyAlignment="1" applyProtection="1">
      <alignment horizontal="left"/>
    </xf>
    <xf numFmtId="165" fontId="0" fillId="4" borderId="9" xfId="0" applyNumberFormat="1" applyFont="1" applyFill="1" applyBorder="1" applyAlignment="1" applyProtection="1">
      <alignment vertical="center"/>
    </xf>
    <xf numFmtId="165" fontId="6" fillId="8" borderId="14" xfId="0" applyNumberFormat="1" applyFont="1" applyFill="1" applyBorder="1" applyAlignment="1" applyProtection="1">
      <alignment vertical="center"/>
    </xf>
    <xf numFmtId="165" fontId="0" fillId="12" borderId="9" xfId="0" applyNumberFormat="1" applyFont="1" applyFill="1" applyBorder="1" applyAlignment="1" applyProtection="1">
      <alignment vertical="center"/>
    </xf>
    <xf numFmtId="165" fontId="0" fillId="4" borderId="14" xfId="0" applyNumberFormat="1" applyFont="1" applyFill="1" applyBorder="1" applyAlignment="1" applyProtection="1">
      <alignment vertical="center"/>
    </xf>
    <xf numFmtId="165" fontId="0" fillId="8" borderId="14" xfId="0" applyNumberFormat="1" applyFont="1" applyFill="1" applyBorder="1" applyAlignment="1" applyProtection="1">
      <alignment vertical="center"/>
    </xf>
    <xf numFmtId="165" fontId="0" fillId="12" borderId="14" xfId="0" applyNumberFormat="1" applyFont="1" applyFill="1" applyBorder="1" applyAlignment="1" applyProtection="1">
      <alignment vertical="center"/>
    </xf>
    <xf numFmtId="172" fontId="0" fillId="12" borderId="15" xfId="0" applyNumberFormat="1" applyFont="1" applyFill="1" applyBorder="1" applyAlignment="1" applyProtection="1">
      <alignment horizontal="center" vertical="center"/>
    </xf>
    <xf numFmtId="0" fontId="6" fillId="6" borderId="13" xfId="0" applyFont="1" applyFill="1" applyBorder="1" applyAlignment="1" applyProtection="1">
      <alignment horizontal="left"/>
    </xf>
    <xf numFmtId="165" fontId="0" fillId="4" borderId="15" xfId="0" applyNumberFormat="1" applyFont="1" applyFill="1" applyBorder="1" applyAlignment="1" applyProtection="1">
      <alignment vertical="center"/>
    </xf>
    <xf numFmtId="165" fontId="0" fillId="8" borderId="15" xfId="0" applyNumberFormat="1" applyFont="1" applyFill="1" applyBorder="1" applyAlignment="1" applyProtection="1">
      <alignment vertical="center"/>
    </xf>
    <xf numFmtId="165" fontId="0" fillId="12" borderId="15" xfId="0" applyNumberFormat="1" applyFont="1" applyFill="1" applyBorder="1" applyAlignment="1" applyProtection="1">
      <alignment vertical="center"/>
    </xf>
    <xf numFmtId="165" fontId="0" fillId="4" borderId="13" xfId="0" applyNumberFormat="1" applyFont="1" applyFill="1" applyBorder="1" applyAlignment="1" applyProtection="1">
      <alignment vertical="center"/>
    </xf>
    <xf numFmtId="165" fontId="0" fillId="8" borderId="13" xfId="0" applyNumberFormat="1" applyFont="1" applyFill="1" applyBorder="1" applyAlignment="1" applyProtection="1">
      <alignment vertical="center"/>
    </xf>
    <xf numFmtId="165" fontId="0" fillId="12" borderId="13" xfId="0" applyNumberFormat="1" applyFont="1" applyFill="1" applyBorder="1" applyAlignment="1" applyProtection="1">
      <alignment vertical="center"/>
    </xf>
    <xf numFmtId="2" fontId="0" fillId="2" borderId="0" xfId="0" applyNumberFormat="1" applyFill="1" applyBorder="1" applyAlignment="1" applyProtection="1"/>
    <xf numFmtId="2" fontId="0" fillId="2" borderId="17" xfId="0" applyNumberFormat="1" applyFill="1" applyBorder="1" applyAlignment="1" applyProtection="1"/>
    <xf numFmtId="166" fontId="28" fillId="13" borderId="4" xfId="0" applyNumberFormat="1" applyFont="1" applyFill="1" applyBorder="1" applyAlignment="1" applyProtection="1">
      <alignment horizontal="left" vertical="center"/>
    </xf>
    <xf numFmtId="166" fontId="29" fillId="4" borderId="4" xfId="0" applyNumberFormat="1" applyFont="1" applyFill="1" applyBorder="1" applyAlignment="1" applyProtection="1">
      <alignment horizontal="right" vertical="center"/>
    </xf>
    <xf numFmtId="166" fontId="29" fillId="8" borderId="4" xfId="0" applyNumberFormat="1" applyFont="1" applyFill="1" applyBorder="1" applyAlignment="1" applyProtection="1">
      <alignment horizontal="right" vertical="center"/>
    </xf>
    <xf numFmtId="166" fontId="29" fillId="12" borderId="4" xfId="0" applyNumberFormat="1" applyFont="1" applyFill="1" applyBorder="1" applyAlignment="1" applyProtection="1">
      <alignment horizontal="right" vertical="center"/>
    </xf>
    <xf numFmtId="172" fontId="2" fillId="12" borderId="12" xfId="0" applyNumberFormat="1" applyFont="1" applyFill="1" applyBorder="1" applyAlignment="1" applyProtection="1">
      <alignment horizontal="center" vertical="center"/>
    </xf>
    <xf numFmtId="0" fontId="6" fillId="2" borderId="0" xfId="0" applyFont="1" applyFill="1" applyAlignment="1" applyProtection="1">
      <alignment horizontal="left"/>
    </xf>
    <xf numFmtId="0" fontId="26" fillId="14" borderId="9" xfId="0" applyFont="1" applyFill="1" applyBorder="1" applyAlignment="1" applyProtection="1">
      <alignment horizontal="left"/>
    </xf>
    <xf numFmtId="0" fontId="26" fillId="14" borderId="16" xfId="0" applyFont="1" applyFill="1" applyBorder="1" applyAlignment="1" applyProtection="1">
      <alignment horizontal="left"/>
    </xf>
    <xf numFmtId="0" fontId="26" fillId="14" borderId="18" xfId="0" applyFont="1" applyFill="1" applyBorder="1" applyAlignment="1" applyProtection="1">
      <alignment horizontal="left"/>
    </xf>
    <xf numFmtId="0" fontId="6" fillId="15" borderId="9" xfId="0" applyFont="1" applyFill="1" applyBorder="1" applyAlignment="1" applyProtection="1">
      <alignment horizontal="left"/>
    </xf>
    <xf numFmtId="0" fontId="6" fillId="15" borderId="3" xfId="0" applyFont="1" applyFill="1" applyBorder="1" applyAlignment="1" applyProtection="1">
      <alignment horizontal="left"/>
    </xf>
    <xf numFmtId="0" fontId="6" fillId="4" borderId="3" xfId="0" applyFont="1" applyFill="1" applyBorder="1" applyAlignment="1" applyProtection="1">
      <alignment horizontal="left"/>
    </xf>
    <xf numFmtId="0" fontId="6" fillId="16" borderId="19" xfId="0" applyFont="1" applyFill="1" applyBorder="1" applyAlignment="1" applyProtection="1"/>
    <xf numFmtId="0" fontId="6" fillId="15" borderId="15" xfId="0" applyFont="1" applyFill="1" applyBorder="1" applyAlignment="1" applyProtection="1">
      <alignment horizontal="left"/>
    </xf>
    <xf numFmtId="0" fontId="6" fillId="16" borderId="15" xfId="0" applyFont="1" applyFill="1" applyBorder="1" applyAlignment="1" applyProtection="1"/>
    <xf numFmtId="0" fontId="6" fillId="16" borderId="10" xfId="0" applyFont="1" applyFill="1" applyBorder="1" applyAlignment="1" applyProtection="1"/>
    <xf numFmtId="0" fontId="6" fillId="6" borderId="15" xfId="0" applyFont="1" applyFill="1" applyBorder="1" applyAlignment="1" applyProtection="1">
      <alignment horizontal="left"/>
    </xf>
    <xf numFmtId="0" fontId="6" fillId="6" borderId="3" xfId="0" applyFont="1" applyFill="1" applyBorder="1" applyAlignment="1" applyProtection="1">
      <alignment horizontal="left"/>
    </xf>
    <xf numFmtId="0" fontId="6" fillId="10" borderId="15" xfId="0" applyFont="1" applyFill="1" applyBorder="1" applyAlignment="1" applyProtection="1">
      <alignment horizontal="left"/>
    </xf>
    <xf numFmtId="0" fontId="6" fillId="10" borderId="3" xfId="0" applyFont="1" applyFill="1" applyBorder="1" applyAlignment="1" applyProtection="1">
      <alignment horizontal="left"/>
    </xf>
    <xf numFmtId="0" fontId="6" fillId="3" borderId="15" xfId="0" applyFont="1" applyFill="1" applyBorder="1" applyAlignment="1" applyProtection="1">
      <alignment horizontal="left"/>
    </xf>
    <xf numFmtId="0" fontId="6" fillId="3" borderId="3" xfId="0" applyFont="1" applyFill="1" applyBorder="1" applyAlignment="1" applyProtection="1">
      <alignment horizontal="left"/>
    </xf>
    <xf numFmtId="0" fontId="6" fillId="4" borderId="11" xfId="0" applyFont="1" applyFill="1" applyBorder="1" applyAlignment="1" applyProtection="1">
      <alignment horizontal="left"/>
    </xf>
    <xf numFmtId="0" fontId="30" fillId="10" borderId="3" xfId="0" applyFont="1" applyFill="1" applyBorder="1" applyAlignment="1" applyProtection="1">
      <alignment horizontal="left"/>
    </xf>
    <xf numFmtId="0" fontId="6" fillId="6" borderId="10" xfId="0" applyFont="1" applyFill="1" applyBorder="1" applyAlignment="1" applyProtection="1">
      <alignment horizontal="left"/>
    </xf>
    <xf numFmtId="0" fontId="6" fillId="6" borderId="11" xfId="0" applyFont="1" applyFill="1" applyBorder="1" applyAlignment="1" applyProtection="1">
      <alignment horizontal="left"/>
    </xf>
    <xf numFmtId="0" fontId="0" fillId="0" borderId="0" xfId="0" pivotButton="1"/>
    <xf numFmtId="164" fontId="0" fillId="0" borderId="0" xfId="0" applyNumberFormat="1"/>
    <xf numFmtId="0" fontId="10" fillId="3" borderId="9" xfId="0" applyFont="1" applyFill="1" applyBorder="1" applyAlignment="1" applyProtection="1">
      <alignment horizontal="center" vertical="center"/>
    </xf>
    <xf numFmtId="14" fontId="6" fillId="3" borderId="1" xfId="0" applyNumberFormat="1" applyFont="1" applyFill="1" applyBorder="1" applyAlignment="1" applyProtection="1">
      <alignment horizontal="center" vertical="center"/>
    </xf>
    <xf numFmtId="14" fontId="9" fillId="5" borderId="7" xfId="0" applyNumberFormat="1" applyFont="1" applyFill="1" applyBorder="1" applyAlignment="1" applyProtection="1">
      <alignment horizontal="center" vertical="center"/>
    </xf>
    <xf numFmtId="0" fontId="9" fillId="5" borderId="8" xfId="0" applyFont="1" applyFill="1" applyBorder="1" applyAlignment="1" applyProtection="1">
      <alignment horizontal="center" vertical="center"/>
    </xf>
    <xf numFmtId="164" fontId="9" fillId="5" borderId="8" xfId="0" applyNumberFormat="1" applyFont="1" applyFill="1" applyBorder="1" applyAlignment="1" applyProtection="1">
      <alignment horizontal="right" vertical="center"/>
    </xf>
    <xf numFmtId="169" fontId="14" fillId="7" borderId="4" xfId="0" applyNumberFormat="1" applyFont="1" applyFill="1" applyBorder="1" applyAlignment="1" applyProtection="1">
      <alignment horizontal="center" vertical="center"/>
    </xf>
    <xf numFmtId="166" fontId="14" fillId="7" borderId="4" xfId="0" applyNumberFormat="1" applyFont="1" applyFill="1" applyBorder="1" applyAlignment="1" applyProtection="1">
      <alignment horizontal="center" vertical="center"/>
    </xf>
    <xf numFmtId="166" fontId="14" fillId="4" borderId="12" xfId="0" applyNumberFormat="1" applyFont="1" applyFill="1" applyBorder="1" applyAlignment="1" applyProtection="1">
      <alignment horizontal="center" vertical="center"/>
    </xf>
    <xf numFmtId="166" fontId="15" fillId="8" borderId="12" xfId="0" applyNumberFormat="1" applyFont="1" applyFill="1" applyBorder="1" applyAlignment="1" applyProtection="1">
      <alignment horizontal="center" vertical="center"/>
    </xf>
    <xf numFmtId="0" fontId="10" fillId="4" borderId="14" xfId="0" applyFont="1" applyFill="1" applyBorder="1" applyAlignment="1" applyProtection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</xf>
    <xf numFmtId="0" fontId="10" fillId="8" borderId="9" xfId="0" applyFont="1" applyFill="1" applyBorder="1" applyAlignment="1" applyProtection="1">
      <alignment horizontal="center" vertical="center"/>
    </xf>
    <xf numFmtId="0" fontId="10" fillId="7" borderId="4" xfId="0" applyFont="1" applyFill="1" applyBorder="1" applyAlignment="1" applyProtection="1">
      <alignment horizontal="center" vertical="center" textRotation="90" wrapText="1"/>
    </xf>
    <xf numFmtId="0" fontId="10" fillId="7" borderId="12" xfId="0" applyFont="1" applyFill="1" applyBorder="1" applyAlignment="1" applyProtection="1">
      <alignment horizontal="center" vertical="center" textRotation="90" wrapText="1"/>
    </xf>
    <xf numFmtId="166" fontId="10" fillId="3" borderId="12" xfId="0" applyNumberFormat="1" applyFont="1" applyFill="1" applyBorder="1" applyAlignment="1" applyProtection="1">
      <alignment horizontal="center"/>
    </xf>
    <xf numFmtId="166" fontId="10" fillId="3" borderId="7" xfId="0" applyNumberFormat="1" applyFont="1" applyFill="1" applyBorder="1" applyAlignment="1" applyProtection="1">
      <alignment horizontal="center"/>
    </xf>
  </cellXfs>
  <cellStyles count="21">
    <cellStyle name="Campo de la tabla dinámica" xfId="2" xr:uid="{00000000-0005-0000-0000-000006000000}"/>
    <cellStyle name="Categoría de la tabla dinámica" xfId="3" xr:uid="{00000000-0005-0000-0000-000007000000}"/>
    <cellStyle name="Esquina de la tabla dinámica" xfId="4" xr:uid="{00000000-0005-0000-0000-000008000000}"/>
    <cellStyle name="Hyperlink 1" xfId="5" xr:uid="{00000000-0005-0000-0000-000009000000}"/>
    <cellStyle name="Moneda" xfId="1" builtinId="4"/>
    <cellStyle name="Normal" xfId="0" builtinId="0"/>
    <cellStyle name="Resultado de la tabla dinámica" xfId="6" xr:uid="{00000000-0005-0000-0000-00000A000000}"/>
    <cellStyle name="Sin título1" xfId="7" xr:uid="{00000000-0005-0000-0000-00000B000000}"/>
    <cellStyle name="Sin título10" xfId="8" xr:uid="{00000000-0005-0000-0000-00000C000000}"/>
    <cellStyle name="Sin título11" xfId="9" xr:uid="{00000000-0005-0000-0000-00000D000000}"/>
    <cellStyle name="Sin título12" xfId="10" xr:uid="{00000000-0005-0000-0000-00000E000000}"/>
    <cellStyle name="Sin título2" xfId="11" xr:uid="{00000000-0005-0000-0000-00000F000000}"/>
    <cellStyle name="Sin título3" xfId="12" xr:uid="{00000000-0005-0000-0000-000010000000}"/>
    <cellStyle name="Sin título4" xfId="13" xr:uid="{00000000-0005-0000-0000-000011000000}"/>
    <cellStyle name="Sin título5" xfId="14" xr:uid="{00000000-0005-0000-0000-000012000000}"/>
    <cellStyle name="Sin título6" xfId="15" xr:uid="{00000000-0005-0000-0000-000013000000}"/>
    <cellStyle name="Sin título7" xfId="16" xr:uid="{00000000-0005-0000-0000-000014000000}"/>
    <cellStyle name="Sin título8" xfId="17" xr:uid="{00000000-0005-0000-0000-000015000000}"/>
    <cellStyle name="Sin título9" xfId="18" xr:uid="{00000000-0005-0000-0000-000016000000}"/>
    <cellStyle name="Título de la tabla dinámica" xfId="19" xr:uid="{00000000-0005-0000-0000-000017000000}"/>
    <cellStyle name="Valor de la tabla dinámica" xfId="20" xr:uid="{00000000-0005-0000-0000-000018000000}"/>
  </cellStyles>
  <dxfs count="4">
    <dxf>
      <font>
        <color rgb="FFFF0000"/>
      </font>
    </dxf>
    <dxf>
      <font>
        <color rgb="FF069A2E"/>
        <name val="Arial"/>
        <family val="2"/>
        <charset val="1"/>
      </font>
    </dxf>
    <dxf>
      <font>
        <color rgb="FFFF0000"/>
        <name val="Arial"/>
        <family val="2"/>
        <charset val="1"/>
      </font>
    </dxf>
    <dxf>
      <font>
        <color rgb="FF3465A4"/>
        <name val="Arial"/>
        <family val="2"/>
        <charset val="1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800000"/>
      <rgbColor rgb="FF069A2E"/>
      <rgbColor rgb="FF000080"/>
      <rgbColor rgb="FF808000"/>
      <rgbColor rgb="FF800080"/>
      <rgbColor rgb="FF008080"/>
      <rgbColor rgb="FFBFBFBF"/>
      <rgbColor rgb="FF7F7F7F"/>
      <rgbColor rgb="FFE0E0E0"/>
      <rgbColor rgb="FF993366"/>
      <rgbColor rgb="FFFFF1C1"/>
      <rgbColor rgb="FFBBE6F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4FEBB"/>
      <rgbColor rgb="FFFFE383"/>
      <rgbColor rgb="FF78CCFD"/>
      <rgbColor rgb="FFF5BBFE"/>
      <rgbColor rgb="FFF8CFCE"/>
      <rgbColor rgb="FFFED3BA"/>
      <rgbColor rgb="FF3366FF"/>
      <rgbColor rgb="FF33CCCC"/>
      <rgbColor rgb="FF99CC00"/>
      <rgbColor rgb="FFFED4BB"/>
      <rgbColor rgb="FFFF9900"/>
      <rgbColor rgb="FFFF6600"/>
      <rgbColor rgb="FF3465A4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037.619754282408" createdVersion="3" refreshedVersion="8" recordCount="10727" xr:uid="{00000000-000A-0000-FFFF-FFFF01000000}">
  <cacheSource type="worksheet">
    <worksheetSource ref="A66:F10793" sheet="Movimientos"/>
  </cacheSource>
  <cacheFields count="7">
    <cacheField name="FECHA" numFmtId="14">
      <sharedItems containsSemiMixedTypes="0" containsNonDate="0" containsDate="1" containsString="0" minDate="2025-01-01T00:00:00" maxDate="2026-01-16T00:00:00" count="362">
        <d v="2025-01-01T00:00:00"/>
        <d v="2025-01-02T00:00:00"/>
        <d v="2025-01-03T00:00:00"/>
        <d v="2025-01-04T00:00:00"/>
        <d v="2025-01-07T00:00:00"/>
        <d v="2025-01-05T00:00:00"/>
        <d v="2025-01-06T00:00:00"/>
        <d v="2025-01-08T00:00:00"/>
        <d v="2025-01-09T00:00:00"/>
        <d v="2025-01-10T00:00:00"/>
        <d v="2025-01-12T00:00:00"/>
        <d v="2025-01-11T00:00:00"/>
        <d v="2025-01-13T00:00:00"/>
        <d v="2025-01-14T00:00:00"/>
        <d v="2025-01-15T00:00:00"/>
        <d v="2025-01-16T00:00:00"/>
        <d v="2025-01-17T00:00:00"/>
        <d v="2025-01-18T00:00:00"/>
        <d v="2025-01-20T00:00:00"/>
        <d v="2025-01-19T00:00:00"/>
        <d v="2025-01-21T00:00:00"/>
        <d v="2025-01-22T00:00:00"/>
        <d v="2025-01-23T00:00:00"/>
        <d v="2025-01-24T00:00:00"/>
        <d v="2025-01-25T00:00:00"/>
        <d v="2025-01-26T00:00:00"/>
        <d v="2025-01-27T00:00:00"/>
        <d v="2025-01-28T00:00:00"/>
        <d v="2025-01-29T00:00:00"/>
        <d v="2025-01-30T00:00:00"/>
        <d v="2025-01-31T00:00:00"/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7T00:00:00"/>
        <d v="2025-02-18T00:00:00"/>
        <d v="2025-02-19T00:00:00"/>
        <d v="2025-02-20T00:00:00"/>
        <d v="2025-02-21T00:00:00"/>
        <d v="2025-02-22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7T00:00:00"/>
        <d v="2025-03-18T00:00:00"/>
        <d v="2025-03-19T00:00:00"/>
        <d v="2025-03-20T00:00:00"/>
        <d v="2025-03-21T00:00:00"/>
        <d v="2025-03-22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0T00:00:00"/>
        <d v="2025-04-21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5T00:00:00"/>
        <d v="2025-05-06T00:00:00"/>
        <d v="2025-05-07T00:00:00"/>
        <d v="2025-05-08T00:00:00"/>
        <d v="2025-05-09T00:00:00"/>
        <d v="2025-05-10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3T00:00:00"/>
        <d v="2025-06-24T00:00:00"/>
        <d v="2025-06-25T00:00:00"/>
        <d v="2025-06-26T00:00:00"/>
        <d v="2025-06-27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8T00:00:00"/>
        <d v="2025-09-09T00:00:00"/>
        <d v="2025-09-10T00:00:00"/>
        <d v="2025-09-11T00:00:00"/>
        <d v="2025-09-12T00:00:00"/>
        <d v="2025-09-13T00:00:00"/>
        <d v="2025-09-15T00:00:00"/>
        <d v="2025-09-16T00:00:00"/>
        <d v="2025-09-17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5T00:00:00"/>
        <d v="2025-12-16T00:00:00"/>
        <d v="2025-12-17T00:00:00"/>
        <d v="2025-12-18T00:00:00"/>
        <d v="2025-12-19T00:00:00"/>
        <d v="2025-12-20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</sharedItems>
      <fieldGroup par="6" base="0">
        <rangePr groupBy="months" startDate="2025-01-01T00:00:00" endDate="2026-01-16T00:00:00"/>
        <groupItems count="14">
          <s v="&lt;01/01/2025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16/01/2026"/>
        </groupItems>
      </fieldGroup>
    </cacheField>
    <cacheField name="CUENTA" numFmtId="0">
      <sharedItems containsBlank="1" count="62">
        <s v="D-MYINVESTORPENSIÓN"/>
        <s v="D-TRADEREPUBLICFONDOS"/>
        <s v="N-PENSIÓN"/>
        <s v="N-TRADEFONDOS"/>
        <s v="D-TARJETA"/>
        <s v="N-TARJETA"/>
        <s v="D-EFECTIVO"/>
        <s v="N-EFECTIVO"/>
        <s v="D-ING"/>
        <s v="D-LETRAS"/>
        <s v="D-NARANJA"/>
        <s v="D-REVOLUT"/>
        <s v="D-SABADELL"/>
        <s v="D-SANTANDER"/>
        <s v="D-TRADEREPUBLIC"/>
        <s v="N-ING"/>
        <s v="N-LETRAS"/>
        <s v="N-NARANJA"/>
        <s v="N-REVOLUT"/>
        <s v="N-SABADELL"/>
        <s v="N-SANTANDER"/>
        <s v="N-TRADEREPUBLIC"/>
        <s v="D-Freedom24"/>
        <s v="D-INTERACTIVEBROKERS"/>
        <s v="D-COINBASE"/>
        <s v="D-BIT2ME"/>
        <s v="D-MYINVESTOR"/>
        <s v="D-MYINVESTORFONDO"/>
        <s v="D-DEGIRO"/>
        <s v="D-CRIPTAN"/>
        <s v="D-CIVISLEND"/>
        <s v="D-HOUSERS"/>
        <s v="N-TradeRepublicFondo"/>
        <s v="D-N26"/>
        <s v="D-N26FONDO"/>
        <s v="N-N26"/>
        <s v="D-BBVA"/>
        <s v="D-KRAKEN"/>
        <s v="D-INDEXACAPITALFONDO"/>
        <s v="D-IndexaCapitalPensión"/>
        <s v="D-MINTOS"/>
        <s v="D-HAUSERA"/>
        <s v="D-URBANITAE"/>
        <s v="N-MYINVESTORFONDO"/>
        <s v="N-MYINVESTOR"/>
        <s v="N-CRIPTAN"/>
        <s v="N-INDEXACAPITALPENSIÓN"/>
        <s v="N-INDEXACAPITALFONDO"/>
        <s v="N-Urbanitae"/>
        <s v="D-Deblock"/>
        <s v="N-Civislend"/>
        <s v="D-Bitvavo"/>
        <s v="D-Openbank"/>
        <s v="D-TradeRepublicPrivate"/>
        <s v="D-Binance"/>
        <s v="N-RevolutFondo"/>
        <s v="D-Bankinter"/>
        <s v="D-TradeRepublicFijo"/>
        <s v="D-TradeRepublicCrypto"/>
        <s v="D-Ledger"/>
        <s v="D-Metamask"/>
        <m/>
      </sharedItems>
    </cacheField>
    <cacheField name="CONCEPTO" numFmtId="0">
      <sharedItems containsBlank="1" count="33">
        <s v="Inicial"/>
        <s v="Intereses"/>
        <s v="Comida"/>
        <s v="Alquiler"/>
        <s v="Ocio"/>
        <s v="Comunidad"/>
        <s v="Otros Gastos"/>
        <s v="Traspaso"/>
        <s v="Comunes"/>
        <s v="Regalos"/>
        <s v="Deporte"/>
        <s v="Medicamentos"/>
        <s v="Variosvivienda"/>
        <s v="Varioscoche"/>
        <s v="Lotería"/>
        <s v="Rev/Itv"/>
        <s v="Combustible"/>
        <s v="Vestir"/>
        <s v="Móvil"/>
        <s v="Luz"/>
        <s v="Otros Ingresos"/>
        <s v="Peluquería"/>
        <s v="Nómina"/>
        <s v="Higiene"/>
        <s v="Seguros"/>
        <s v="Gas"/>
        <s v="Vacaciones"/>
        <s v="Agua"/>
        <s v="Impuestos"/>
        <s v="Otrosgastos"/>
        <s v="Otrosingresos"/>
        <s v="Revisión/Itv"/>
        <m/>
      </sharedItems>
    </cacheField>
    <cacheField name="IMPORTE" numFmtId="164">
      <sharedItems containsString="0" containsBlank="1" containsNumber="1" minValue="-20000" maxValue="122000"/>
    </cacheField>
    <cacheField name="DESCRIPCIÓN" numFmtId="0">
      <sharedItems containsBlank="1" containsMixedTypes="1" containsNumber="1" containsInteger="1" minValue="0" maxValue="0"/>
    </cacheField>
    <cacheField name="BENEFICIARIO" numFmtId="0">
      <sharedItems containsBlank="1" count="4">
        <s v="Dani"/>
        <s v="Norma"/>
        <s v="Común"/>
        <m/>
      </sharedItems>
    </cacheField>
    <cacheField name="Años" numFmtId="0" databaseField="0">
      <fieldGroup base="0">
        <rangePr groupBy="years" startDate="2025-01-01T00:00:00" endDate="2026-01-16T00:00:00"/>
        <groupItems count="4">
          <s v="&lt;01/01/2025"/>
          <s v="2025"/>
          <s v="2026"/>
          <s v="&gt;16/01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727">
  <r>
    <x v="0"/>
    <x v="0"/>
    <x v="0"/>
    <n v="13500"/>
    <s v="EXISTENCIA INICIAL"/>
    <x v="0"/>
  </r>
  <r>
    <x v="0"/>
    <x v="1"/>
    <x v="0"/>
    <n v="2100"/>
    <s v="EXISTENCIA INICIAL"/>
    <x v="0"/>
  </r>
  <r>
    <x v="0"/>
    <x v="2"/>
    <x v="0"/>
    <n v="8540"/>
    <s v="EXISTENCIA INICIAL"/>
    <x v="1"/>
  </r>
  <r>
    <x v="0"/>
    <x v="3"/>
    <x v="0"/>
    <n v="0"/>
    <s v="EXISTENCIA INICIAL"/>
    <x v="1"/>
  </r>
  <r>
    <x v="0"/>
    <x v="4"/>
    <x v="0"/>
    <n v="-697.85"/>
    <s v="EXISTENCIA INICIAL"/>
    <x v="0"/>
  </r>
  <r>
    <x v="0"/>
    <x v="5"/>
    <x v="0"/>
    <n v="-222.9"/>
    <s v="EXISTENCIA INICIAL"/>
    <x v="1"/>
  </r>
  <r>
    <x v="0"/>
    <x v="6"/>
    <x v="0"/>
    <n v="51.7"/>
    <s v="EXISTENCIA INICIAL"/>
    <x v="0"/>
  </r>
  <r>
    <x v="0"/>
    <x v="7"/>
    <x v="0"/>
    <n v="141.43"/>
    <s v="EXISTENCIA INICIAL"/>
    <x v="1"/>
  </r>
  <r>
    <x v="0"/>
    <x v="8"/>
    <x v="0"/>
    <n v="58.18"/>
    <s v="EXISTENCIA INICIAL"/>
    <x v="0"/>
  </r>
  <r>
    <x v="0"/>
    <x v="9"/>
    <x v="0"/>
    <n v="50000"/>
    <s v="EXISTENCIA INICIAL"/>
    <x v="0"/>
  </r>
  <r>
    <x v="0"/>
    <x v="10"/>
    <x v="0"/>
    <n v="22066.9"/>
    <s v="EXISTENCIA INICIAL"/>
    <x v="0"/>
  </r>
  <r>
    <x v="0"/>
    <x v="11"/>
    <x v="0"/>
    <n v="300"/>
    <s v="EXISTENCIA INICIAL"/>
    <x v="0"/>
  </r>
  <r>
    <x v="0"/>
    <x v="12"/>
    <x v="0"/>
    <n v="1908.93"/>
    <s v="EXISTENCIA INICIAL"/>
    <x v="0"/>
  </r>
  <r>
    <x v="0"/>
    <x v="13"/>
    <x v="0"/>
    <n v="903.8"/>
    <s v="EXISTENCIA INICIAL"/>
    <x v="0"/>
  </r>
  <r>
    <x v="0"/>
    <x v="14"/>
    <x v="0"/>
    <n v="31734.01"/>
    <s v="EXISTENCIA INICIAL"/>
    <x v="0"/>
  </r>
  <r>
    <x v="0"/>
    <x v="15"/>
    <x v="0"/>
    <n v="0"/>
    <s v="EXISTENCIA INICIAL"/>
    <x v="1"/>
  </r>
  <r>
    <x v="0"/>
    <x v="16"/>
    <x v="0"/>
    <n v="122000"/>
    <s v="EXISTENCIA INICIAL"/>
    <x v="1"/>
  </r>
  <r>
    <x v="0"/>
    <x v="17"/>
    <x v="0"/>
    <n v="2538.27"/>
    <s v="EXISTENCIA INICIAL"/>
    <x v="1"/>
  </r>
  <r>
    <x v="0"/>
    <x v="18"/>
    <x v="0"/>
    <n v="0"/>
    <s v="EXISTENCIA INICIAL"/>
    <x v="1"/>
  </r>
  <r>
    <x v="0"/>
    <x v="19"/>
    <x v="0"/>
    <n v="32737.62"/>
    <s v="EXISTENCIA INICIAL"/>
    <x v="1"/>
  </r>
  <r>
    <x v="0"/>
    <x v="20"/>
    <x v="0"/>
    <n v="1959.48"/>
    <s v="EXISTENCIA INICIAL"/>
    <x v="1"/>
  </r>
  <r>
    <x v="0"/>
    <x v="21"/>
    <x v="0"/>
    <n v="22834.75"/>
    <s v="EXISTENCIA INICIAL"/>
    <x v="1"/>
  </r>
  <r>
    <x v="0"/>
    <x v="10"/>
    <x v="1"/>
    <n v="1.74"/>
    <s v="INTERESES"/>
    <x v="0"/>
  </r>
  <r>
    <x v="0"/>
    <x v="14"/>
    <x v="1"/>
    <n v="68.17"/>
    <s v="INTERESES"/>
    <x v="0"/>
  </r>
  <r>
    <x v="0"/>
    <x v="4"/>
    <x v="2"/>
    <n v="-79.459999999999994"/>
    <s v="MERCADONA"/>
    <x v="2"/>
  </r>
  <r>
    <x v="1"/>
    <x v="13"/>
    <x v="3"/>
    <n v="800"/>
    <s v="ENERO"/>
    <x v="0"/>
  </r>
  <r>
    <x v="1"/>
    <x v="4"/>
    <x v="4"/>
    <n v="-1.2"/>
    <s v="ALMUERZO"/>
    <x v="0"/>
  </r>
  <r>
    <x v="1"/>
    <x v="13"/>
    <x v="5"/>
    <n v="-60"/>
    <s v="Comunidad"/>
    <x v="2"/>
  </r>
  <r>
    <x v="1"/>
    <x v="4"/>
    <x v="6"/>
    <n v="-64.960000000000008"/>
    <s v="CHORRADICAS VARIAS"/>
    <x v="0"/>
  </r>
  <r>
    <x v="1"/>
    <x v="13"/>
    <x v="7"/>
    <n v="-700"/>
    <s v="Traspaso"/>
    <x v="0"/>
  </r>
  <r>
    <x v="1"/>
    <x v="11"/>
    <x v="7"/>
    <n v="700"/>
    <s v="Traspaso"/>
    <x v="0"/>
  </r>
  <r>
    <x v="1"/>
    <x v="14"/>
    <x v="7"/>
    <n v="-1000"/>
    <s v="Traspaso"/>
    <x v="0"/>
  </r>
  <r>
    <x v="1"/>
    <x v="1"/>
    <x v="7"/>
    <n v="1000"/>
    <s v="Traspaso"/>
    <x v="0"/>
  </r>
  <r>
    <x v="2"/>
    <x v="4"/>
    <x v="4"/>
    <n v="-1.2"/>
    <s v="ALMUERZO"/>
    <x v="0"/>
  </r>
  <r>
    <x v="2"/>
    <x v="13"/>
    <x v="8"/>
    <n v="242.87"/>
    <s v="DICIEMBRE"/>
    <x v="0"/>
  </r>
  <r>
    <x v="0"/>
    <x v="17"/>
    <x v="1"/>
    <n v="1.68"/>
    <s v="Int"/>
    <x v="1"/>
  </r>
  <r>
    <x v="0"/>
    <x v="21"/>
    <x v="1"/>
    <n v="57.46"/>
    <s v="Int"/>
    <x v="1"/>
  </r>
  <r>
    <x v="0"/>
    <x v="7"/>
    <x v="9"/>
    <n v="50"/>
    <s v="Regal Tío"/>
    <x v="1"/>
  </r>
  <r>
    <x v="1"/>
    <x v="20"/>
    <x v="10"/>
    <n v="-60.9"/>
    <s v="Bono Gym Forus"/>
    <x v="1"/>
  </r>
  <r>
    <x v="1"/>
    <x v="20"/>
    <x v="11"/>
    <n v="-58.88"/>
    <s v="Mapfre Salud"/>
    <x v="1"/>
  </r>
  <r>
    <x v="1"/>
    <x v="17"/>
    <x v="4"/>
    <n v="-56.5"/>
    <s v="Carpeta guarda Puzzle"/>
    <x v="2"/>
  </r>
  <r>
    <x v="2"/>
    <x v="20"/>
    <x v="8"/>
    <n v="-242.87"/>
    <s v="Gastos diciembre"/>
    <x v="1"/>
  </r>
  <r>
    <x v="2"/>
    <x v="4"/>
    <x v="12"/>
    <n v="-40.97"/>
    <s v="SARTENES Y VARIOS"/>
    <x v="2"/>
  </r>
  <r>
    <x v="3"/>
    <x v="7"/>
    <x v="13"/>
    <n v="-1"/>
    <s v="Parking"/>
    <x v="2"/>
  </r>
  <r>
    <x v="3"/>
    <x v="20"/>
    <x v="4"/>
    <n v="-27.1"/>
    <s v="Ocio"/>
    <x v="2"/>
  </r>
  <r>
    <x v="3"/>
    <x v="20"/>
    <x v="14"/>
    <n v="-20"/>
    <s v="Décimo Niño"/>
    <x v="2"/>
  </r>
  <r>
    <x v="4"/>
    <x v="20"/>
    <x v="5"/>
    <n v="-30"/>
    <s v="Cdad 1er trim"/>
    <x v="2"/>
  </r>
  <r>
    <x v="3"/>
    <x v="12"/>
    <x v="7"/>
    <n v="-500"/>
    <s v="Traspaso"/>
    <x v="0"/>
  </r>
  <r>
    <x v="3"/>
    <x v="11"/>
    <x v="7"/>
    <n v="500"/>
    <s v="Traspaso"/>
    <x v="0"/>
  </r>
  <r>
    <x v="3"/>
    <x v="4"/>
    <x v="7"/>
    <n v="-200"/>
    <s v="Traspaso"/>
    <x v="0"/>
  </r>
  <r>
    <x v="3"/>
    <x v="11"/>
    <x v="7"/>
    <n v="200"/>
    <s v="Traspaso"/>
    <x v="0"/>
  </r>
  <r>
    <x v="5"/>
    <x v="10"/>
    <x v="7"/>
    <n v="-68.64"/>
    <s v="Traspaso"/>
    <x v="0"/>
  </r>
  <r>
    <x v="5"/>
    <x v="8"/>
    <x v="7"/>
    <n v="68.64"/>
    <s v="Traspaso"/>
    <x v="0"/>
  </r>
  <r>
    <x v="5"/>
    <x v="8"/>
    <x v="7"/>
    <n v="-126.82"/>
    <s v="Traspaso"/>
    <x v="0"/>
  </r>
  <r>
    <x v="5"/>
    <x v="14"/>
    <x v="7"/>
    <n v="126.82"/>
    <s v="Traspaso"/>
    <x v="0"/>
  </r>
  <r>
    <x v="6"/>
    <x v="4"/>
    <x v="9"/>
    <n v="-198.81"/>
    <s v="ONEPLUS WATCH"/>
    <x v="0"/>
  </r>
  <r>
    <x v="4"/>
    <x v="4"/>
    <x v="4"/>
    <n v="-1.3"/>
    <s v="ALMUERZO"/>
    <x v="0"/>
  </r>
  <r>
    <x v="4"/>
    <x v="13"/>
    <x v="5"/>
    <n v="-30"/>
    <s v="GARAJE"/>
    <x v="0"/>
  </r>
  <r>
    <x v="4"/>
    <x v="13"/>
    <x v="7"/>
    <n v="-300"/>
    <s v="Traspaso"/>
    <x v="0"/>
  </r>
  <r>
    <x v="4"/>
    <x v="11"/>
    <x v="7"/>
    <n v="300"/>
    <s v="Traspaso"/>
    <x v="0"/>
  </r>
  <r>
    <x v="4"/>
    <x v="7"/>
    <x v="14"/>
    <n v="20"/>
    <s v="Lot Niño"/>
    <x v="2"/>
  </r>
  <r>
    <x v="4"/>
    <x v="20"/>
    <x v="13"/>
    <n v="-21"/>
    <s v="Parking Ayto"/>
    <x v="1"/>
  </r>
  <r>
    <x v="7"/>
    <x v="6"/>
    <x v="4"/>
    <n v="-1.7"/>
    <s v="ALMUERZO"/>
    <x v="1"/>
  </r>
  <r>
    <x v="7"/>
    <x v="7"/>
    <x v="2"/>
    <n v="-7"/>
    <s v="Taronges"/>
    <x v="2"/>
  </r>
  <r>
    <x v="7"/>
    <x v="7"/>
    <x v="2"/>
    <n v="-0.6"/>
    <s v="Aigua"/>
    <x v="1"/>
  </r>
  <r>
    <x v="7"/>
    <x v="13"/>
    <x v="2"/>
    <n v="-61.61"/>
    <s v="MERCADONA"/>
    <x v="2"/>
  </r>
  <r>
    <x v="8"/>
    <x v="13"/>
    <x v="4"/>
    <n v="-1.3"/>
    <s v="ALMUERZO"/>
    <x v="0"/>
  </r>
  <r>
    <x v="8"/>
    <x v="13"/>
    <x v="11"/>
    <n v="-2.86"/>
    <s v="Medicamentos"/>
    <x v="0"/>
  </r>
  <r>
    <x v="8"/>
    <x v="5"/>
    <x v="15"/>
    <n v="-383.05"/>
    <s v="Rev Kadjar cambio filtros"/>
    <x v="2"/>
  </r>
  <r>
    <x v="8"/>
    <x v="5"/>
    <x v="16"/>
    <n v="-51.65"/>
    <s v="Gasóleo"/>
    <x v="2"/>
  </r>
  <r>
    <x v="9"/>
    <x v="7"/>
    <x v="2"/>
    <n v="-6"/>
    <s v="Taronges Gilet"/>
    <x v="2"/>
  </r>
  <r>
    <x v="9"/>
    <x v="17"/>
    <x v="17"/>
    <n v="119.19"/>
    <s v="Chaq Columbia Amazon"/>
    <x v="1"/>
  </r>
  <r>
    <x v="10"/>
    <x v="5"/>
    <x v="10"/>
    <n v="-28"/>
    <s v="Alta Gym Aspresso"/>
    <x v="2"/>
  </r>
  <r>
    <x v="8"/>
    <x v="13"/>
    <x v="10"/>
    <n v="-7.5"/>
    <s v="Deporte"/>
    <x v="0"/>
  </r>
  <r>
    <x v="11"/>
    <x v="13"/>
    <x v="10"/>
    <n v="-14"/>
    <s v="Deporte"/>
    <x v="0"/>
  </r>
  <r>
    <x v="11"/>
    <x v="12"/>
    <x v="6"/>
    <n v="-39.26"/>
    <s v="Otros Gastos"/>
    <x v="0"/>
  </r>
  <r>
    <x v="11"/>
    <x v="13"/>
    <x v="2"/>
    <n v="-15.62"/>
    <s v="MERCADONA"/>
    <x v="2"/>
  </r>
  <r>
    <x v="12"/>
    <x v="13"/>
    <x v="4"/>
    <n v="-1.3"/>
    <s v="ALMUERZO"/>
    <x v="0"/>
  </r>
  <r>
    <x v="12"/>
    <x v="13"/>
    <x v="10"/>
    <n v="-7.5"/>
    <s v="PÁDEL"/>
    <x v="0"/>
  </r>
  <r>
    <x v="12"/>
    <x v="13"/>
    <x v="2"/>
    <n v="-61.17"/>
    <s v="MERCADONA"/>
    <x v="2"/>
  </r>
  <r>
    <x v="13"/>
    <x v="13"/>
    <x v="4"/>
    <n v="-1.3"/>
    <s v="ALMUERZO"/>
    <x v="0"/>
  </r>
  <r>
    <x v="13"/>
    <x v="20"/>
    <x v="6"/>
    <n v="-10.48"/>
    <s v="Ocaso seguro"/>
    <x v="1"/>
  </r>
  <r>
    <x v="13"/>
    <x v="20"/>
    <x v="18"/>
    <n v="-35.1"/>
    <s v="Lowi"/>
    <x v="2"/>
  </r>
  <r>
    <x v="13"/>
    <x v="7"/>
    <x v="12"/>
    <n v="-3"/>
    <s v="Funda coixí mercat"/>
    <x v="2"/>
  </r>
  <r>
    <x v="13"/>
    <x v="7"/>
    <x v="2"/>
    <n v="-1.4"/>
    <s v="Esmorzar"/>
    <x v="1"/>
  </r>
  <r>
    <x v="13"/>
    <x v="13"/>
    <x v="16"/>
    <n v="-70.010000000000005"/>
    <s v="GASOLINA"/>
    <x v="2"/>
  </r>
  <r>
    <x v="13"/>
    <x v="12"/>
    <x v="1"/>
    <n v="6.89"/>
    <s v="Intereses"/>
    <x v="0"/>
  </r>
  <r>
    <x v="13"/>
    <x v="19"/>
    <x v="1"/>
    <n v="53.68"/>
    <s v="Intereses"/>
    <x v="1"/>
  </r>
  <r>
    <x v="14"/>
    <x v="13"/>
    <x v="4"/>
    <n v="-3.5"/>
    <s v="ALMUERZO"/>
    <x v="0"/>
  </r>
  <r>
    <x v="14"/>
    <x v="12"/>
    <x v="7"/>
    <n v="-376.56"/>
    <s v="Traspaso"/>
    <x v="0"/>
  </r>
  <r>
    <x v="14"/>
    <x v="13"/>
    <x v="7"/>
    <n v="376.56"/>
    <s v="Traspaso"/>
    <x v="0"/>
  </r>
  <r>
    <x v="14"/>
    <x v="14"/>
    <x v="7"/>
    <n v="-15000"/>
    <s v="Traspaso"/>
    <x v="0"/>
  </r>
  <r>
    <x v="14"/>
    <x v="22"/>
    <x v="7"/>
    <n v="15000"/>
    <s v="Traspaso"/>
    <x v="0"/>
  </r>
  <r>
    <x v="14"/>
    <x v="7"/>
    <x v="11"/>
    <n v="-80"/>
    <s v="Consulta Psico Empar"/>
    <x v="1"/>
  </r>
  <r>
    <x v="15"/>
    <x v="14"/>
    <x v="7"/>
    <n v="-2000"/>
    <s v="Traspaso"/>
    <x v="0"/>
  </r>
  <r>
    <x v="15"/>
    <x v="23"/>
    <x v="7"/>
    <n v="2000"/>
    <s v="Traspaso"/>
    <x v="0"/>
  </r>
  <r>
    <x v="15"/>
    <x v="7"/>
    <x v="2"/>
    <n v="-2.5"/>
    <s v="Esmorzar"/>
    <x v="1"/>
  </r>
  <r>
    <x v="15"/>
    <x v="14"/>
    <x v="7"/>
    <n v="-1000.3"/>
    <s v="Traspaso"/>
    <x v="0"/>
  </r>
  <r>
    <x v="15"/>
    <x v="1"/>
    <x v="7"/>
    <n v="1000.3"/>
    <s v="Traspaso"/>
    <x v="0"/>
  </r>
  <r>
    <x v="15"/>
    <x v="13"/>
    <x v="4"/>
    <n v="-1.3"/>
    <s v="ALMUERZO"/>
    <x v="0"/>
  </r>
  <r>
    <x v="15"/>
    <x v="13"/>
    <x v="19"/>
    <n v="-16.36"/>
    <s v="Luz"/>
    <x v="2"/>
  </r>
  <r>
    <x v="15"/>
    <x v="7"/>
    <x v="2"/>
    <n v="-5.7"/>
    <s v="Esmorzar"/>
    <x v="1"/>
  </r>
  <r>
    <x v="15"/>
    <x v="14"/>
    <x v="7"/>
    <n v="-1000"/>
    <s v="Traspaso"/>
    <x v="0"/>
  </r>
  <r>
    <x v="15"/>
    <x v="12"/>
    <x v="7"/>
    <n v="1000"/>
    <s v="Traspaso"/>
    <x v="0"/>
  </r>
  <r>
    <x v="15"/>
    <x v="12"/>
    <x v="7"/>
    <n v="-1000"/>
    <s v="Traspaso"/>
    <x v="0"/>
  </r>
  <r>
    <x v="15"/>
    <x v="11"/>
    <x v="7"/>
    <n v="1000"/>
    <s v="Traspaso"/>
    <x v="0"/>
  </r>
  <r>
    <x v="15"/>
    <x v="13"/>
    <x v="10"/>
    <n v="-50"/>
    <s v="BONO PÁDEL"/>
    <x v="0"/>
  </r>
  <r>
    <x v="16"/>
    <x v="13"/>
    <x v="4"/>
    <n v="-1.3"/>
    <s v="ALMUERZO"/>
    <x v="0"/>
  </r>
  <r>
    <x v="16"/>
    <x v="17"/>
    <x v="4"/>
    <n v="-30"/>
    <s v="Entrades Palau"/>
    <x v="2"/>
  </r>
  <r>
    <x v="16"/>
    <x v="17"/>
    <x v="20"/>
    <n v="23"/>
    <s v="Botines Wallapop"/>
    <x v="1"/>
  </r>
  <r>
    <x v="17"/>
    <x v="17"/>
    <x v="4"/>
    <n v="-225.73"/>
    <s v="Hotel Ibis Málaga"/>
    <x v="2"/>
  </r>
  <r>
    <x v="17"/>
    <x v="17"/>
    <x v="4"/>
    <n v="-245.88"/>
    <s v="Tren Málaga"/>
    <x v="2"/>
  </r>
  <r>
    <x v="17"/>
    <x v="13"/>
    <x v="2"/>
    <n v="-111.87"/>
    <s v="CARREFOUR"/>
    <x v="2"/>
  </r>
  <r>
    <x v="18"/>
    <x v="14"/>
    <x v="7"/>
    <n v="-1000"/>
    <s v="Traspaso"/>
    <x v="0"/>
  </r>
  <r>
    <x v="18"/>
    <x v="23"/>
    <x v="7"/>
    <n v="1000"/>
    <s v="Traspaso"/>
    <x v="0"/>
  </r>
  <r>
    <x v="18"/>
    <x v="4"/>
    <x v="4"/>
    <n v="-1.3"/>
    <s v="ALMUERZO"/>
    <x v="0"/>
  </r>
  <r>
    <x v="18"/>
    <x v="14"/>
    <x v="7"/>
    <n v="-1928.7"/>
    <s v="Traspaso"/>
    <x v="0"/>
  </r>
  <r>
    <x v="18"/>
    <x v="8"/>
    <x v="7"/>
    <n v="1928.7"/>
    <s v="Traspaso"/>
    <x v="0"/>
  </r>
  <r>
    <x v="19"/>
    <x v="5"/>
    <x v="4"/>
    <n v="-5.6"/>
    <s v="Bar"/>
    <x v="2"/>
  </r>
  <r>
    <x v="18"/>
    <x v="17"/>
    <x v="4"/>
    <n v="-39"/>
    <s v="Caminito del Rey"/>
    <x v="2"/>
  </r>
  <r>
    <x v="20"/>
    <x v="4"/>
    <x v="4"/>
    <n v="-1.3"/>
    <s v="ALMUERZO"/>
    <x v="0"/>
  </r>
  <r>
    <x v="20"/>
    <x v="5"/>
    <x v="17"/>
    <n v="-175"/>
    <s v="Gafas sol Optica Palau"/>
    <x v="1"/>
  </r>
  <r>
    <x v="20"/>
    <x v="7"/>
    <x v="2"/>
    <n v="-0.6"/>
    <s v="Aigua"/>
    <x v="1"/>
  </r>
  <r>
    <x v="21"/>
    <x v="4"/>
    <x v="4"/>
    <n v="-1.3"/>
    <s v="ALMUERZO"/>
    <x v="0"/>
  </r>
  <r>
    <x v="21"/>
    <x v="8"/>
    <x v="7"/>
    <n v="-1928.7"/>
    <s v="Traspaso"/>
    <x v="0"/>
  </r>
  <r>
    <x v="21"/>
    <x v="23"/>
    <x v="7"/>
    <n v="1928.7"/>
    <s v="Traspaso"/>
    <x v="0"/>
  </r>
  <r>
    <x v="21"/>
    <x v="20"/>
    <x v="11"/>
    <n v="175"/>
    <s v="Pago tío ulleres sol"/>
    <x v="1"/>
  </r>
  <r>
    <x v="21"/>
    <x v="7"/>
    <x v="2"/>
    <n v="-4.5999999999999996"/>
    <s v="Esmorzar"/>
    <x v="1"/>
  </r>
  <r>
    <x v="21"/>
    <x v="20"/>
    <x v="11"/>
    <n v="-29.36"/>
    <s v="Atida Hylo Gel 2 unid"/>
    <x v="1"/>
  </r>
  <r>
    <x v="21"/>
    <x v="7"/>
    <x v="6"/>
    <n v="-33"/>
    <s v="Neteja Yine"/>
    <x v="2"/>
  </r>
  <r>
    <x v="21"/>
    <x v="17"/>
    <x v="7"/>
    <n v="-1000"/>
    <s v="Traspaso"/>
    <x v="1"/>
  </r>
  <r>
    <x v="21"/>
    <x v="21"/>
    <x v="7"/>
    <n v="1000"/>
    <s v="Traspaso"/>
    <x v="1"/>
  </r>
  <r>
    <x v="22"/>
    <x v="4"/>
    <x v="4"/>
    <n v="-1.3"/>
    <s v="ALMUERZO"/>
    <x v="0"/>
  </r>
  <r>
    <x v="22"/>
    <x v="4"/>
    <x v="7"/>
    <n v="-500"/>
    <s v="Traspaso"/>
    <x v="0"/>
  </r>
  <r>
    <x v="22"/>
    <x v="11"/>
    <x v="7"/>
    <n v="500"/>
    <s v="Traspaso"/>
    <x v="0"/>
  </r>
  <r>
    <x v="22"/>
    <x v="5"/>
    <x v="2"/>
    <n v="-16.5"/>
    <s v="Polen Herb Marina"/>
    <x v="1"/>
  </r>
  <r>
    <x v="22"/>
    <x v="17"/>
    <x v="20"/>
    <n v="8"/>
    <s v="Puzzle Vinted"/>
    <x v="1"/>
  </r>
  <r>
    <x v="23"/>
    <x v="4"/>
    <x v="4"/>
    <n v="-1.3"/>
    <s v="ALMUERZO"/>
    <x v="0"/>
  </r>
  <r>
    <x v="23"/>
    <x v="7"/>
    <x v="21"/>
    <n v="-5"/>
    <s v="Depil Irena"/>
    <x v="1"/>
  </r>
  <r>
    <x v="23"/>
    <x v="7"/>
    <x v="2"/>
    <n v="-5"/>
    <s v="Taronges"/>
    <x v="2"/>
  </r>
  <r>
    <x v="24"/>
    <x v="5"/>
    <x v="16"/>
    <n v="-54"/>
    <s v="Gasoil"/>
    <x v="2"/>
  </r>
  <r>
    <x v="24"/>
    <x v="4"/>
    <x v="2"/>
    <n v="-92.13"/>
    <s v="MERCADONA"/>
    <x v="2"/>
  </r>
  <r>
    <x v="25"/>
    <x v="4"/>
    <x v="12"/>
    <n v="-47.72"/>
    <s v="MESA Y VARIOS"/>
    <x v="2"/>
  </r>
  <r>
    <x v="25"/>
    <x v="4"/>
    <x v="10"/>
    <n v="-6"/>
    <s v="PÁDEL"/>
    <x v="0"/>
  </r>
  <r>
    <x v="26"/>
    <x v="13"/>
    <x v="5"/>
    <n v="-35.880000000000003"/>
    <s v="Comunidad"/>
    <x v="0"/>
  </r>
  <r>
    <x v="26"/>
    <x v="13"/>
    <x v="5"/>
    <n v="-45.86"/>
    <s v="Comunidad"/>
    <x v="0"/>
  </r>
  <r>
    <x v="26"/>
    <x v="4"/>
    <x v="4"/>
    <n v="-1.2"/>
    <s v="ALMUERZO"/>
    <x v="0"/>
  </r>
  <r>
    <x v="26"/>
    <x v="14"/>
    <x v="7"/>
    <n v="-5000"/>
    <s v="Traspaso"/>
    <x v="0"/>
  </r>
  <r>
    <x v="26"/>
    <x v="24"/>
    <x v="7"/>
    <n v="5000"/>
    <s v="Traspaso"/>
    <x v="0"/>
  </r>
  <r>
    <x v="26"/>
    <x v="7"/>
    <x v="2"/>
    <n v="-1.3"/>
    <s v="Esmorzar"/>
    <x v="1"/>
  </r>
  <r>
    <x v="27"/>
    <x v="4"/>
    <x v="4"/>
    <n v="-1.3"/>
    <s v="ALMUERZO"/>
    <x v="0"/>
  </r>
  <r>
    <x v="27"/>
    <x v="12"/>
    <x v="22"/>
    <n v="1952.33"/>
    <s v="Nómina"/>
    <x v="0"/>
  </r>
  <r>
    <x v="27"/>
    <x v="5"/>
    <x v="17"/>
    <n v="-12"/>
    <s v="Corretja Viceroy"/>
    <x v="1"/>
  </r>
  <r>
    <x v="27"/>
    <x v="7"/>
    <x v="12"/>
    <n v="-13"/>
    <s v="Toalles mercat"/>
    <x v="2"/>
  </r>
  <r>
    <x v="27"/>
    <x v="12"/>
    <x v="7"/>
    <n v="-300"/>
    <s v="Traspaso"/>
    <x v="0"/>
  </r>
  <r>
    <x v="27"/>
    <x v="24"/>
    <x v="7"/>
    <n v="300"/>
    <s v="Traspaso"/>
    <x v="0"/>
  </r>
  <r>
    <x v="28"/>
    <x v="4"/>
    <x v="4"/>
    <n v="-1.3"/>
    <s v="ALMUERZO"/>
    <x v="0"/>
  </r>
  <r>
    <x v="28"/>
    <x v="4"/>
    <x v="7"/>
    <n v="-100"/>
    <s v="TRASPASO"/>
    <x v="0"/>
  </r>
  <r>
    <x v="28"/>
    <x v="24"/>
    <x v="7"/>
    <n v="100"/>
    <s v="TRASPASO"/>
    <x v="0"/>
  </r>
  <r>
    <x v="28"/>
    <x v="7"/>
    <x v="2"/>
    <n v="-1.4"/>
    <s v="Esmorzar"/>
    <x v="1"/>
  </r>
  <r>
    <x v="28"/>
    <x v="20"/>
    <x v="7"/>
    <n v="-130"/>
    <s v="TRASPASO"/>
    <x v="1"/>
  </r>
  <r>
    <x v="28"/>
    <x v="7"/>
    <x v="7"/>
    <n v="130"/>
    <s v="Traspaso"/>
    <x v="1"/>
  </r>
  <r>
    <x v="28"/>
    <x v="19"/>
    <x v="22"/>
    <n v="1955.54"/>
    <s v="Nómina"/>
    <x v="1"/>
  </r>
  <r>
    <x v="28"/>
    <x v="17"/>
    <x v="6"/>
    <n v="-45.99"/>
    <s v="Hilaturas Torrijo Lanas Mama"/>
    <x v="1"/>
  </r>
  <r>
    <x v="28"/>
    <x v="5"/>
    <x v="17"/>
    <n v="-17.989999999999998"/>
    <s v="Chaleco Z&amp;H"/>
    <x v="1"/>
  </r>
  <r>
    <x v="28"/>
    <x v="7"/>
    <x v="2"/>
    <n v="-5"/>
    <s v="Taronges"/>
    <x v="2"/>
  </r>
  <r>
    <x v="28"/>
    <x v="12"/>
    <x v="7"/>
    <n v="-1652.33"/>
    <s v="Traspaso"/>
    <x v="0"/>
  </r>
  <r>
    <x v="28"/>
    <x v="14"/>
    <x v="7"/>
    <n v="1652.33"/>
    <s v="Traspaso"/>
    <x v="0"/>
  </r>
  <r>
    <x v="29"/>
    <x v="4"/>
    <x v="4"/>
    <n v="-1.3"/>
    <s v="ALMUERZO"/>
    <x v="0"/>
  </r>
  <r>
    <x v="29"/>
    <x v="4"/>
    <x v="12"/>
    <n v="-21.36"/>
    <s v="Variosvivienda"/>
    <x v="2"/>
  </r>
  <r>
    <x v="29"/>
    <x v="14"/>
    <x v="1"/>
    <n v="0.59"/>
    <s v="DIVIDENDO  S&amp;P SMALLCAP"/>
    <x v="0"/>
  </r>
  <r>
    <x v="29"/>
    <x v="7"/>
    <x v="2"/>
    <n v="-0.6"/>
    <s v="Aigua"/>
    <x v="1"/>
  </r>
  <r>
    <x v="30"/>
    <x v="20"/>
    <x v="7"/>
    <n v="-691.2"/>
    <s v="Traspaso"/>
    <x v="1"/>
  </r>
  <r>
    <x v="30"/>
    <x v="5"/>
    <x v="7"/>
    <n v="691.2"/>
    <s v="Traspaso"/>
    <x v="1"/>
  </r>
  <r>
    <x v="29"/>
    <x v="13"/>
    <x v="7"/>
    <n v="-200"/>
    <s v="Traspaso"/>
    <x v="0"/>
  </r>
  <r>
    <x v="29"/>
    <x v="11"/>
    <x v="7"/>
    <n v="200"/>
    <s v="Traspaso"/>
    <x v="0"/>
  </r>
  <r>
    <x v="30"/>
    <x v="12"/>
    <x v="7"/>
    <n v="-1285.75"/>
    <s v="Traspaso"/>
    <x v="0"/>
  </r>
  <r>
    <x v="30"/>
    <x v="4"/>
    <x v="7"/>
    <n v="1285.75"/>
    <s v="Traspaso"/>
    <x v="0"/>
  </r>
  <r>
    <x v="30"/>
    <x v="4"/>
    <x v="4"/>
    <n v="-1.3"/>
    <s v="ALMUERZO"/>
    <x v="0"/>
  </r>
  <r>
    <x v="30"/>
    <x v="13"/>
    <x v="7"/>
    <n v="-322.99"/>
    <s v="Traspaso"/>
    <x v="0"/>
  </r>
  <r>
    <x v="30"/>
    <x v="12"/>
    <x v="7"/>
    <n v="322.99"/>
    <s v="Traspaso"/>
    <x v="0"/>
  </r>
  <r>
    <x v="30"/>
    <x v="14"/>
    <x v="7"/>
    <n v="-500"/>
    <s v="Traspaso"/>
    <x v="0"/>
  </r>
  <r>
    <x v="30"/>
    <x v="12"/>
    <x v="7"/>
    <n v="500"/>
    <s v="Traspaso"/>
    <x v="0"/>
  </r>
  <r>
    <x v="30"/>
    <x v="7"/>
    <x v="2"/>
    <n v="-4.5"/>
    <s v="Esmorzar"/>
    <x v="1"/>
  </r>
  <r>
    <x v="30"/>
    <x v="19"/>
    <x v="7"/>
    <n v="-1000"/>
    <s v="Traspaso"/>
    <x v="1"/>
  </r>
  <r>
    <x v="30"/>
    <x v="20"/>
    <x v="7"/>
    <n v="1000"/>
    <s v="Traspaso"/>
    <x v="1"/>
  </r>
  <r>
    <x v="30"/>
    <x v="4"/>
    <x v="10"/>
    <n v="-9.75"/>
    <s v="PÁDEL"/>
    <x v="0"/>
  </r>
  <r>
    <x v="31"/>
    <x v="10"/>
    <x v="1"/>
    <n v="0.01"/>
    <s v="Intereses"/>
    <x v="0"/>
  </r>
  <r>
    <x v="31"/>
    <x v="13"/>
    <x v="3"/>
    <n v="800"/>
    <s v="FEBRERO"/>
    <x v="0"/>
  </r>
  <r>
    <x v="31"/>
    <x v="14"/>
    <x v="1"/>
    <n v="42.51"/>
    <s v="Intereses"/>
    <x v="0"/>
  </r>
  <r>
    <x v="30"/>
    <x v="7"/>
    <x v="23"/>
    <n v="-80"/>
    <s v="Pallardó"/>
    <x v="1"/>
  </r>
  <r>
    <x v="31"/>
    <x v="17"/>
    <x v="1"/>
    <n v="1.28"/>
    <s v="Intereses"/>
    <x v="1"/>
  </r>
  <r>
    <x v="31"/>
    <x v="21"/>
    <x v="1"/>
    <n v="59.07"/>
    <s v="Intereses"/>
    <x v="1"/>
  </r>
  <r>
    <x v="32"/>
    <x v="7"/>
    <x v="4"/>
    <n v="-4"/>
    <s v="Bollo preñao"/>
    <x v="1"/>
  </r>
  <r>
    <x v="32"/>
    <x v="7"/>
    <x v="4"/>
    <n v="-7.5"/>
    <s v="Chocolates Mercaet"/>
    <x v="2"/>
  </r>
  <r>
    <x v="33"/>
    <x v="20"/>
    <x v="11"/>
    <n v="-57.71"/>
    <s v="Mapfre salud"/>
    <x v="1"/>
  </r>
  <r>
    <x v="33"/>
    <x v="20"/>
    <x v="6"/>
    <n v="-10.48"/>
    <s v="Ocaso seguro"/>
    <x v="1"/>
  </r>
  <r>
    <x v="31"/>
    <x v="4"/>
    <x v="2"/>
    <n v="-88.38"/>
    <s v="CARREFOUR"/>
    <x v="0"/>
  </r>
  <r>
    <x v="33"/>
    <x v="13"/>
    <x v="5"/>
    <n v="-60"/>
    <s v="CASA"/>
    <x v="0"/>
  </r>
  <r>
    <x v="33"/>
    <x v="13"/>
    <x v="4"/>
    <n v="-1.3"/>
    <s v="ALMUERZO"/>
    <x v="0"/>
  </r>
  <r>
    <x v="33"/>
    <x v="13"/>
    <x v="7"/>
    <n v="-500"/>
    <s v="Traspaso"/>
    <x v="0"/>
  </r>
  <r>
    <x v="33"/>
    <x v="25"/>
    <x v="7"/>
    <n v="500"/>
    <s v="Traspaso"/>
    <x v="0"/>
  </r>
  <r>
    <x v="33"/>
    <x v="20"/>
    <x v="20"/>
    <n v="100"/>
    <s v="Arrend trastero"/>
    <x v="2"/>
  </r>
  <r>
    <x v="33"/>
    <x v="7"/>
    <x v="17"/>
    <n v="-3.5"/>
    <s v="Pila rellotge Casio"/>
    <x v="1"/>
  </r>
  <r>
    <x v="33"/>
    <x v="7"/>
    <x v="2"/>
    <n v="-1.4"/>
    <s v="Esmorzar"/>
    <x v="1"/>
  </r>
  <r>
    <x v="33"/>
    <x v="17"/>
    <x v="4"/>
    <n v="-9.8000000000000007"/>
    <s v="Vinted puzzle Wasgij"/>
    <x v="1"/>
  </r>
  <r>
    <x v="33"/>
    <x v="14"/>
    <x v="7"/>
    <n v="-1000"/>
    <s v="Traspaso"/>
    <x v="0"/>
  </r>
  <r>
    <x v="33"/>
    <x v="1"/>
    <x v="7"/>
    <n v="1000"/>
    <s v="Traspaso"/>
    <x v="0"/>
  </r>
  <r>
    <x v="34"/>
    <x v="13"/>
    <x v="4"/>
    <n v="-1.3"/>
    <s v="ALMUERZO"/>
    <x v="0"/>
  </r>
  <r>
    <x v="34"/>
    <x v="10"/>
    <x v="1"/>
    <n v="163.31"/>
    <s v="Intereses"/>
    <x v="0"/>
  </r>
  <r>
    <x v="34"/>
    <x v="10"/>
    <x v="7"/>
    <n v="-1163.32"/>
    <s v="Traspaso"/>
    <x v="0"/>
  </r>
  <r>
    <x v="34"/>
    <x v="13"/>
    <x v="7"/>
    <n v="1163.32"/>
    <s v="Traspaso"/>
    <x v="0"/>
  </r>
  <r>
    <x v="34"/>
    <x v="10"/>
    <x v="7"/>
    <n v="-1000"/>
    <s v="Traspaso"/>
    <x v="0"/>
  </r>
  <r>
    <x v="34"/>
    <x v="12"/>
    <x v="7"/>
    <n v="1000"/>
    <s v="Traspaso"/>
    <x v="0"/>
  </r>
  <r>
    <x v="34"/>
    <x v="10"/>
    <x v="7"/>
    <n v="-20000"/>
    <s v="Traspaso"/>
    <x v="0"/>
  </r>
  <r>
    <x v="34"/>
    <x v="1"/>
    <x v="7"/>
    <n v="20000"/>
    <s v="Traspaso"/>
    <x v="0"/>
  </r>
  <r>
    <x v="34"/>
    <x v="13"/>
    <x v="8"/>
    <n v="-303.17"/>
    <s v="ENERO"/>
    <x v="0"/>
  </r>
  <r>
    <x v="34"/>
    <x v="7"/>
    <x v="2"/>
    <n v="-1.4"/>
    <s v="Esmorzar"/>
    <x v="1"/>
  </r>
  <r>
    <x v="34"/>
    <x v="20"/>
    <x v="8"/>
    <n v="303.17"/>
    <s v="Gastos enero"/>
    <x v="1"/>
  </r>
  <r>
    <x v="35"/>
    <x v="20"/>
    <x v="10"/>
    <n v="-74"/>
    <s v="Gym Aspresso"/>
    <x v="2"/>
  </r>
  <r>
    <x v="35"/>
    <x v="20"/>
    <x v="13"/>
    <n v="-21"/>
    <s v="Parking Ayto"/>
    <x v="1"/>
  </r>
  <r>
    <x v="34"/>
    <x v="14"/>
    <x v="6"/>
    <n v="-5"/>
    <s v="COMISIONES"/>
    <x v="0"/>
  </r>
  <r>
    <x v="35"/>
    <x v="4"/>
    <x v="7"/>
    <n v="-500"/>
    <s v="Traspaso"/>
    <x v="0"/>
  </r>
  <r>
    <x v="35"/>
    <x v="11"/>
    <x v="7"/>
    <n v="500"/>
    <s v="Traspaso"/>
    <x v="0"/>
  </r>
  <r>
    <x v="35"/>
    <x v="13"/>
    <x v="4"/>
    <n v="-1.3"/>
    <s v="ALMUERZO"/>
    <x v="0"/>
  </r>
  <r>
    <x v="35"/>
    <x v="7"/>
    <x v="2"/>
    <n v="-2"/>
    <s v="Esmorzar"/>
    <x v="1"/>
  </r>
  <r>
    <x v="36"/>
    <x v="13"/>
    <x v="7"/>
    <n v="-270"/>
    <s v="ALMUERZO"/>
    <x v="0"/>
  </r>
  <r>
    <x v="36"/>
    <x v="7"/>
    <x v="2"/>
    <n v="-3.9"/>
    <s v="Esmorzar"/>
    <x v="1"/>
  </r>
  <r>
    <x v="36"/>
    <x v="26"/>
    <x v="7"/>
    <n v="270"/>
    <s v="Traspaso"/>
    <x v="0"/>
  </r>
  <r>
    <x v="36"/>
    <x v="26"/>
    <x v="7"/>
    <n v="-70"/>
    <s v="Traspaso"/>
    <x v="0"/>
  </r>
  <r>
    <x v="36"/>
    <x v="0"/>
    <x v="7"/>
    <n v="70"/>
    <s v="Traspaso"/>
    <x v="0"/>
  </r>
  <r>
    <x v="36"/>
    <x v="12"/>
    <x v="7"/>
    <n v="-400"/>
    <s v="Traspaso"/>
    <x v="0"/>
  </r>
  <r>
    <x v="36"/>
    <x v="8"/>
    <x v="7"/>
    <n v="400"/>
    <s v="Traspaso"/>
    <x v="0"/>
  </r>
  <r>
    <x v="36"/>
    <x v="8"/>
    <x v="7"/>
    <n v="-300"/>
    <s v="Traspaso"/>
    <x v="0"/>
  </r>
  <r>
    <x v="36"/>
    <x v="10"/>
    <x v="7"/>
    <n v="300"/>
    <s v="Traspaso"/>
    <x v="0"/>
  </r>
  <r>
    <x v="37"/>
    <x v="5"/>
    <x v="2"/>
    <n v="-6.67"/>
    <s v="Lidl"/>
    <x v="2"/>
  </r>
  <r>
    <x v="37"/>
    <x v="13"/>
    <x v="4"/>
    <n v="-1.3"/>
    <s v="ALMUERZO"/>
    <x v="0"/>
  </r>
  <r>
    <x v="37"/>
    <x v="9"/>
    <x v="7"/>
    <n v="-16000"/>
    <s v="Traspaso"/>
    <x v="0"/>
  </r>
  <r>
    <x v="37"/>
    <x v="10"/>
    <x v="7"/>
    <n v="16000"/>
    <s v="Traspaso"/>
    <x v="0"/>
  </r>
  <r>
    <x v="37"/>
    <x v="10"/>
    <x v="6"/>
    <n v="-24"/>
    <s v="COMISIONES LETRAS"/>
    <x v="0"/>
  </r>
  <r>
    <x v="37"/>
    <x v="10"/>
    <x v="7"/>
    <n v="-15000"/>
    <s v="Traspaso"/>
    <x v="0"/>
  </r>
  <r>
    <x v="37"/>
    <x v="26"/>
    <x v="7"/>
    <n v="15000"/>
    <s v="Traspaso"/>
    <x v="0"/>
  </r>
  <r>
    <x v="37"/>
    <x v="8"/>
    <x v="7"/>
    <n v="-50"/>
    <s v="Traspaso"/>
    <x v="0"/>
  </r>
  <r>
    <x v="37"/>
    <x v="10"/>
    <x v="7"/>
    <n v="50"/>
    <s v="Traspaso"/>
    <x v="0"/>
  </r>
  <r>
    <x v="37"/>
    <x v="8"/>
    <x v="12"/>
    <n v="-14.7"/>
    <s v="TOSTADORA"/>
    <x v="0"/>
  </r>
  <r>
    <x v="37"/>
    <x v="13"/>
    <x v="11"/>
    <n v="-2.86"/>
    <s v="TEVETENS, AFLOYAN Y BESITRANS"/>
    <x v="0"/>
  </r>
  <r>
    <x v="37"/>
    <x v="7"/>
    <x v="2"/>
    <n v="-1.6"/>
    <s v="Esmorzar"/>
    <x v="1"/>
  </r>
  <r>
    <x v="37"/>
    <x v="13"/>
    <x v="10"/>
    <n v="-8"/>
    <s v="PÁDEL"/>
    <x v="0"/>
  </r>
  <r>
    <x v="38"/>
    <x v="4"/>
    <x v="7"/>
    <n v="-500"/>
    <s v="Traspaso"/>
    <x v="0"/>
  </r>
  <r>
    <x v="38"/>
    <x v="14"/>
    <x v="7"/>
    <n v="500"/>
    <s v="Traspaso"/>
    <x v="0"/>
  </r>
  <r>
    <x v="38"/>
    <x v="13"/>
    <x v="2"/>
    <n v="-20.05"/>
    <s v="EL RECHUPETE"/>
    <x v="2"/>
  </r>
  <r>
    <x v="39"/>
    <x v="12"/>
    <x v="7"/>
    <n v="-20"/>
    <s v="Traspaso"/>
    <x v="0"/>
  </r>
  <r>
    <x v="39"/>
    <x v="25"/>
    <x v="7"/>
    <n v="20"/>
    <s v="Traspaso"/>
    <x v="0"/>
  </r>
  <r>
    <x v="39"/>
    <x v="12"/>
    <x v="12"/>
    <n v="-11.2"/>
    <s v="MANGUERA Y CARTERA"/>
    <x v="2"/>
  </r>
  <r>
    <x v="39"/>
    <x v="13"/>
    <x v="4"/>
    <n v="-33.049999999999997"/>
    <s v="TAXI SAB A AVE"/>
    <x v="2"/>
  </r>
  <r>
    <x v="39"/>
    <x v="13"/>
    <x v="4"/>
    <n v="-37"/>
    <s v="COMIDA MÁLAGA"/>
    <x v="2"/>
  </r>
  <r>
    <x v="39"/>
    <x v="13"/>
    <x v="4"/>
    <n v="-12.5"/>
    <s v="CENA MÁLAGA"/>
    <x v="2"/>
  </r>
  <r>
    <x v="39"/>
    <x v="7"/>
    <x v="2"/>
    <n v="-1.5"/>
    <s v="Aigua"/>
    <x v="1"/>
  </r>
  <r>
    <x v="40"/>
    <x v="7"/>
    <x v="2"/>
    <n v="-1"/>
    <s v="Aigua"/>
    <x v="2"/>
  </r>
  <r>
    <x v="40"/>
    <x v="5"/>
    <x v="2"/>
    <n v="-9.5500000000000007"/>
    <s v="Desdejuni"/>
    <x v="2"/>
  </r>
  <r>
    <x v="40"/>
    <x v="20"/>
    <x v="7"/>
    <n v="-40"/>
    <m/>
    <x v="1"/>
  </r>
  <r>
    <x v="40"/>
    <x v="7"/>
    <x v="7"/>
    <n v="40"/>
    <m/>
    <x v="1"/>
  </r>
  <r>
    <x v="40"/>
    <x v="5"/>
    <x v="2"/>
    <n v="-0.56000000000000005"/>
    <s v="Carrefour"/>
    <x v="2"/>
  </r>
  <r>
    <x v="40"/>
    <x v="5"/>
    <x v="4"/>
    <n v="-24.78"/>
    <s v="Bus Ronda Málaga"/>
    <x v="2"/>
  </r>
  <r>
    <x v="40"/>
    <x v="5"/>
    <x v="4"/>
    <n v="-23.4"/>
    <s v="Dinar Ronda"/>
    <x v="2"/>
  </r>
  <r>
    <x v="40"/>
    <x v="5"/>
    <x v="6"/>
    <n v="-5.5"/>
    <s v="Souvenirs Ronda"/>
    <x v="1"/>
  </r>
  <r>
    <x v="40"/>
    <x v="5"/>
    <x v="4"/>
    <n v="-5.8"/>
    <s v="Pastissets Ronda"/>
    <x v="2"/>
  </r>
  <r>
    <x v="40"/>
    <x v="5"/>
    <x v="4"/>
    <n v="-9.8000000000000007"/>
    <s v="Esmorzar Ronda"/>
    <x v="2"/>
  </r>
  <r>
    <x v="40"/>
    <x v="20"/>
    <x v="24"/>
    <n v="-299.02999999999997"/>
    <s v="Seguro Kadjar"/>
    <x v="2"/>
  </r>
  <r>
    <x v="40"/>
    <x v="26"/>
    <x v="7"/>
    <n v="-65.02"/>
    <s v="Traspaso"/>
    <x v="0"/>
  </r>
  <r>
    <x v="40"/>
    <x v="27"/>
    <x v="7"/>
    <n v="65.02"/>
    <s v="Traspaso"/>
    <x v="0"/>
  </r>
  <r>
    <x v="40"/>
    <x v="26"/>
    <x v="7"/>
    <n v="-111.59"/>
    <s v="Traspaso"/>
    <x v="0"/>
  </r>
  <r>
    <x v="40"/>
    <x v="27"/>
    <x v="7"/>
    <n v="111.59"/>
    <s v="Traspaso"/>
    <x v="0"/>
  </r>
  <r>
    <x v="40"/>
    <x v="26"/>
    <x v="7"/>
    <n v="-107.67"/>
    <s v="Traspaso"/>
    <x v="0"/>
  </r>
  <r>
    <x v="40"/>
    <x v="27"/>
    <x v="7"/>
    <n v="107.67"/>
    <s v="Traspaso"/>
    <x v="0"/>
  </r>
  <r>
    <x v="40"/>
    <x v="26"/>
    <x v="7"/>
    <n v="-108.3"/>
    <s v="Traspaso"/>
    <x v="0"/>
  </r>
  <r>
    <x v="40"/>
    <x v="27"/>
    <x v="7"/>
    <n v="108.3"/>
    <s v="Traspaso"/>
    <x v="0"/>
  </r>
  <r>
    <x v="40"/>
    <x v="26"/>
    <x v="7"/>
    <n v="-139.21"/>
    <s v="Traspaso"/>
    <x v="0"/>
  </r>
  <r>
    <x v="40"/>
    <x v="27"/>
    <x v="7"/>
    <n v="139.21"/>
    <s v="Traspaso"/>
    <x v="0"/>
  </r>
  <r>
    <x v="40"/>
    <x v="12"/>
    <x v="7"/>
    <n v="-10"/>
    <s v="Traspaso"/>
    <x v="0"/>
  </r>
  <r>
    <x v="40"/>
    <x v="25"/>
    <x v="7"/>
    <n v="10"/>
    <s v="Traspaso"/>
    <x v="0"/>
  </r>
  <r>
    <x v="40"/>
    <x v="6"/>
    <x v="4"/>
    <n v="-22.9"/>
    <s v="MÁLAGA A RONDA"/>
    <x v="2"/>
  </r>
  <r>
    <x v="40"/>
    <x v="12"/>
    <x v="7"/>
    <n v="-396.04"/>
    <s v="Traspaso"/>
    <x v="0"/>
  </r>
  <r>
    <x v="40"/>
    <x v="26"/>
    <x v="7"/>
    <n v="396.04"/>
    <s v="Traspaso"/>
    <x v="0"/>
  </r>
  <r>
    <x v="40"/>
    <x v="13"/>
    <x v="4"/>
    <n v="-9.1999999999999993"/>
    <s v="CENA MÁLAGA"/>
    <x v="2"/>
  </r>
  <r>
    <x v="40"/>
    <x v="13"/>
    <x v="7"/>
    <n v="-50"/>
    <s v="Traspaso"/>
    <x v="0"/>
  </r>
  <r>
    <x v="40"/>
    <x v="6"/>
    <x v="7"/>
    <n v="50"/>
    <s v="Traspaso"/>
    <x v="0"/>
  </r>
  <r>
    <x v="41"/>
    <x v="5"/>
    <x v="4"/>
    <n v="-6.4"/>
    <s v="Gelats Málaga"/>
    <x v="2"/>
  </r>
  <r>
    <x v="41"/>
    <x v="5"/>
    <x v="4"/>
    <n v="-48"/>
    <s v="Sopar Pimpi"/>
    <x v="2"/>
  </r>
  <r>
    <x v="41"/>
    <x v="7"/>
    <x v="4"/>
    <n v="-5"/>
    <s v="Bus Lanzadera Caminito"/>
    <x v="2"/>
  </r>
  <r>
    <x v="41"/>
    <x v="7"/>
    <x v="4"/>
    <n v="-0.9"/>
    <s v="Imán Caminito"/>
    <x v="2"/>
  </r>
  <r>
    <x v="41"/>
    <x v="5"/>
    <x v="4"/>
    <n v="-8.4"/>
    <s v="Tren Caminito"/>
    <x v="2"/>
  </r>
  <r>
    <x v="41"/>
    <x v="5"/>
    <x v="4"/>
    <n v="-15.4"/>
    <s v="Tren Caminito"/>
    <x v="2"/>
  </r>
  <r>
    <x v="41"/>
    <x v="26"/>
    <x v="1"/>
    <n v="16.2"/>
    <s v="BONIFICACIÓN"/>
    <x v="0"/>
  </r>
  <r>
    <x v="41"/>
    <x v="13"/>
    <x v="4"/>
    <n v="-9"/>
    <s v="DESAYUNO MÁLAGA"/>
    <x v="2"/>
  </r>
  <r>
    <x v="41"/>
    <x v="12"/>
    <x v="7"/>
    <n v="-200"/>
    <s v="Traspaso"/>
    <x v="0"/>
  </r>
  <r>
    <x v="41"/>
    <x v="26"/>
    <x v="7"/>
    <n v="200"/>
    <s v="Traspaso"/>
    <x v="0"/>
  </r>
  <r>
    <x v="41"/>
    <x v="26"/>
    <x v="7"/>
    <n v="-280.45"/>
    <s v="Traspaso"/>
    <x v="0"/>
  </r>
  <r>
    <x v="41"/>
    <x v="27"/>
    <x v="7"/>
    <n v="280.45"/>
    <s v="Traspaso"/>
    <x v="0"/>
  </r>
  <r>
    <x v="41"/>
    <x v="6"/>
    <x v="4"/>
    <n v="-2.1"/>
    <s v="IMÁN"/>
    <x v="2"/>
  </r>
  <r>
    <x v="41"/>
    <x v="11"/>
    <x v="7"/>
    <n v="-1500"/>
    <s v="Traspaso"/>
    <x v="0"/>
  </r>
  <r>
    <x v="41"/>
    <x v="25"/>
    <x v="7"/>
    <n v="1500"/>
    <s v="Traspaso"/>
    <x v="0"/>
  </r>
  <r>
    <x v="42"/>
    <x v="20"/>
    <x v="18"/>
    <n v="-35.1"/>
    <s v="Lowi"/>
    <x v="2"/>
  </r>
  <r>
    <x v="42"/>
    <x v="5"/>
    <x v="4"/>
    <n v="-6.6"/>
    <s v="Desdejuni Granier"/>
    <x v="2"/>
  </r>
  <r>
    <x v="42"/>
    <x v="5"/>
    <x v="4"/>
    <n v="-1.8"/>
    <s v="Caramelos"/>
    <x v="2"/>
  </r>
  <r>
    <x v="42"/>
    <x v="5"/>
    <x v="4"/>
    <n v="-19.36"/>
    <s v="Bus Nerja"/>
    <x v="2"/>
  </r>
  <r>
    <x v="42"/>
    <x v="5"/>
    <x v="4"/>
    <n v="-35"/>
    <s v="Entrades Coves Nerja"/>
    <x v="2"/>
  </r>
  <r>
    <x v="42"/>
    <x v="5"/>
    <x v="4"/>
    <n v="-32.4"/>
    <s v="Dinar Indio Nerja"/>
    <x v="2"/>
  </r>
  <r>
    <x v="42"/>
    <x v="5"/>
    <x v="4"/>
    <n v="-7.8"/>
    <s v="Gelats Málaga"/>
    <x v="2"/>
  </r>
  <r>
    <x v="42"/>
    <x v="13"/>
    <x v="25"/>
    <n v="-21.76"/>
    <s v="Gas"/>
    <x v="2"/>
  </r>
  <r>
    <x v="42"/>
    <x v="23"/>
    <x v="7"/>
    <n v="-9.7100000000000009"/>
    <s v="Traspaso"/>
    <x v="0"/>
  </r>
  <r>
    <x v="42"/>
    <x v="14"/>
    <x v="7"/>
    <n v="9.7100000000000009"/>
    <s v="Traspaso"/>
    <x v="0"/>
  </r>
  <r>
    <x v="42"/>
    <x v="13"/>
    <x v="4"/>
    <n v="-26.5"/>
    <s v="CENA SANTANDER"/>
    <x v="2"/>
  </r>
  <r>
    <x v="43"/>
    <x v="7"/>
    <x v="4"/>
    <n v="-1.6"/>
    <s v="Fruta"/>
    <x v="2"/>
  </r>
  <r>
    <x v="43"/>
    <x v="5"/>
    <x v="4"/>
    <n v="-11"/>
    <s v="Desdejuni Málaga"/>
    <x v="2"/>
  </r>
  <r>
    <x v="43"/>
    <x v="5"/>
    <x v="4"/>
    <n v="-2"/>
    <s v="Aigua"/>
    <x v="2"/>
  </r>
  <r>
    <x v="43"/>
    <x v="10"/>
    <x v="7"/>
    <n v="-1000"/>
    <s v="Traspaso"/>
    <x v="0"/>
  </r>
  <r>
    <x v="43"/>
    <x v="28"/>
    <x v="7"/>
    <n v="1000"/>
    <s v="Traspaso"/>
    <x v="0"/>
  </r>
  <r>
    <x v="43"/>
    <x v="14"/>
    <x v="7"/>
    <n v="-200.14"/>
    <s v="Traspaso"/>
    <x v="0"/>
  </r>
  <r>
    <x v="43"/>
    <x v="8"/>
    <x v="7"/>
    <n v="200.14"/>
    <s v="Traspaso"/>
    <x v="0"/>
  </r>
  <r>
    <x v="43"/>
    <x v="13"/>
    <x v="7"/>
    <n v="-50"/>
    <s v="Traspaso"/>
    <x v="0"/>
  </r>
  <r>
    <x v="43"/>
    <x v="28"/>
    <x v="7"/>
    <n v="50"/>
    <s v="Traspaso"/>
    <x v="0"/>
  </r>
  <r>
    <x v="43"/>
    <x v="13"/>
    <x v="4"/>
    <n v="-24.5"/>
    <s v="TAXI AVE A SAB"/>
    <x v="2"/>
  </r>
  <r>
    <x v="43"/>
    <x v="14"/>
    <x v="7"/>
    <n v="-1000"/>
    <s v="Traspaso"/>
    <x v="0"/>
  </r>
  <r>
    <x v="43"/>
    <x v="1"/>
    <x v="7"/>
    <n v="1000"/>
    <s v="Traspaso"/>
    <x v="0"/>
  </r>
  <r>
    <x v="44"/>
    <x v="13"/>
    <x v="19"/>
    <n v="-13.18"/>
    <s v="Luz"/>
    <x v="2"/>
  </r>
  <r>
    <x v="44"/>
    <x v="4"/>
    <x v="9"/>
    <n v="-234.34"/>
    <s v="MINIPC N-ONE AIR"/>
    <x v="0"/>
  </r>
  <r>
    <x v="44"/>
    <x v="19"/>
    <x v="1"/>
    <n v="56.63"/>
    <s v="Int"/>
    <x v="1"/>
  </r>
  <r>
    <x v="45"/>
    <x v="5"/>
    <x v="4"/>
    <n v="-7.5"/>
    <s v="Esmorzar Hungría"/>
    <x v="1"/>
  </r>
  <r>
    <x v="44"/>
    <x v="12"/>
    <x v="1"/>
    <n v="2.2200000000000002"/>
    <s v="INTERESES"/>
    <x v="0"/>
  </r>
  <r>
    <x v="44"/>
    <x v="13"/>
    <x v="2"/>
    <n v="-123.55"/>
    <s v="CARREFOUR"/>
    <x v="2"/>
  </r>
  <r>
    <x v="44"/>
    <x v="4"/>
    <x v="7"/>
    <n v="-100"/>
    <s v="TRASPASO"/>
    <x v="0"/>
  </r>
  <r>
    <x v="44"/>
    <x v="11"/>
    <x v="7"/>
    <n v="100"/>
    <s v="TRASPASO"/>
    <x v="0"/>
  </r>
  <r>
    <x v="45"/>
    <x v="13"/>
    <x v="10"/>
    <n v="-14"/>
    <s v="PÁDEL"/>
    <x v="0"/>
  </r>
  <r>
    <x v="45"/>
    <x v="25"/>
    <x v="7"/>
    <n v="-1500"/>
    <s v="Traspaso"/>
    <x v="0"/>
  </r>
  <r>
    <x v="45"/>
    <x v="29"/>
    <x v="7"/>
    <n v="1500"/>
    <s v="Traspaso"/>
    <x v="0"/>
  </r>
  <r>
    <x v="46"/>
    <x v="14"/>
    <x v="7"/>
    <n v="-1500"/>
    <s v="Traspaso"/>
    <x v="0"/>
  </r>
  <r>
    <x v="46"/>
    <x v="8"/>
    <x v="7"/>
    <n v="1500"/>
    <s v="Traspaso"/>
    <x v="0"/>
  </r>
  <r>
    <x v="46"/>
    <x v="8"/>
    <x v="7"/>
    <n v="-205.44"/>
    <s v="Traspaso"/>
    <x v="0"/>
  </r>
  <r>
    <x v="46"/>
    <x v="28"/>
    <x v="7"/>
    <n v="205.44"/>
    <s v="Traspaso"/>
    <x v="0"/>
  </r>
  <r>
    <x v="46"/>
    <x v="10"/>
    <x v="7"/>
    <n v="-320"/>
    <s v="Traspaso"/>
    <x v="0"/>
  </r>
  <r>
    <x v="46"/>
    <x v="26"/>
    <x v="7"/>
    <n v="320"/>
    <s v="Traspaso"/>
    <x v="0"/>
  </r>
  <r>
    <x v="46"/>
    <x v="26"/>
    <x v="7"/>
    <n v="-320"/>
    <s v="Traspaso"/>
    <x v="0"/>
  </r>
  <r>
    <x v="46"/>
    <x v="27"/>
    <x v="7"/>
    <n v="320"/>
    <s v="Traspaso"/>
    <x v="0"/>
  </r>
  <r>
    <x v="46"/>
    <x v="14"/>
    <x v="7"/>
    <n v="-1000.3"/>
    <s v="Traspaso"/>
    <x v="0"/>
  </r>
  <r>
    <x v="46"/>
    <x v="1"/>
    <x v="7"/>
    <n v="1000.3"/>
    <s v="Traspaso"/>
    <x v="0"/>
  </r>
  <r>
    <x v="46"/>
    <x v="13"/>
    <x v="11"/>
    <n v="-11.6"/>
    <s v="PHARMATUSGRIP"/>
    <x v="0"/>
  </r>
  <r>
    <x v="46"/>
    <x v="7"/>
    <x v="2"/>
    <n v="-0.6"/>
    <s v="Aigua"/>
    <x v="1"/>
  </r>
  <r>
    <x v="46"/>
    <x v="20"/>
    <x v="26"/>
    <n v="-70"/>
    <s v="Seguro Crucero Adriático"/>
    <x v="2"/>
  </r>
  <r>
    <x v="46"/>
    <x v="20"/>
    <x v="26"/>
    <n v="-280"/>
    <s v="Reserva Crucero Adriático"/>
    <x v="2"/>
  </r>
  <r>
    <x v="46"/>
    <x v="17"/>
    <x v="26"/>
    <n v="-498.98"/>
    <s v="Billetes Venecia"/>
    <x v="2"/>
  </r>
  <r>
    <x v="46"/>
    <x v="13"/>
    <x v="4"/>
    <n v="-1.3"/>
    <s v="ALMUERZO"/>
    <x v="0"/>
  </r>
  <r>
    <x v="46"/>
    <x v="13"/>
    <x v="13"/>
    <n v="-29.95"/>
    <s v="SANDERO BOMBILLA DCHA"/>
    <x v="2"/>
  </r>
  <r>
    <x v="47"/>
    <x v="13"/>
    <x v="4"/>
    <n v="-1.3"/>
    <s v="ALMUERZO"/>
    <x v="0"/>
  </r>
  <r>
    <x v="47"/>
    <x v="5"/>
    <x v="11"/>
    <n v="-7.68"/>
    <s v="Medicamentos"/>
    <x v="1"/>
  </r>
  <r>
    <x v="48"/>
    <x v="13"/>
    <x v="4"/>
    <n v="-1.3"/>
    <s v="ALMUERZO"/>
    <x v="0"/>
  </r>
  <r>
    <x v="48"/>
    <x v="8"/>
    <x v="7"/>
    <n v="-500"/>
    <s v="Traspaso"/>
    <x v="0"/>
  </r>
  <r>
    <x v="48"/>
    <x v="30"/>
    <x v="7"/>
    <n v="500"/>
    <s v="Traspaso"/>
    <x v="0"/>
  </r>
  <r>
    <x v="48"/>
    <x v="8"/>
    <x v="7"/>
    <n v="-500"/>
    <s v="Traspaso"/>
    <x v="0"/>
  </r>
  <r>
    <x v="48"/>
    <x v="31"/>
    <x v="7"/>
    <n v="500"/>
    <s v="Traspaso"/>
    <x v="0"/>
  </r>
  <r>
    <x v="48"/>
    <x v="14"/>
    <x v="1"/>
    <n v="0.18"/>
    <s v="DIVIDENCO ASML"/>
    <x v="0"/>
  </r>
  <r>
    <x v="48"/>
    <x v="8"/>
    <x v="7"/>
    <n v="-525"/>
    <s v="Traspaso"/>
    <x v="0"/>
  </r>
  <r>
    <x v="48"/>
    <x v="12"/>
    <x v="7"/>
    <n v="525"/>
    <s v="Traspaso"/>
    <x v="0"/>
  </r>
  <r>
    <x v="48"/>
    <x v="13"/>
    <x v="16"/>
    <n v="-76"/>
    <s v="GASOLINA"/>
    <x v="2"/>
  </r>
  <r>
    <x v="49"/>
    <x v="20"/>
    <x v="7"/>
    <n v="-150"/>
    <s v="Traspaso"/>
    <x v="1"/>
  </r>
  <r>
    <x v="49"/>
    <x v="7"/>
    <x v="7"/>
    <n v="150"/>
    <s v="Traspaso"/>
    <x v="1"/>
  </r>
  <r>
    <x v="49"/>
    <x v="5"/>
    <x v="2"/>
    <n v="-5"/>
    <s v="Esmorzar"/>
    <x v="1"/>
  </r>
  <r>
    <x v="49"/>
    <x v="20"/>
    <x v="23"/>
    <n v="-38.5"/>
    <s v="Serum Eleven Obi Adonia"/>
    <x v="1"/>
  </r>
  <r>
    <x v="49"/>
    <x v="13"/>
    <x v="4"/>
    <n v="-1.3"/>
    <s v="ALMUERZO"/>
    <x v="0"/>
  </r>
  <r>
    <x v="49"/>
    <x v="7"/>
    <x v="23"/>
    <n v="-140"/>
    <s v="Pallardó Bono 4"/>
    <x v="1"/>
  </r>
  <r>
    <x v="50"/>
    <x v="20"/>
    <x v="4"/>
    <n v="100"/>
    <s v="Tío Viatge Málaga"/>
    <x v="2"/>
  </r>
  <r>
    <x v="50"/>
    <x v="7"/>
    <x v="2"/>
    <n v="-0.6"/>
    <s v="Aigua"/>
    <x v="1"/>
  </r>
  <r>
    <x v="50"/>
    <x v="7"/>
    <x v="2"/>
    <n v="-4"/>
    <s v="Taronges"/>
    <x v="2"/>
  </r>
  <r>
    <x v="50"/>
    <x v="13"/>
    <x v="4"/>
    <n v="-3.8"/>
    <s v="ALMUERZO"/>
    <x v="0"/>
  </r>
  <r>
    <x v="51"/>
    <x v="4"/>
    <x v="2"/>
    <n v="-74.239999999999995"/>
    <s v="MERCADONA"/>
    <x v="2"/>
  </r>
  <r>
    <x v="51"/>
    <x v="4"/>
    <x v="16"/>
    <n v="-60"/>
    <s v="GASOIL"/>
    <x v="2"/>
  </r>
  <r>
    <x v="51"/>
    <x v="7"/>
    <x v="6"/>
    <n v="50"/>
    <s v="Pago Hilaturas Torrijos mama"/>
    <x v="1"/>
  </r>
  <r>
    <x v="52"/>
    <x v="13"/>
    <x v="9"/>
    <n v="-70"/>
    <s v="GELA"/>
    <x v="0"/>
  </r>
  <r>
    <x v="52"/>
    <x v="4"/>
    <x v="4"/>
    <n v="-1.3"/>
    <s v="ALMUERZO"/>
    <x v="0"/>
  </r>
  <r>
    <x v="52"/>
    <x v="7"/>
    <x v="2"/>
    <n v="-1.6"/>
    <s v="Esmorzar"/>
    <x v="1"/>
  </r>
  <r>
    <x v="52"/>
    <x v="4"/>
    <x v="7"/>
    <n v="-1000"/>
    <s v="Traspaso"/>
    <x v="0"/>
  </r>
  <r>
    <x v="52"/>
    <x v="29"/>
    <x v="7"/>
    <n v="1000"/>
    <s v="Traspaso"/>
    <x v="0"/>
  </r>
  <r>
    <x v="52"/>
    <x v="12"/>
    <x v="7"/>
    <n v="-300"/>
    <s v="Traspaso"/>
    <x v="0"/>
  </r>
  <r>
    <x v="52"/>
    <x v="14"/>
    <x v="7"/>
    <n v="300"/>
    <s v="Traspaso"/>
    <x v="0"/>
  </r>
  <r>
    <x v="53"/>
    <x v="4"/>
    <x v="4"/>
    <n v="-1.3"/>
    <s v="ALMUERZO"/>
    <x v="0"/>
  </r>
  <r>
    <x v="53"/>
    <x v="4"/>
    <x v="6"/>
    <n v="-20.329999999999998"/>
    <s v="MEMORIA 16GB DDR4"/>
    <x v="0"/>
  </r>
  <r>
    <x v="53"/>
    <x v="7"/>
    <x v="2"/>
    <n v="-1.6"/>
    <s v="Esmorzar"/>
    <x v="1"/>
  </r>
  <r>
    <x v="53"/>
    <x v="12"/>
    <x v="1"/>
    <n v="-100"/>
    <s v="PERDIDA REINVEST24"/>
    <x v="0"/>
  </r>
  <r>
    <x v="53"/>
    <x v="19"/>
    <x v="22"/>
    <n v="1955.54"/>
    <s v="Nómina"/>
    <x v="1"/>
  </r>
  <r>
    <x v="54"/>
    <x v="4"/>
    <x v="4"/>
    <n v="-1.3"/>
    <s v="ALMUERZO"/>
    <x v="0"/>
  </r>
  <r>
    <x v="54"/>
    <x v="7"/>
    <x v="2"/>
    <n v="-0.6"/>
    <s v="Aigua"/>
    <x v="1"/>
  </r>
  <r>
    <x v="54"/>
    <x v="5"/>
    <x v="17"/>
    <n v="-16"/>
    <s v="Vestido Erika"/>
    <x v="1"/>
  </r>
  <r>
    <x v="54"/>
    <x v="5"/>
    <x v="6"/>
    <n v="-18.989999999999998"/>
    <s v="Jersei Marisa"/>
    <x v="1"/>
  </r>
  <r>
    <x v="54"/>
    <x v="20"/>
    <x v="6"/>
    <n v="19"/>
    <s v="Jersei Marisa"/>
    <x v="1"/>
  </r>
  <r>
    <x v="54"/>
    <x v="7"/>
    <x v="6"/>
    <n v="-33"/>
    <s v="Neteja Yine"/>
    <x v="2"/>
  </r>
  <r>
    <x v="54"/>
    <x v="4"/>
    <x v="2"/>
    <n v="-6.05"/>
    <s v="Comida"/>
    <x v="0"/>
  </r>
  <r>
    <x v="54"/>
    <x v="12"/>
    <x v="22"/>
    <n v="1973.17"/>
    <s v="FEBRERO"/>
    <x v="0"/>
  </r>
  <r>
    <x v="55"/>
    <x v="4"/>
    <x v="4"/>
    <n v="-1.3"/>
    <s v="ALMUERZO"/>
    <x v="0"/>
  </r>
  <r>
    <x v="55"/>
    <x v="13"/>
    <x v="5"/>
    <n v="-35.880000000000003"/>
    <s v="Comunidad"/>
    <x v="0"/>
  </r>
  <r>
    <x v="55"/>
    <x v="13"/>
    <x v="5"/>
    <n v="-45.86"/>
    <s v="Comunidad"/>
    <x v="0"/>
  </r>
  <r>
    <x v="55"/>
    <x v="20"/>
    <x v="23"/>
    <n v="-97.89"/>
    <s v="Bioferta"/>
    <x v="1"/>
  </r>
  <r>
    <x v="55"/>
    <x v="7"/>
    <x v="2"/>
    <n v="-4.2"/>
    <s v="Esmorzar"/>
    <x v="1"/>
  </r>
  <r>
    <x v="55"/>
    <x v="14"/>
    <x v="7"/>
    <n v="-1000"/>
    <s v="Traspaso"/>
    <x v="0"/>
  </r>
  <r>
    <x v="55"/>
    <x v="12"/>
    <x v="7"/>
    <n v="1000"/>
    <s v="Traspaso"/>
    <x v="0"/>
  </r>
  <r>
    <x v="56"/>
    <x v="12"/>
    <x v="7"/>
    <n v="-1378.24"/>
    <s v="Traspaso"/>
    <x v="0"/>
  </r>
  <r>
    <x v="56"/>
    <x v="4"/>
    <x v="7"/>
    <n v="1378.24"/>
    <s v="Traspaso"/>
    <x v="0"/>
  </r>
  <r>
    <x v="56"/>
    <x v="12"/>
    <x v="7"/>
    <n v="-1968.58"/>
    <s v="Traspaso"/>
    <x v="0"/>
  </r>
  <r>
    <x v="56"/>
    <x v="4"/>
    <x v="7"/>
    <n v="1968.58"/>
    <s v="Traspaso"/>
    <x v="0"/>
  </r>
  <r>
    <x v="56"/>
    <x v="20"/>
    <x v="7"/>
    <n v="-570.9"/>
    <s v="Traspaso"/>
    <x v="1"/>
  </r>
  <r>
    <x v="56"/>
    <x v="5"/>
    <x v="7"/>
    <n v="570.9"/>
    <s v="Traspaso"/>
    <x v="1"/>
  </r>
  <r>
    <x v="56"/>
    <x v="7"/>
    <x v="2"/>
    <n v="-1.2"/>
    <s v="Esmorzar"/>
    <x v="1"/>
  </r>
  <r>
    <x v="56"/>
    <x v="7"/>
    <x v="21"/>
    <n v="-5"/>
    <s v="Depil Irena"/>
    <x v="1"/>
  </r>
  <r>
    <x v="56"/>
    <x v="5"/>
    <x v="4"/>
    <n v="-16"/>
    <s v="Dinar Recaptació"/>
    <x v="1"/>
  </r>
  <r>
    <x v="56"/>
    <x v="26"/>
    <x v="7"/>
    <n v="-5000"/>
    <s v="TRASPASO"/>
    <x v="0"/>
  </r>
  <r>
    <x v="56"/>
    <x v="12"/>
    <x v="7"/>
    <n v="5000"/>
    <s v="Traspaso"/>
    <x v="0"/>
  </r>
  <r>
    <x v="56"/>
    <x v="4"/>
    <x v="4"/>
    <n v="-7.2"/>
    <s v="ALMUERZO"/>
    <x v="0"/>
  </r>
  <r>
    <x v="57"/>
    <x v="17"/>
    <x v="1"/>
    <n v="0.45"/>
    <m/>
    <x v="1"/>
  </r>
  <r>
    <x v="57"/>
    <x v="21"/>
    <x v="1"/>
    <n v="51.18"/>
    <m/>
    <x v="1"/>
  </r>
  <r>
    <x v="57"/>
    <x v="14"/>
    <x v="1"/>
    <n v="5.93"/>
    <s v="Intereses"/>
    <x v="0"/>
  </r>
  <r>
    <x v="57"/>
    <x v="10"/>
    <x v="1"/>
    <n v="0.69"/>
    <s v="Intereses"/>
    <x v="0"/>
  </r>
  <r>
    <x v="57"/>
    <x v="13"/>
    <x v="3"/>
    <n v="800"/>
    <s v="MARZO"/>
    <x v="0"/>
  </r>
  <r>
    <x v="57"/>
    <x v="4"/>
    <x v="2"/>
    <n v="-120.2"/>
    <s v="CARREFOUR"/>
    <x v="2"/>
  </r>
  <r>
    <x v="58"/>
    <x v="4"/>
    <x v="10"/>
    <n v="-7"/>
    <s v="PÁDEL"/>
    <x v="0"/>
  </r>
  <r>
    <x v="58"/>
    <x v="4"/>
    <x v="12"/>
    <n v="-67.7"/>
    <s v="ESCOBA ELÉCTRICA"/>
    <x v="2"/>
  </r>
  <r>
    <x v="58"/>
    <x v="4"/>
    <x v="12"/>
    <n v="-20.88"/>
    <s v="VARIOS VIVIENDA"/>
    <x v="2"/>
  </r>
  <r>
    <x v="59"/>
    <x v="13"/>
    <x v="5"/>
    <n v="-60"/>
    <s v="CASA"/>
    <x v="2"/>
  </r>
  <r>
    <x v="59"/>
    <x v="4"/>
    <x v="4"/>
    <n v="-1.3"/>
    <s v="ALMUERZO"/>
    <x v="0"/>
  </r>
  <r>
    <x v="59"/>
    <x v="26"/>
    <x v="7"/>
    <n v="-7500"/>
    <s v="Traspaso"/>
    <x v="0"/>
  </r>
  <r>
    <x v="59"/>
    <x v="14"/>
    <x v="7"/>
    <n v="7500"/>
    <s v="Traspaso"/>
    <x v="0"/>
  </r>
  <r>
    <x v="59"/>
    <x v="20"/>
    <x v="11"/>
    <n v="-57.71"/>
    <s v="Mapfre Salud"/>
    <x v="1"/>
  </r>
  <r>
    <x v="59"/>
    <x v="19"/>
    <x v="7"/>
    <n v="-1000"/>
    <s v="Traspaso"/>
    <x v="1"/>
  </r>
  <r>
    <x v="59"/>
    <x v="20"/>
    <x v="7"/>
    <n v="1000"/>
    <s v="Traspaso"/>
    <x v="1"/>
  </r>
  <r>
    <x v="59"/>
    <x v="20"/>
    <x v="20"/>
    <n v="100"/>
    <s v="Arrend Trastero"/>
    <x v="2"/>
  </r>
  <r>
    <x v="59"/>
    <x v="12"/>
    <x v="7"/>
    <n v="-1253.57"/>
    <s v="Traspaso"/>
    <x v="0"/>
  </r>
  <r>
    <x v="59"/>
    <x v="14"/>
    <x v="7"/>
    <n v="1253.57"/>
    <s v="Traspaso"/>
    <x v="0"/>
  </r>
  <r>
    <x v="59"/>
    <x v="19"/>
    <x v="7"/>
    <n v="-300"/>
    <s v="Traspaso"/>
    <x v="1"/>
  </r>
  <r>
    <x v="59"/>
    <x v="17"/>
    <x v="7"/>
    <n v="300"/>
    <s v="Traspaso"/>
    <x v="1"/>
  </r>
  <r>
    <x v="59"/>
    <x v="7"/>
    <x v="2"/>
    <n v="-1.4"/>
    <s v="Esmorzar"/>
    <x v="1"/>
  </r>
  <r>
    <x v="59"/>
    <x v="17"/>
    <x v="26"/>
    <n v="-156"/>
    <s v="Excursiones para cruceros Adriatico"/>
    <x v="2"/>
  </r>
  <r>
    <x v="59"/>
    <x v="26"/>
    <x v="7"/>
    <n v="-180"/>
    <s v="Traspaso"/>
    <x v="0"/>
  </r>
  <r>
    <x v="59"/>
    <x v="0"/>
    <x v="7"/>
    <n v="180"/>
    <s v="Traspaso"/>
    <x v="0"/>
  </r>
  <r>
    <x v="59"/>
    <x v="14"/>
    <x v="7"/>
    <n v="-1030"/>
    <s v="Traspaso"/>
    <x v="0"/>
  </r>
  <r>
    <x v="59"/>
    <x v="1"/>
    <x v="7"/>
    <n v="1030"/>
    <s v="Traspaso"/>
    <x v="0"/>
  </r>
  <r>
    <x v="59"/>
    <x v="21"/>
    <x v="7"/>
    <n v="-70"/>
    <m/>
    <x v="1"/>
  </r>
  <r>
    <x v="59"/>
    <x v="32"/>
    <x v="7"/>
    <n v="70"/>
    <m/>
    <x v="1"/>
  </r>
  <r>
    <x v="60"/>
    <x v="4"/>
    <x v="4"/>
    <n v="-1.3"/>
    <s v="ALMUERZO"/>
    <x v="0"/>
  </r>
  <r>
    <x v="60"/>
    <x v="17"/>
    <x v="26"/>
    <n v="-54.6"/>
    <s v="Shore2shore Dubrovnik"/>
    <x v="2"/>
  </r>
  <r>
    <x v="60"/>
    <x v="7"/>
    <x v="2"/>
    <n v="-2.2000000000000002"/>
    <s v="Esmorzar"/>
    <x v="1"/>
  </r>
  <r>
    <x v="60"/>
    <x v="4"/>
    <x v="2"/>
    <n v="-9.59"/>
    <s v="LIDL"/>
    <x v="2"/>
  </r>
  <r>
    <x v="61"/>
    <x v="13"/>
    <x v="5"/>
    <n v="-20"/>
    <s v="DERRAMA GARAJE"/>
    <x v="0"/>
  </r>
  <r>
    <x v="61"/>
    <x v="4"/>
    <x v="4"/>
    <n v="-1.3"/>
    <s v="ALMUERZO"/>
    <x v="0"/>
  </r>
  <r>
    <x v="61"/>
    <x v="20"/>
    <x v="10"/>
    <n v="-74"/>
    <s v="Gimnasio"/>
    <x v="2"/>
  </r>
  <r>
    <x v="61"/>
    <x v="20"/>
    <x v="5"/>
    <n v="-20"/>
    <s v="Derrama Garaje Manises"/>
    <x v="2"/>
  </r>
  <r>
    <x v="62"/>
    <x v="4"/>
    <x v="4"/>
    <n v="-1.3"/>
    <s v="ALMUERZO"/>
    <x v="0"/>
  </r>
  <r>
    <x v="62"/>
    <x v="26"/>
    <x v="7"/>
    <n v="-1320"/>
    <s v="Traspaso"/>
    <x v="0"/>
  </r>
  <r>
    <x v="62"/>
    <x v="27"/>
    <x v="7"/>
    <n v="1320"/>
    <s v="Traspaso"/>
    <x v="0"/>
  </r>
  <r>
    <x v="62"/>
    <x v="7"/>
    <x v="2"/>
    <n v="-1.4"/>
    <s v="Esmorzar"/>
    <x v="1"/>
  </r>
  <r>
    <x v="62"/>
    <x v="20"/>
    <x v="8"/>
    <n v="389.08"/>
    <s v="Gastos febrero"/>
    <x v="1"/>
  </r>
  <r>
    <x v="62"/>
    <x v="13"/>
    <x v="8"/>
    <n v="-389.08"/>
    <s v="FEBRERO"/>
    <x v="0"/>
  </r>
  <r>
    <x v="63"/>
    <x v="16"/>
    <x v="7"/>
    <n v="-3000"/>
    <s v="Traspaso"/>
    <x v="1"/>
  </r>
  <r>
    <x v="63"/>
    <x v="20"/>
    <x v="7"/>
    <n v="3000"/>
    <s v="Traspaso"/>
    <x v="1"/>
  </r>
  <r>
    <x v="63"/>
    <x v="20"/>
    <x v="6"/>
    <n v="-4.5"/>
    <s v="Comisión Letras"/>
    <x v="1"/>
  </r>
  <r>
    <x v="63"/>
    <x v="20"/>
    <x v="7"/>
    <n v="-3000"/>
    <s v="Traspaso"/>
    <x v="1"/>
  </r>
  <r>
    <x v="63"/>
    <x v="21"/>
    <x v="7"/>
    <n v="3000"/>
    <s v="Traspaso"/>
    <x v="1"/>
  </r>
  <r>
    <x v="63"/>
    <x v="26"/>
    <x v="1"/>
    <n v="1.79"/>
    <s v="Intereses"/>
    <x v="0"/>
  </r>
  <r>
    <x v="63"/>
    <x v="7"/>
    <x v="2"/>
    <n v="-5.5"/>
    <s v="Esmorzar"/>
    <x v="1"/>
  </r>
  <r>
    <x v="63"/>
    <x v="4"/>
    <x v="10"/>
    <n v="-7.5"/>
    <s v="PÁDEL"/>
    <x v="0"/>
  </r>
  <r>
    <x v="63"/>
    <x v="14"/>
    <x v="1"/>
    <n v="52.54"/>
    <s v="DIVIDENDOS ETF"/>
    <x v="0"/>
  </r>
  <r>
    <x v="63"/>
    <x v="17"/>
    <x v="4"/>
    <n v="-144"/>
    <s v="Entrades El Fantasma de la Ópera"/>
    <x v="2"/>
  </r>
  <r>
    <x v="64"/>
    <x v="4"/>
    <x v="2"/>
    <n v="-85.18"/>
    <s v="MERCADONA"/>
    <x v="2"/>
  </r>
  <r>
    <x v="64"/>
    <x v="12"/>
    <x v="12"/>
    <n v="-870"/>
    <s v="DUCHA MANISES MAMPARA/PLATO/GRIFO"/>
    <x v="0"/>
  </r>
  <r>
    <x v="65"/>
    <x v="4"/>
    <x v="11"/>
    <n v="-2.86"/>
    <s v="TEVETENS, AFLOYAN Y BESITRAN"/>
    <x v="0"/>
  </r>
  <r>
    <x v="66"/>
    <x v="4"/>
    <x v="4"/>
    <n v="-1.3"/>
    <s v="ALMUERZO"/>
    <x v="0"/>
  </r>
  <r>
    <x v="66"/>
    <x v="17"/>
    <x v="20"/>
    <n v="7.5"/>
    <s v="Vinted Chaqueta Pana"/>
    <x v="1"/>
  </r>
  <r>
    <x v="66"/>
    <x v="20"/>
    <x v="13"/>
    <n v="-21"/>
    <s v="Parking Ayto"/>
    <x v="1"/>
  </r>
  <r>
    <x v="66"/>
    <x v="7"/>
    <x v="2"/>
    <n v="-1.6"/>
    <s v="Esmorzar"/>
    <x v="1"/>
  </r>
  <r>
    <x v="66"/>
    <x v="7"/>
    <x v="2"/>
    <n v="-2.29"/>
    <s v="Taronges"/>
    <x v="2"/>
  </r>
  <r>
    <x v="66"/>
    <x v="20"/>
    <x v="23"/>
    <n v="-38.71"/>
    <s v="Bioferta"/>
    <x v="1"/>
  </r>
  <r>
    <x v="66"/>
    <x v="20"/>
    <x v="17"/>
    <n v="-19"/>
    <s v="Pendientes Singularu"/>
    <x v="1"/>
  </r>
  <r>
    <x v="67"/>
    <x v="4"/>
    <x v="4"/>
    <n v="-1.3"/>
    <s v="ALMUERZO"/>
    <x v="0"/>
  </r>
  <r>
    <x v="67"/>
    <x v="5"/>
    <x v="2"/>
    <n v="-5.5"/>
    <s v="Esmorzar"/>
    <x v="1"/>
  </r>
  <r>
    <x v="67"/>
    <x v="5"/>
    <x v="21"/>
    <n v="-108.5"/>
    <s v="Peluquería"/>
    <x v="1"/>
  </r>
  <r>
    <x v="68"/>
    <x v="4"/>
    <x v="4"/>
    <n v="-1.3"/>
    <s v="ALMUERZO"/>
    <x v="0"/>
  </r>
  <r>
    <x v="68"/>
    <x v="7"/>
    <x v="17"/>
    <n v="-5"/>
    <s v="Pila rellotge Viceroy"/>
    <x v="1"/>
  </r>
  <r>
    <x v="68"/>
    <x v="7"/>
    <x v="2"/>
    <n v="-1.6"/>
    <s v="Esmorzar"/>
    <x v="1"/>
  </r>
  <r>
    <x v="68"/>
    <x v="20"/>
    <x v="18"/>
    <n v="-35"/>
    <s v="Lowi"/>
    <x v="2"/>
  </r>
  <r>
    <x v="68"/>
    <x v="4"/>
    <x v="4"/>
    <n v="-18.3"/>
    <s v="CENA LOS TONELES"/>
    <x v="2"/>
  </r>
  <r>
    <x v="68"/>
    <x v="5"/>
    <x v="2"/>
    <n v="-13.5"/>
    <s v="Trufes mongetes Godella"/>
    <x v="2"/>
  </r>
  <r>
    <x v="69"/>
    <x v="4"/>
    <x v="12"/>
    <n v="-29.09"/>
    <s v="LÁMPARA"/>
    <x v="2"/>
  </r>
  <r>
    <x v="69"/>
    <x v="7"/>
    <x v="2"/>
    <n v="-2.2000000000000002"/>
    <s v="Esmorzar"/>
    <x v="1"/>
  </r>
  <r>
    <x v="69"/>
    <x v="7"/>
    <x v="2"/>
    <n v="-4"/>
    <s v="Taronges"/>
    <x v="2"/>
  </r>
  <r>
    <x v="69"/>
    <x v="14"/>
    <x v="1"/>
    <n v="0.32"/>
    <s v="DIVIDENDOS"/>
    <x v="0"/>
  </r>
  <r>
    <x v="69"/>
    <x v="4"/>
    <x v="2"/>
    <n v="-8.0500000000000007"/>
    <s v="MERCADONA"/>
    <x v="2"/>
  </r>
  <r>
    <x v="70"/>
    <x v="17"/>
    <x v="4"/>
    <n v="-20"/>
    <s v="Entrades Magos Alm"/>
    <x v="2"/>
  </r>
  <r>
    <x v="70"/>
    <x v="4"/>
    <x v="10"/>
    <n v="-5"/>
    <s v="PÁDEL"/>
    <x v="0"/>
  </r>
  <r>
    <x v="70"/>
    <x v="5"/>
    <x v="2"/>
    <n v="-7.5"/>
    <s v="Esmorzar"/>
    <x v="1"/>
  </r>
  <r>
    <x v="70"/>
    <x v="4"/>
    <x v="2"/>
    <n v="-70.819999999999993"/>
    <s v="MERCADONA"/>
    <x v="2"/>
  </r>
  <r>
    <x v="70"/>
    <x v="19"/>
    <x v="1"/>
    <n v="52.84"/>
    <s v="Int"/>
    <x v="1"/>
  </r>
  <r>
    <x v="71"/>
    <x v="4"/>
    <x v="4"/>
    <n v="-55.9"/>
    <s v="COMIDA FALLAS"/>
    <x v="2"/>
  </r>
  <r>
    <x v="71"/>
    <x v="7"/>
    <x v="6"/>
    <n v="-10"/>
    <s v="Cuadritos Fallas"/>
    <x v="2"/>
  </r>
  <r>
    <x v="71"/>
    <x v="5"/>
    <x v="4"/>
    <n v="-13"/>
    <s v="Esmorzar Falles"/>
    <x v="2"/>
  </r>
  <r>
    <x v="72"/>
    <x v="4"/>
    <x v="4"/>
    <n v="-1.3"/>
    <s v="ALMUERZO"/>
    <x v="0"/>
  </r>
  <r>
    <x v="72"/>
    <x v="14"/>
    <x v="1"/>
    <n v="0.17"/>
    <s v="DIVIDENDO ALPHABET"/>
    <x v="0"/>
  </r>
  <r>
    <x v="72"/>
    <x v="14"/>
    <x v="7"/>
    <n v="-1000.3"/>
    <s v="Traspaso"/>
    <x v="0"/>
  </r>
  <r>
    <x v="72"/>
    <x v="1"/>
    <x v="7"/>
    <n v="1000.3"/>
    <s v="Traspaso"/>
    <x v="0"/>
  </r>
  <r>
    <x v="72"/>
    <x v="14"/>
    <x v="7"/>
    <n v="-2100"/>
    <s v="Traspaso"/>
    <x v="0"/>
  </r>
  <r>
    <x v="72"/>
    <x v="1"/>
    <x v="7"/>
    <n v="2100"/>
    <s v="Traspaso"/>
    <x v="0"/>
  </r>
  <r>
    <x v="72"/>
    <x v="4"/>
    <x v="10"/>
    <n v="-1.75"/>
    <s v="PADEL"/>
    <x v="0"/>
  </r>
  <r>
    <x v="72"/>
    <x v="26"/>
    <x v="1"/>
    <n v="0.23"/>
    <s v="DIVIDENDOS ETF"/>
    <x v="0"/>
  </r>
  <r>
    <x v="72"/>
    <x v="12"/>
    <x v="1"/>
    <n v="1.64"/>
    <s v="Intereses"/>
    <x v="0"/>
  </r>
  <r>
    <x v="72"/>
    <x v="20"/>
    <x v="7"/>
    <n v="-500"/>
    <m/>
    <x v="1"/>
  </r>
  <r>
    <x v="72"/>
    <x v="17"/>
    <x v="7"/>
    <n v="500"/>
    <m/>
    <x v="1"/>
  </r>
  <r>
    <x v="72"/>
    <x v="20"/>
    <x v="6"/>
    <n v="-10.48"/>
    <s v="Ocaso seguro"/>
    <x v="1"/>
  </r>
  <r>
    <x v="72"/>
    <x v="17"/>
    <x v="4"/>
    <n v="-78"/>
    <s v="Kinky Boots Olympia"/>
    <x v="2"/>
  </r>
  <r>
    <x v="73"/>
    <x v="7"/>
    <x v="2"/>
    <n v="-1.6"/>
    <s v="Esmorzar"/>
    <x v="1"/>
  </r>
  <r>
    <x v="73"/>
    <x v="14"/>
    <x v="1"/>
    <n v="0.65"/>
    <s v="DIVIDENDO ETF"/>
    <x v="0"/>
  </r>
  <r>
    <x v="73"/>
    <x v="4"/>
    <x v="16"/>
    <n v="-79"/>
    <s v="GASOLINA"/>
    <x v="2"/>
  </r>
  <r>
    <x v="74"/>
    <x v="13"/>
    <x v="6"/>
    <n v="-141.82"/>
    <s v="GUITARRA ELÉCTRICA"/>
    <x v="0"/>
  </r>
  <r>
    <x v="74"/>
    <x v="26"/>
    <x v="7"/>
    <n v="-125"/>
    <s v="Traspaso"/>
    <x v="0"/>
  </r>
  <r>
    <x v="74"/>
    <x v="0"/>
    <x v="7"/>
    <n v="125"/>
    <s v="Traspaso"/>
    <x v="0"/>
  </r>
  <r>
    <x v="74"/>
    <x v="5"/>
    <x v="16"/>
    <n v="-56"/>
    <s v="Gasoil"/>
    <x v="2"/>
  </r>
  <r>
    <x v="75"/>
    <x v="7"/>
    <x v="2"/>
    <n v="-2"/>
    <s v="Esmorzar"/>
    <x v="1"/>
  </r>
  <r>
    <x v="75"/>
    <x v="26"/>
    <x v="17"/>
    <n v="-20.329999999999998"/>
    <s v="CAMISETAS"/>
    <x v="0"/>
  </r>
  <r>
    <x v="75"/>
    <x v="25"/>
    <x v="7"/>
    <n v="-529.64"/>
    <s v="Traspaso"/>
    <x v="0"/>
  </r>
  <r>
    <x v="75"/>
    <x v="24"/>
    <x v="7"/>
    <n v="529.64"/>
    <s v="Traspaso"/>
    <x v="0"/>
  </r>
  <r>
    <x v="76"/>
    <x v="7"/>
    <x v="2"/>
    <n v="-0.6"/>
    <s v="Aigua"/>
    <x v="1"/>
  </r>
  <r>
    <x v="76"/>
    <x v="5"/>
    <x v="2"/>
    <n v="-5.5"/>
    <s v="Esmorzar"/>
    <x v="1"/>
  </r>
  <r>
    <x v="76"/>
    <x v="4"/>
    <x v="2"/>
    <n v="-7.66"/>
    <s v="FRUTERÍA"/>
    <x v="2"/>
  </r>
  <r>
    <x v="76"/>
    <x v="4"/>
    <x v="10"/>
    <n v="-7.5"/>
    <s v="PÁDEL"/>
    <x v="0"/>
  </r>
  <r>
    <x v="76"/>
    <x v="5"/>
    <x v="2"/>
    <n v="-6.02"/>
    <s v="Carrefour"/>
    <x v="2"/>
  </r>
  <r>
    <x v="77"/>
    <x v="26"/>
    <x v="6"/>
    <n v="-37.380000000000003"/>
    <s v="GUITARRA ACÚSTICA"/>
    <x v="0"/>
  </r>
  <r>
    <x v="77"/>
    <x v="4"/>
    <x v="2"/>
    <n v="-99.45"/>
    <s v="MERCADONA"/>
    <x v="2"/>
  </r>
  <r>
    <x v="77"/>
    <x v="4"/>
    <x v="12"/>
    <n v="-22.15"/>
    <s v="VARIOS VIVIENDA"/>
    <x v="2"/>
  </r>
  <r>
    <x v="78"/>
    <x v="7"/>
    <x v="2"/>
    <n v="-1.6"/>
    <s v="Esmorzar"/>
    <x v="1"/>
  </r>
  <r>
    <x v="78"/>
    <x v="7"/>
    <x v="9"/>
    <n v="500"/>
    <s v="Diners tío"/>
    <x v="1"/>
  </r>
  <r>
    <x v="78"/>
    <x v="17"/>
    <x v="26"/>
    <n v="-52.8"/>
    <s v="Excursión Zadar"/>
    <x v="2"/>
  </r>
  <r>
    <x v="78"/>
    <x v="4"/>
    <x v="4"/>
    <n v="-1.3"/>
    <s v="ALMUERZO"/>
    <x v="0"/>
  </r>
  <r>
    <x v="79"/>
    <x v="4"/>
    <x v="4"/>
    <n v="-1.3"/>
    <s v="ALMUERZO"/>
    <x v="0"/>
  </r>
  <r>
    <x v="79"/>
    <x v="4"/>
    <x v="7"/>
    <n v="-1000"/>
    <s v="COMPRA BITCOINS"/>
    <x v="0"/>
  </r>
  <r>
    <x v="79"/>
    <x v="29"/>
    <x v="7"/>
    <n v="1000"/>
    <s v="Traspaso"/>
    <x v="0"/>
  </r>
  <r>
    <x v="79"/>
    <x v="12"/>
    <x v="7"/>
    <n v="-1131.6400000000001"/>
    <s v="Traspaso"/>
    <x v="0"/>
  </r>
  <r>
    <x v="79"/>
    <x v="26"/>
    <x v="7"/>
    <n v="1131.6400000000001"/>
    <s v="Traspaso"/>
    <x v="0"/>
  </r>
  <r>
    <x v="79"/>
    <x v="13"/>
    <x v="19"/>
    <n v="-10.17"/>
    <s v="CASA"/>
    <x v="2"/>
  </r>
  <r>
    <x v="79"/>
    <x v="14"/>
    <x v="7"/>
    <n v="-1000"/>
    <s v="Traspaso"/>
    <x v="0"/>
  </r>
  <r>
    <x v="79"/>
    <x v="26"/>
    <x v="7"/>
    <n v="1000"/>
    <s v="Traspaso"/>
    <x v="0"/>
  </r>
  <r>
    <x v="79"/>
    <x v="26"/>
    <x v="7"/>
    <n v="-1000"/>
    <s v="TRASPASO"/>
    <x v="0"/>
  </r>
  <r>
    <x v="79"/>
    <x v="29"/>
    <x v="7"/>
    <n v="1000"/>
    <s v="COMPRA BITCOIN"/>
    <x v="0"/>
  </r>
  <r>
    <x v="79"/>
    <x v="26"/>
    <x v="6"/>
    <n v="-27.09"/>
    <s v="CHORRADICAS GUITARRA"/>
    <x v="0"/>
  </r>
  <r>
    <x v="79"/>
    <x v="4"/>
    <x v="2"/>
    <n v="-9.83"/>
    <s v="MERCADONA"/>
    <x v="2"/>
  </r>
  <r>
    <x v="79"/>
    <x v="4"/>
    <x v="10"/>
    <n v="-50"/>
    <s v="BONO PÁDEL"/>
    <x v="0"/>
  </r>
  <r>
    <x v="80"/>
    <x v="4"/>
    <x v="4"/>
    <n v="-1.3"/>
    <s v="ALMUERZO"/>
    <x v="0"/>
  </r>
  <r>
    <x v="80"/>
    <x v="12"/>
    <x v="22"/>
    <n v="1973.17"/>
    <s v="Nómina"/>
    <x v="0"/>
  </r>
  <r>
    <x v="80"/>
    <x v="7"/>
    <x v="6"/>
    <n v="-2.5"/>
    <s v="Pila mando garaje"/>
    <x v="2"/>
  </r>
  <r>
    <x v="80"/>
    <x v="7"/>
    <x v="2"/>
    <n v="-2.8"/>
    <s v="Esmorzar"/>
    <x v="1"/>
  </r>
  <r>
    <x v="81"/>
    <x v="26"/>
    <x v="17"/>
    <n v="-20.02"/>
    <s v="ZAPATILLAS"/>
    <x v="0"/>
  </r>
  <r>
    <x v="81"/>
    <x v="4"/>
    <x v="4"/>
    <n v="-1.3"/>
    <s v="ALMUERZO"/>
    <x v="0"/>
  </r>
  <r>
    <x v="81"/>
    <x v="4"/>
    <x v="7"/>
    <n v="-1000"/>
    <s v="Traspaso"/>
    <x v="0"/>
  </r>
  <r>
    <x v="81"/>
    <x v="33"/>
    <x v="7"/>
    <n v="1000"/>
    <s v="Traspaso"/>
    <x v="0"/>
  </r>
  <r>
    <x v="81"/>
    <x v="14"/>
    <x v="7"/>
    <n v="-2000"/>
    <s v="Traspaso"/>
    <x v="0"/>
  </r>
  <r>
    <x v="81"/>
    <x v="26"/>
    <x v="7"/>
    <n v="2000"/>
    <s v="Traspaso"/>
    <x v="0"/>
  </r>
  <r>
    <x v="81"/>
    <x v="26"/>
    <x v="7"/>
    <n v="-1000"/>
    <s v="Traspaso"/>
    <x v="0"/>
  </r>
  <r>
    <x v="81"/>
    <x v="33"/>
    <x v="7"/>
    <n v="1000"/>
    <s v="Traspaso"/>
    <x v="0"/>
  </r>
  <r>
    <x v="81"/>
    <x v="7"/>
    <x v="2"/>
    <n v="-2"/>
    <s v="Esmorzar"/>
    <x v="1"/>
  </r>
  <r>
    <x v="81"/>
    <x v="17"/>
    <x v="20"/>
    <n v="2"/>
    <s v="Venta libro Vinted"/>
    <x v="2"/>
  </r>
  <r>
    <x v="81"/>
    <x v="19"/>
    <x v="22"/>
    <n v="1955.54"/>
    <s v="Nómina"/>
    <x v="1"/>
  </r>
  <r>
    <x v="81"/>
    <x v="7"/>
    <x v="11"/>
    <n v="-80"/>
    <s v="Psico Empar"/>
    <x v="1"/>
  </r>
  <r>
    <x v="81"/>
    <x v="13"/>
    <x v="5"/>
    <n v="-45.86"/>
    <s v="DERRAMA PISO"/>
    <x v="0"/>
  </r>
  <r>
    <x v="82"/>
    <x v="4"/>
    <x v="6"/>
    <n v="-44.38"/>
    <s v="MEMORIA 32GB DDR4"/>
    <x v="0"/>
  </r>
  <r>
    <x v="82"/>
    <x v="4"/>
    <x v="10"/>
    <n v="-5"/>
    <s v="PADEL"/>
    <x v="0"/>
  </r>
  <r>
    <x v="82"/>
    <x v="4"/>
    <x v="12"/>
    <n v="-18.559999999999999"/>
    <s v="BATIDORA"/>
    <x v="2"/>
  </r>
  <r>
    <x v="82"/>
    <x v="33"/>
    <x v="11"/>
    <n v="-80"/>
    <s v="PSICÓLOGA"/>
    <x v="0"/>
  </r>
  <r>
    <x v="82"/>
    <x v="33"/>
    <x v="7"/>
    <n v="-3000"/>
    <s v="COMPRA ACCIONES TESLA"/>
    <x v="0"/>
  </r>
  <r>
    <x v="82"/>
    <x v="34"/>
    <x v="7"/>
    <n v="3000"/>
    <s v="COMPRA ACCIONES TESLA"/>
    <x v="0"/>
  </r>
  <r>
    <x v="82"/>
    <x v="26"/>
    <x v="7"/>
    <n v="-2000"/>
    <s v="Traspaso"/>
    <x v="0"/>
  </r>
  <r>
    <x v="82"/>
    <x v="33"/>
    <x v="7"/>
    <n v="2000"/>
    <s v="Traspaso"/>
    <x v="0"/>
  </r>
  <r>
    <x v="82"/>
    <x v="12"/>
    <x v="7"/>
    <n v="-1335.17"/>
    <s v="Traspaso"/>
    <x v="0"/>
  </r>
  <r>
    <x v="82"/>
    <x v="33"/>
    <x v="7"/>
    <n v="1335.17"/>
    <s v="Traspaso"/>
    <x v="0"/>
  </r>
  <r>
    <x v="82"/>
    <x v="5"/>
    <x v="17"/>
    <n v="-12.5"/>
    <s v="Primark"/>
    <x v="1"/>
  </r>
  <r>
    <x v="82"/>
    <x v="5"/>
    <x v="17"/>
    <n v="-5.95"/>
    <s v="Ysabel Mora Bonaire"/>
    <x v="1"/>
  </r>
  <r>
    <x v="83"/>
    <x v="5"/>
    <x v="12"/>
    <n v="-499.99"/>
    <s v="Jysk"/>
    <x v="2"/>
  </r>
  <r>
    <x v="84"/>
    <x v="7"/>
    <x v="4"/>
    <n v="-28"/>
    <s v="Dinar El Pastoret"/>
    <x v="2"/>
  </r>
  <r>
    <x v="85"/>
    <x v="20"/>
    <x v="20"/>
    <n v="100"/>
    <s v="Garaje"/>
    <x v="2"/>
  </r>
  <r>
    <x v="85"/>
    <x v="20"/>
    <x v="7"/>
    <n v="-259.98"/>
    <s v="Traspaso"/>
    <x v="1"/>
  </r>
  <r>
    <x v="85"/>
    <x v="5"/>
    <x v="7"/>
    <n v="259.98"/>
    <s v="Traspaso"/>
    <x v="1"/>
  </r>
  <r>
    <x v="83"/>
    <x v="4"/>
    <x v="4"/>
    <n v="-5"/>
    <s v="BEBIDA"/>
    <x v="2"/>
  </r>
  <r>
    <x v="83"/>
    <x v="4"/>
    <x v="2"/>
    <n v="-121.43"/>
    <s v="MERCADONA"/>
    <x v="2"/>
  </r>
  <r>
    <x v="83"/>
    <x v="4"/>
    <x v="2"/>
    <n v="-10.5"/>
    <s v="EL RECHUPETE"/>
    <x v="2"/>
  </r>
  <r>
    <x v="85"/>
    <x v="12"/>
    <x v="7"/>
    <n v="-1638"/>
    <s v="Traspaso"/>
    <x v="0"/>
  </r>
  <r>
    <x v="85"/>
    <x v="4"/>
    <x v="7"/>
    <n v="1638"/>
    <s v="Traspaso"/>
    <x v="0"/>
  </r>
  <r>
    <x v="85"/>
    <x v="4"/>
    <x v="4"/>
    <n v="-1.3"/>
    <s v="ALMUERZO"/>
    <x v="0"/>
  </r>
  <r>
    <x v="85"/>
    <x v="4"/>
    <x v="6"/>
    <n v="-249"/>
    <s v="CURSO GUITARRA"/>
    <x v="0"/>
  </r>
  <r>
    <x v="85"/>
    <x v="12"/>
    <x v="7"/>
    <n v="-500"/>
    <s v="Traspaso"/>
    <x v="0"/>
  </r>
  <r>
    <x v="85"/>
    <x v="33"/>
    <x v="7"/>
    <n v="500"/>
    <s v="Traspaso"/>
    <x v="0"/>
  </r>
  <r>
    <x v="85"/>
    <x v="26"/>
    <x v="7"/>
    <n v="-907.24"/>
    <s v="COMPRA ETF BITCOIN"/>
    <x v="0"/>
  </r>
  <r>
    <x v="85"/>
    <x v="27"/>
    <x v="7"/>
    <n v="907.24"/>
    <s v="COMPRA ETF BITCOIN"/>
    <x v="0"/>
  </r>
  <r>
    <x v="85"/>
    <x v="4"/>
    <x v="10"/>
    <n v="-8"/>
    <s v="PADEL"/>
    <x v="0"/>
  </r>
  <r>
    <x v="85"/>
    <x v="19"/>
    <x v="7"/>
    <n v="-1000"/>
    <s v="TRASPASO"/>
    <x v="1"/>
  </r>
  <r>
    <x v="85"/>
    <x v="20"/>
    <x v="7"/>
    <n v="1000"/>
    <s v="TRASPASO"/>
    <x v="1"/>
  </r>
  <r>
    <x v="85"/>
    <x v="5"/>
    <x v="7"/>
    <n v="-200"/>
    <s v="TRASPASO"/>
    <x v="1"/>
  </r>
  <r>
    <x v="85"/>
    <x v="35"/>
    <x v="7"/>
    <n v="200"/>
    <s v="TRASPASO"/>
    <x v="1"/>
  </r>
  <r>
    <x v="85"/>
    <x v="20"/>
    <x v="7"/>
    <n v="-500"/>
    <s v="TRASPASO"/>
    <x v="1"/>
  </r>
  <r>
    <x v="85"/>
    <x v="35"/>
    <x v="7"/>
    <n v="500"/>
    <s v="TRASPASO"/>
    <x v="1"/>
  </r>
  <r>
    <x v="85"/>
    <x v="13"/>
    <x v="5"/>
    <n v="-60"/>
    <s v="CASA"/>
    <x v="2"/>
  </r>
  <r>
    <x v="86"/>
    <x v="26"/>
    <x v="3"/>
    <n v="800"/>
    <s v="ABRIL"/>
    <x v="0"/>
  </r>
  <r>
    <x v="86"/>
    <x v="7"/>
    <x v="6"/>
    <n v="-1.54"/>
    <s v="Descuadre"/>
    <x v="1"/>
  </r>
  <r>
    <x v="86"/>
    <x v="4"/>
    <x v="4"/>
    <n v="-1.3"/>
    <s v="ALMUERZO"/>
    <x v="0"/>
  </r>
  <r>
    <x v="86"/>
    <x v="20"/>
    <x v="11"/>
    <n v="-57.71"/>
    <s v="Mapfre salud"/>
    <x v="1"/>
  </r>
  <r>
    <x v="86"/>
    <x v="21"/>
    <x v="1"/>
    <n v="57.2"/>
    <s v="Intereses"/>
    <x v="1"/>
  </r>
  <r>
    <x v="86"/>
    <x v="17"/>
    <x v="12"/>
    <n v="-249.99"/>
    <s v="Centro Planchado Rowenta Amazon"/>
    <x v="2"/>
  </r>
  <r>
    <x v="86"/>
    <x v="17"/>
    <x v="1"/>
    <n v="0.21"/>
    <s v="Intereses"/>
    <x v="1"/>
  </r>
  <r>
    <x v="86"/>
    <x v="12"/>
    <x v="7"/>
    <n v="-50"/>
    <s v="TRASPASO"/>
    <x v="0"/>
  </r>
  <r>
    <x v="86"/>
    <x v="36"/>
    <x v="7"/>
    <n v="50"/>
    <s v="TRASPASO"/>
    <x v="0"/>
  </r>
  <r>
    <x v="86"/>
    <x v="33"/>
    <x v="1"/>
    <n v="0.12"/>
    <s v="Intereses"/>
    <x v="0"/>
  </r>
  <r>
    <x v="86"/>
    <x v="33"/>
    <x v="8"/>
    <n v="-39.119999999999997"/>
    <s v="MARZO"/>
    <x v="0"/>
  </r>
  <r>
    <x v="86"/>
    <x v="14"/>
    <x v="1"/>
    <n v="12.27"/>
    <s v="Intereses"/>
    <x v="0"/>
  </r>
  <r>
    <x v="86"/>
    <x v="35"/>
    <x v="1"/>
    <n v="0.01"/>
    <s v="Intereses"/>
    <x v="1"/>
  </r>
  <r>
    <x v="86"/>
    <x v="35"/>
    <x v="9"/>
    <n v="500"/>
    <s v="Regal Tio"/>
    <x v="1"/>
  </r>
  <r>
    <x v="86"/>
    <x v="13"/>
    <x v="5"/>
    <n v="-35.880000000000003"/>
    <s v="PISO"/>
    <x v="0"/>
  </r>
  <r>
    <x v="86"/>
    <x v="7"/>
    <x v="2"/>
    <n v="-4"/>
    <s v="Caramelos"/>
    <x v="1"/>
  </r>
  <r>
    <x v="86"/>
    <x v="7"/>
    <x v="10"/>
    <n v="-15"/>
    <s v="Suje esportiu Mercat Ysabel Mora"/>
    <x v="1"/>
  </r>
  <r>
    <x v="86"/>
    <x v="35"/>
    <x v="8"/>
    <n v="39.119999999999997"/>
    <s v="Gastos marzo"/>
    <x v="1"/>
  </r>
  <r>
    <x v="86"/>
    <x v="26"/>
    <x v="7"/>
    <n v="-200"/>
    <s v="Traspaso"/>
    <x v="0"/>
  </r>
  <r>
    <x v="86"/>
    <x v="27"/>
    <x v="7"/>
    <n v="200"/>
    <s v="Traspaso"/>
    <x v="0"/>
  </r>
  <r>
    <x v="86"/>
    <x v="31"/>
    <x v="1"/>
    <n v="0.55000000000000004"/>
    <s v="INTERESES"/>
    <x v="0"/>
  </r>
  <r>
    <x v="87"/>
    <x v="4"/>
    <x v="4"/>
    <n v="-3"/>
    <s v="ALMUERZO"/>
    <x v="0"/>
  </r>
  <r>
    <x v="87"/>
    <x v="7"/>
    <x v="2"/>
    <n v="-4.5"/>
    <s v="Esmorzar"/>
    <x v="1"/>
  </r>
  <r>
    <x v="87"/>
    <x v="7"/>
    <x v="11"/>
    <n v="-15.81"/>
    <s v="Citrato magnesio Navarro"/>
    <x v="1"/>
  </r>
  <r>
    <x v="87"/>
    <x v="33"/>
    <x v="7"/>
    <n v="-500"/>
    <s v="Traspaso"/>
    <x v="0"/>
  </r>
  <r>
    <x v="87"/>
    <x v="31"/>
    <x v="7"/>
    <n v="500"/>
    <s v="Traspaso"/>
    <x v="0"/>
  </r>
  <r>
    <x v="87"/>
    <x v="4"/>
    <x v="7"/>
    <n v="-500"/>
    <s v="Traspaso"/>
    <x v="0"/>
  </r>
  <r>
    <x v="87"/>
    <x v="30"/>
    <x v="7"/>
    <n v="500"/>
    <s v="Traspaso"/>
    <x v="0"/>
  </r>
  <r>
    <x v="87"/>
    <x v="14"/>
    <x v="1"/>
    <n v="0.02"/>
    <s v="DIVIDENDO NVIDIA"/>
    <x v="0"/>
  </r>
  <r>
    <x v="87"/>
    <x v="14"/>
    <x v="7"/>
    <n v="-1030"/>
    <s v="Traspaso"/>
    <x v="0"/>
  </r>
  <r>
    <x v="87"/>
    <x v="1"/>
    <x v="7"/>
    <n v="1030"/>
    <s v="Traspaso"/>
    <x v="0"/>
  </r>
  <r>
    <x v="87"/>
    <x v="7"/>
    <x v="6"/>
    <n v="-33"/>
    <s v="Neteja Yine"/>
    <x v="2"/>
  </r>
  <r>
    <x v="87"/>
    <x v="21"/>
    <x v="7"/>
    <n v="-70"/>
    <s v="TRASPASO"/>
    <x v="1"/>
  </r>
  <r>
    <x v="87"/>
    <x v="32"/>
    <x v="7"/>
    <n v="70"/>
    <s v="TRASPASO"/>
    <x v="1"/>
  </r>
  <r>
    <x v="88"/>
    <x v="4"/>
    <x v="4"/>
    <n v="-1.3"/>
    <s v="ALMUERZO"/>
    <x v="0"/>
  </r>
  <r>
    <x v="88"/>
    <x v="20"/>
    <x v="10"/>
    <n v="-74"/>
    <s v="Gym  Aspresso"/>
    <x v="2"/>
  </r>
  <r>
    <x v="88"/>
    <x v="7"/>
    <x v="2"/>
    <n v="-5.5"/>
    <s v="Esmorzar"/>
    <x v="1"/>
  </r>
  <r>
    <x v="88"/>
    <x v="35"/>
    <x v="6"/>
    <n v="-40"/>
    <s v="Pallardó Flores"/>
    <x v="1"/>
  </r>
  <r>
    <x v="89"/>
    <x v="4"/>
    <x v="4"/>
    <n v="-1.3"/>
    <s v="ALMUERZO"/>
    <x v="0"/>
  </r>
  <r>
    <x v="89"/>
    <x v="19"/>
    <x v="7"/>
    <n v="-600"/>
    <s v="Traspaso"/>
    <x v="1"/>
  </r>
  <r>
    <x v="89"/>
    <x v="17"/>
    <x v="7"/>
    <n v="600"/>
    <s v="Traspaso"/>
    <x v="1"/>
  </r>
  <r>
    <x v="89"/>
    <x v="20"/>
    <x v="6"/>
    <n v="-10.48"/>
    <s v="Ocaso seguro"/>
    <x v="1"/>
  </r>
  <r>
    <x v="89"/>
    <x v="19"/>
    <x v="26"/>
    <n v="-1578.38"/>
    <s v="Crucero Adriático 2_2"/>
    <x v="2"/>
  </r>
  <r>
    <x v="89"/>
    <x v="35"/>
    <x v="20"/>
    <n v="15"/>
    <s v="Regalo N26"/>
    <x v="1"/>
  </r>
  <r>
    <x v="89"/>
    <x v="35"/>
    <x v="6"/>
    <n v="352.63"/>
    <s v="Reserva Natura Finestrat Inma"/>
    <x v="1"/>
  </r>
  <r>
    <x v="89"/>
    <x v="33"/>
    <x v="1"/>
    <n v="20"/>
    <s v="BONIFICACIÓN AMIGO"/>
    <x v="0"/>
  </r>
  <r>
    <x v="89"/>
    <x v="7"/>
    <x v="4"/>
    <n v="-34"/>
    <s v="Sopar Alm"/>
    <x v="2"/>
  </r>
  <r>
    <x v="90"/>
    <x v="4"/>
    <x v="2"/>
    <n v="-60.93"/>
    <s v="MERCADONA"/>
    <x v="2"/>
  </r>
  <r>
    <x v="90"/>
    <x v="4"/>
    <x v="2"/>
    <n v="-19.399999999999999"/>
    <s v="BURGUER CARLS"/>
    <x v="2"/>
  </r>
  <r>
    <x v="90"/>
    <x v="4"/>
    <x v="12"/>
    <n v="-145.74"/>
    <s v="DUCHA MANISES AZULEJOS"/>
    <x v="0"/>
  </r>
  <r>
    <x v="90"/>
    <x v="4"/>
    <x v="13"/>
    <n v="-50"/>
    <s v="MULTA 2/3/2025"/>
    <x v="0"/>
  </r>
  <r>
    <x v="90"/>
    <x v="4"/>
    <x v="10"/>
    <n v="-6"/>
    <s v="PÁDEL"/>
    <x v="0"/>
  </r>
  <r>
    <x v="91"/>
    <x v="4"/>
    <x v="7"/>
    <n v="-500"/>
    <s v="Traspaso"/>
    <x v="0"/>
  </r>
  <r>
    <x v="91"/>
    <x v="30"/>
    <x v="7"/>
    <n v="500"/>
    <s v="Traspaso"/>
    <x v="0"/>
  </r>
  <r>
    <x v="92"/>
    <x v="26"/>
    <x v="1"/>
    <n v="0.83"/>
    <s v="Intereses"/>
    <x v="0"/>
  </r>
  <r>
    <x v="92"/>
    <x v="33"/>
    <x v="7"/>
    <n v="-700"/>
    <s v="Traspaso"/>
    <x v="0"/>
  </r>
  <r>
    <x v="92"/>
    <x v="13"/>
    <x v="7"/>
    <n v="700"/>
    <s v="Traspaso"/>
    <x v="0"/>
  </r>
  <r>
    <x v="92"/>
    <x v="13"/>
    <x v="5"/>
    <n v="-30"/>
    <s v="GARAJE"/>
    <x v="0"/>
  </r>
  <r>
    <x v="92"/>
    <x v="13"/>
    <x v="27"/>
    <n v="-132.22999999999999"/>
    <s v="CASA"/>
    <x v="2"/>
  </r>
  <r>
    <x v="92"/>
    <x v="12"/>
    <x v="2"/>
    <n v="-6"/>
    <s v="ALMUERZO"/>
    <x v="2"/>
  </r>
  <r>
    <x v="92"/>
    <x v="14"/>
    <x v="1"/>
    <n v="19.7"/>
    <s v="DIVIDENDOS ETF"/>
    <x v="0"/>
  </r>
  <r>
    <x v="92"/>
    <x v="14"/>
    <x v="1"/>
    <n v="25.77"/>
    <s v="DIVIDENDOS ETF"/>
    <x v="0"/>
  </r>
  <r>
    <x v="92"/>
    <x v="14"/>
    <x v="1"/>
    <n v="34.39"/>
    <s v="DIVIDENDOS ETF"/>
    <x v="0"/>
  </r>
  <r>
    <x v="92"/>
    <x v="7"/>
    <x v="2"/>
    <n v="-0.3"/>
    <s v="Aigua"/>
    <x v="1"/>
  </r>
  <r>
    <x v="92"/>
    <x v="7"/>
    <x v="14"/>
    <n v="-3"/>
    <s v="Cuponazo"/>
    <x v="2"/>
  </r>
  <r>
    <x v="92"/>
    <x v="35"/>
    <x v="9"/>
    <n v="500"/>
    <s v="Regal tío"/>
    <x v="1"/>
  </r>
  <r>
    <x v="92"/>
    <x v="20"/>
    <x v="13"/>
    <n v="-21"/>
    <s v="Parking Ayto"/>
    <x v="1"/>
  </r>
  <r>
    <x v="92"/>
    <x v="20"/>
    <x v="5"/>
    <n v="-30"/>
    <s v="Cdad Garaje Manises"/>
    <x v="2"/>
  </r>
  <r>
    <x v="93"/>
    <x v="4"/>
    <x v="4"/>
    <n v="-1.3"/>
    <s v="ALMUERZO"/>
    <x v="0"/>
  </r>
  <r>
    <x v="93"/>
    <x v="7"/>
    <x v="2"/>
    <n v="-2.2000000000000002"/>
    <s v="Aigua"/>
    <x v="1"/>
  </r>
  <r>
    <x v="94"/>
    <x v="4"/>
    <x v="4"/>
    <n v="-1.3"/>
    <s v="ALMUERZO"/>
    <x v="0"/>
  </r>
  <r>
    <x v="94"/>
    <x v="4"/>
    <x v="11"/>
    <n v="-2.86"/>
    <s v="TEVETENS, AFLOYAN Y BESITRANS"/>
    <x v="0"/>
  </r>
  <r>
    <x v="94"/>
    <x v="26"/>
    <x v="25"/>
    <n v="-17.920000000000002"/>
    <s v="Gas"/>
    <x v="2"/>
  </r>
  <r>
    <x v="94"/>
    <x v="7"/>
    <x v="2"/>
    <n v="-1.6"/>
    <s v="Esmorzar"/>
    <x v="1"/>
  </r>
  <r>
    <x v="94"/>
    <x v="17"/>
    <x v="20"/>
    <n v="12"/>
    <s v="Llibre Vinted Tio Rey"/>
    <x v="1"/>
  </r>
  <r>
    <x v="94"/>
    <x v="33"/>
    <x v="7"/>
    <n v="-1500"/>
    <s v="Traspaso"/>
    <x v="0"/>
  </r>
  <r>
    <x v="94"/>
    <x v="12"/>
    <x v="7"/>
    <n v="1500"/>
    <s v="Traspaso"/>
    <x v="0"/>
  </r>
  <r>
    <x v="94"/>
    <x v="33"/>
    <x v="6"/>
    <n v="-20.04"/>
    <s v="FUNDA SOFA Y SILLAS"/>
    <x v="2"/>
  </r>
  <r>
    <x v="94"/>
    <x v="7"/>
    <x v="4"/>
    <n v="-24.8"/>
    <s v="Casa Mundo"/>
    <x v="2"/>
  </r>
  <r>
    <x v="95"/>
    <x v="4"/>
    <x v="4"/>
    <n v="-1.3"/>
    <s v="ALMUERZO"/>
    <x v="0"/>
  </r>
  <r>
    <x v="95"/>
    <x v="12"/>
    <x v="7"/>
    <n v="-44"/>
    <s v="Traspaso"/>
    <x v="0"/>
  </r>
  <r>
    <x v="95"/>
    <x v="33"/>
    <x v="7"/>
    <n v="44"/>
    <s v="Traspaso"/>
    <x v="0"/>
  </r>
  <r>
    <x v="95"/>
    <x v="33"/>
    <x v="17"/>
    <n v="-28.3"/>
    <s v="ZAPATILLAS PÁDEL"/>
    <x v="0"/>
  </r>
  <r>
    <x v="95"/>
    <x v="14"/>
    <x v="1"/>
    <n v="0.78"/>
    <s v="DIVIDENDO TSMC"/>
    <x v="0"/>
  </r>
  <r>
    <x v="95"/>
    <x v="7"/>
    <x v="2"/>
    <n v="-1.6"/>
    <s v="Esmorzar"/>
    <x v="1"/>
  </r>
  <r>
    <x v="95"/>
    <x v="5"/>
    <x v="16"/>
    <n v="-54"/>
    <s v="Gasoil"/>
    <x v="2"/>
  </r>
  <r>
    <x v="96"/>
    <x v="4"/>
    <x v="10"/>
    <n v="-8"/>
    <s v="PÁDEL"/>
    <x v="0"/>
  </r>
  <r>
    <x v="96"/>
    <x v="4"/>
    <x v="4"/>
    <n v="-1.3"/>
    <s v="ALMUERZO"/>
    <x v="0"/>
  </r>
  <r>
    <x v="96"/>
    <x v="16"/>
    <x v="7"/>
    <n v="-4000"/>
    <s v="Traspaso"/>
    <x v="1"/>
  </r>
  <r>
    <x v="96"/>
    <x v="20"/>
    <x v="7"/>
    <n v="4000"/>
    <s v="Traspaso"/>
    <x v="1"/>
  </r>
  <r>
    <x v="96"/>
    <x v="20"/>
    <x v="6"/>
    <n v="-6"/>
    <s v="Comisión fin letras"/>
    <x v="1"/>
  </r>
  <r>
    <x v="96"/>
    <x v="20"/>
    <x v="7"/>
    <n v="-4000"/>
    <s v="Traspaso"/>
    <x v="1"/>
  </r>
  <r>
    <x v="96"/>
    <x v="35"/>
    <x v="7"/>
    <n v="4000"/>
    <s v="Traspaso"/>
    <x v="1"/>
  </r>
  <r>
    <x v="96"/>
    <x v="7"/>
    <x v="2"/>
    <n v="-3"/>
    <s v="Esmorzar"/>
    <x v="1"/>
  </r>
  <r>
    <x v="96"/>
    <x v="7"/>
    <x v="4"/>
    <n v="-15"/>
    <s v="Dinar Recaptació"/>
    <x v="1"/>
  </r>
  <r>
    <x v="96"/>
    <x v="33"/>
    <x v="17"/>
    <n v="-21.373999999999999"/>
    <s v="ZAPATILLAS PÁDEL"/>
    <x v="0"/>
  </r>
  <r>
    <x v="96"/>
    <x v="4"/>
    <x v="2"/>
    <n v="-56.04"/>
    <s v="MERCADONA"/>
    <x v="2"/>
  </r>
  <r>
    <x v="96"/>
    <x v="7"/>
    <x v="17"/>
    <n v="-2.5"/>
    <s v="Pulsera"/>
    <x v="1"/>
  </r>
  <r>
    <x v="96"/>
    <x v="7"/>
    <x v="17"/>
    <n v="-50.97"/>
    <s v="Decathlon"/>
    <x v="1"/>
  </r>
  <r>
    <x v="97"/>
    <x v="7"/>
    <x v="4"/>
    <n v="-14"/>
    <s v="Esmorzar"/>
    <x v="2"/>
  </r>
  <r>
    <x v="97"/>
    <x v="7"/>
    <x v="4"/>
    <n v="-41"/>
    <s v="Dinar Calp"/>
    <x v="2"/>
  </r>
  <r>
    <x v="97"/>
    <x v="7"/>
    <x v="4"/>
    <n v="-55"/>
    <s v="Visita bodega"/>
    <x v="2"/>
  </r>
  <r>
    <x v="98"/>
    <x v="33"/>
    <x v="1"/>
    <n v="20"/>
    <s v="BONIFICACIÓN AMIGO"/>
    <x v="0"/>
  </r>
  <r>
    <x v="98"/>
    <x v="33"/>
    <x v="1"/>
    <n v="20"/>
    <s v="BONIFICACIÓN AMIGO"/>
    <x v="0"/>
  </r>
  <r>
    <x v="98"/>
    <x v="4"/>
    <x v="10"/>
    <n v="-6"/>
    <s v="PÁDEL"/>
    <x v="0"/>
  </r>
  <r>
    <x v="99"/>
    <x v="4"/>
    <x v="4"/>
    <n v="-1.3"/>
    <s v="ALMUERZO"/>
    <x v="0"/>
  </r>
  <r>
    <x v="99"/>
    <x v="13"/>
    <x v="7"/>
    <n v="-366.47"/>
    <s v="Traspaso"/>
    <x v="0"/>
  </r>
  <r>
    <x v="99"/>
    <x v="36"/>
    <x v="7"/>
    <n v="366.47"/>
    <s v="Traspaso"/>
    <x v="0"/>
  </r>
  <r>
    <x v="99"/>
    <x v="7"/>
    <x v="2"/>
    <n v="-2.2000000000000002"/>
    <s v="Esmorzar"/>
    <x v="1"/>
  </r>
  <r>
    <x v="99"/>
    <x v="20"/>
    <x v="18"/>
    <n v="-35.1"/>
    <s v="Móvil"/>
    <x v="2"/>
  </r>
  <r>
    <x v="99"/>
    <x v="7"/>
    <x v="9"/>
    <n v="500"/>
    <s v="Regal tío"/>
    <x v="1"/>
  </r>
  <r>
    <x v="99"/>
    <x v="19"/>
    <x v="1"/>
    <n v="59.83"/>
    <s v="Intereses"/>
    <x v="1"/>
  </r>
  <r>
    <x v="99"/>
    <x v="12"/>
    <x v="1"/>
    <n v="5.76"/>
    <s v="INTERESES"/>
    <x v="0"/>
  </r>
  <r>
    <x v="100"/>
    <x v="4"/>
    <x v="4"/>
    <n v="-1.3"/>
    <s v="ALMUERZO"/>
    <x v="0"/>
  </r>
  <r>
    <x v="100"/>
    <x v="7"/>
    <x v="2"/>
    <n v="-2.4"/>
    <s v="Esmorzar"/>
    <x v="1"/>
  </r>
  <r>
    <x v="100"/>
    <x v="5"/>
    <x v="2"/>
    <n v="-18.48"/>
    <s v="Lidl"/>
    <x v="2"/>
  </r>
  <r>
    <x v="101"/>
    <x v="17"/>
    <x v="6"/>
    <n v="-352.63"/>
    <s v="Reserva Inma Natura Suites"/>
    <x v="1"/>
  </r>
  <r>
    <x v="101"/>
    <x v="4"/>
    <x v="4"/>
    <n v="-1.3"/>
    <s v="ALMUERZO"/>
    <x v="0"/>
  </r>
  <r>
    <x v="101"/>
    <x v="7"/>
    <x v="2"/>
    <n v="-2.9"/>
    <s v="Esmorzar"/>
    <x v="1"/>
  </r>
  <r>
    <x v="101"/>
    <x v="4"/>
    <x v="12"/>
    <n v="11.67"/>
    <s v="BATIDORA"/>
    <x v="2"/>
  </r>
  <r>
    <x v="102"/>
    <x v="4"/>
    <x v="4"/>
    <n v="-1.3"/>
    <s v="ALMUERZO"/>
    <x v="0"/>
  </r>
  <r>
    <x v="102"/>
    <x v="17"/>
    <x v="4"/>
    <n v="-248.4"/>
    <s v="Reserva Natura Suites"/>
    <x v="2"/>
  </r>
  <r>
    <x v="102"/>
    <x v="26"/>
    <x v="19"/>
    <n v="-5.22"/>
    <s v="CASA"/>
    <x v="2"/>
  </r>
  <r>
    <x v="102"/>
    <x v="22"/>
    <x v="1"/>
    <n v="-477.75"/>
    <s v="CAMBIO DIVISAS"/>
    <x v="0"/>
  </r>
  <r>
    <x v="102"/>
    <x v="22"/>
    <x v="7"/>
    <n v="-4470.13"/>
    <s v="Traspaso"/>
    <x v="0"/>
  </r>
  <r>
    <x v="102"/>
    <x v="33"/>
    <x v="7"/>
    <n v="4470.13"/>
    <s v="Traspaso"/>
    <x v="0"/>
  </r>
  <r>
    <x v="102"/>
    <x v="4"/>
    <x v="10"/>
    <n v="-8"/>
    <s v="PADEL"/>
    <x v="0"/>
  </r>
  <r>
    <x v="102"/>
    <x v="7"/>
    <x v="2"/>
    <n v="-5.5"/>
    <s v="Esmorzar"/>
    <x v="1"/>
  </r>
  <r>
    <x v="102"/>
    <x v="4"/>
    <x v="16"/>
    <n v="-70.02"/>
    <s v="GASOLINA"/>
    <x v="2"/>
  </r>
  <r>
    <x v="102"/>
    <x v="26"/>
    <x v="7"/>
    <n v="-125"/>
    <s v="Traspaso"/>
    <x v="0"/>
  </r>
  <r>
    <x v="102"/>
    <x v="0"/>
    <x v="7"/>
    <n v="125"/>
    <s v="Traspaso"/>
    <x v="0"/>
  </r>
  <r>
    <x v="102"/>
    <x v="13"/>
    <x v="14"/>
    <n v="-30"/>
    <s v="CARGAR LOTOBOLSA"/>
    <x v="2"/>
  </r>
  <r>
    <x v="102"/>
    <x v="7"/>
    <x v="2"/>
    <n v="-36.25"/>
    <s v="Mercadona"/>
    <x v="2"/>
  </r>
  <r>
    <x v="103"/>
    <x v="33"/>
    <x v="12"/>
    <n v="-27.23"/>
    <s v="SÁBANA BAJERA Y BATIDORA"/>
    <x v="2"/>
  </r>
  <r>
    <x v="104"/>
    <x v="33"/>
    <x v="12"/>
    <n v="-20.88"/>
    <s v="MANTEL TRANSPARENTE"/>
    <x v="2"/>
  </r>
  <r>
    <x v="104"/>
    <x v="4"/>
    <x v="2"/>
    <n v="-37.86"/>
    <s v="MERCADONA"/>
    <x v="2"/>
  </r>
  <r>
    <x v="104"/>
    <x v="7"/>
    <x v="2"/>
    <n v="-6"/>
    <s v="Taronges"/>
    <x v="2"/>
  </r>
  <r>
    <x v="104"/>
    <x v="5"/>
    <x v="2"/>
    <n v="-64.03"/>
    <s v="Carrefour"/>
    <x v="2"/>
  </r>
  <r>
    <x v="104"/>
    <x v="5"/>
    <x v="16"/>
    <n v="-39.25"/>
    <s v="Gasoil"/>
    <x v="2"/>
  </r>
  <r>
    <x v="105"/>
    <x v="7"/>
    <x v="6"/>
    <n v="-16"/>
    <s v="Torrijas"/>
    <x v="2"/>
  </r>
  <r>
    <x v="106"/>
    <x v="35"/>
    <x v="4"/>
    <n v="-37.25"/>
    <s v="Dinar xino"/>
    <x v="2"/>
  </r>
  <r>
    <x v="107"/>
    <x v="4"/>
    <x v="4"/>
    <n v="-1.3"/>
    <s v="ALMUERZO"/>
    <x v="0"/>
  </r>
  <r>
    <x v="107"/>
    <x v="7"/>
    <x v="2"/>
    <n v="-2.2000000000000002"/>
    <s v="Esmorzar"/>
    <x v="1"/>
  </r>
  <r>
    <x v="107"/>
    <x v="4"/>
    <x v="10"/>
    <n v="-7.5"/>
    <s v="PÁDEL"/>
    <x v="0"/>
  </r>
  <r>
    <x v="107"/>
    <x v="4"/>
    <x v="12"/>
    <n v="-22.66"/>
    <s v="MANTEL Y MACETA"/>
    <x v="2"/>
  </r>
  <r>
    <x v="107"/>
    <x v="4"/>
    <x v="12"/>
    <n v="-10.4"/>
    <s v="MACETAS"/>
    <x v="0"/>
  </r>
  <r>
    <x v="108"/>
    <x v="4"/>
    <x v="4"/>
    <n v="-1.3"/>
    <s v="ALMUERZO"/>
    <x v="0"/>
  </r>
  <r>
    <x v="108"/>
    <x v="33"/>
    <x v="7"/>
    <n v="-1100"/>
    <s v="TRASPASO"/>
    <x v="0"/>
  </r>
  <r>
    <x v="108"/>
    <x v="26"/>
    <x v="7"/>
    <n v="1100"/>
    <s v="TRASPASO"/>
    <x v="0"/>
  </r>
  <r>
    <x v="108"/>
    <x v="35"/>
    <x v="9"/>
    <n v="500"/>
    <s v="Diners tio"/>
    <x v="1"/>
  </r>
  <r>
    <x v="108"/>
    <x v="7"/>
    <x v="2"/>
    <n v="-1.6"/>
    <s v="Esmorzar"/>
    <x v="1"/>
  </r>
  <r>
    <x v="108"/>
    <x v="7"/>
    <x v="2"/>
    <n v="-3.33"/>
    <s v="Mercadona"/>
    <x v="2"/>
  </r>
  <r>
    <x v="108"/>
    <x v="4"/>
    <x v="7"/>
    <n v="-500"/>
    <s v="Traspaso"/>
    <x v="0"/>
  </r>
  <r>
    <x v="108"/>
    <x v="30"/>
    <x v="7"/>
    <n v="500"/>
    <s v="Traspaso"/>
    <x v="0"/>
  </r>
  <r>
    <x v="108"/>
    <x v="36"/>
    <x v="7"/>
    <n v="-300"/>
    <s v="Traspaso"/>
    <x v="0"/>
  </r>
  <r>
    <x v="108"/>
    <x v="4"/>
    <x v="7"/>
    <n v="300"/>
    <s v="Traspaso"/>
    <x v="0"/>
  </r>
  <r>
    <x v="109"/>
    <x v="4"/>
    <x v="4"/>
    <n v="-1.3"/>
    <s v="ALMUERZO"/>
    <x v="0"/>
  </r>
  <r>
    <x v="109"/>
    <x v="33"/>
    <x v="12"/>
    <n v="-26.05"/>
    <s v="ESTANTERÍA"/>
    <x v="2"/>
  </r>
  <r>
    <x v="109"/>
    <x v="19"/>
    <x v="22"/>
    <n v="1955.54"/>
    <s v="Nómina"/>
    <x v="1"/>
  </r>
  <r>
    <x v="109"/>
    <x v="7"/>
    <x v="2"/>
    <n v="-3.2"/>
    <s v="Esmorzar"/>
    <x v="1"/>
  </r>
  <r>
    <x v="109"/>
    <x v="7"/>
    <x v="12"/>
    <n v="-87.99"/>
    <s v="Tabla planchar Bauhaus"/>
    <x v="2"/>
  </r>
  <r>
    <x v="109"/>
    <x v="7"/>
    <x v="6"/>
    <n v="-20.49"/>
    <s v="Funda tabla Tío"/>
    <x v="1"/>
  </r>
  <r>
    <x v="110"/>
    <x v="4"/>
    <x v="4"/>
    <n v="-1.3"/>
    <s v="ALMUERZO"/>
    <x v="0"/>
  </r>
  <r>
    <x v="110"/>
    <x v="33"/>
    <x v="7"/>
    <n v="-300"/>
    <s v="Traspaso"/>
    <x v="0"/>
  </r>
  <r>
    <x v="110"/>
    <x v="29"/>
    <x v="7"/>
    <n v="300"/>
    <s v="Traspaso"/>
    <x v="0"/>
  </r>
  <r>
    <x v="110"/>
    <x v="7"/>
    <x v="2"/>
    <n v="-5.6"/>
    <s v="Esmorzar"/>
    <x v="1"/>
  </r>
  <r>
    <x v="110"/>
    <x v="35"/>
    <x v="6"/>
    <n v="-100"/>
    <s v="Reserva Retiro Gilet"/>
    <x v="1"/>
  </r>
  <r>
    <x v="110"/>
    <x v="35"/>
    <x v="6"/>
    <n v="-100"/>
    <s v="Reserva Retiro Gilet Eva"/>
    <x v="1"/>
  </r>
  <r>
    <x v="110"/>
    <x v="4"/>
    <x v="2"/>
    <n v="-3.55"/>
    <s v="MERCADONA"/>
    <x v="2"/>
  </r>
  <r>
    <x v="111"/>
    <x v="4"/>
    <x v="4"/>
    <n v="-36"/>
    <s v="COPAS BENIDORM"/>
    <x v="2"/>
  </r>
  <r>
    <x v="111"/>
    <x v="4"/>
    <x v="4"/>
    <n v="-60.75"/>
    <s v="CENA BENIDORM"/>
    <x v="2"/>
  </r>
  <r>
    <x v="111"/>
    <x v="6"/>
    <x v="4"/>
    <n v="31"/>
    <s v="CENA BENIDORM"/>
    <x v="2"/>
  </r>
  <r>
    <x v="111"/>
    <x v="7"/>
    <x v="4"/>
    <n v="-51.8"/>
    <s v="Benidorm"/>
    <x v="2"/>
  </r>
  <r>
    <x v="112"/>
    <x v="5"/>
    <x v="17"/>
    <n v="-29.99"/>
    <s v="Misako Mochila blanca"/>
    <x v="1"/>
  </r>
  <r>
    <x v="112"/>
    <x v="6"/>
    <x v="4"/>
    <n v="-10"/>
    <s v="CENA BENIDORM"/>
    <x v="2"/>
  </r>
  <r>
    <x v="113"/>
    <x v="13"/>
    <x v="5"/>
    <n v="-45.86"/>
    <s v="PISO DERRAMA"/>
    <x v="0"/>
  </r>
  <r>
    <x v="113"/>
    <x v="26"/>
    <x v="5"/>
    <n v="-60"/>
    <s v="CASA"/>
    <x v="2"/>
  </r>
  <r>
    <x v="113"/>
    <x v="14"/>
    <x v="1"/>
    <n v="2.96"/>
    <s v="DIVIDENDO LVMH"/>
    <x v="0"/>
  </r>
  <r>
    <x v="113"/>
    <x v="33"/>
    <x v="12"/>
    <n v="-32.29"/>
    <s v="FIGURAS JARDIN"/>
    <x v="2"/>
  </r>
  <r>
    <x v="114"/>
    <x v="36"/>
    <x v="22"/>
    <n v="1973.17"/>
    <s v="Nómina"/>
    <x v="0"/>
  </r>
  <r>
    <x v="114"/>
    <x v="4"/>
    <x v="4"/>
    <n v="-1.3"/>
    <s v="ALMUERZO"/>
    <x v="0"/>
  </r>
  <r>
    <x v="114"/>
    <x v="7"/>
    <x v="2"/>
    <n v="-1.6"/>
    <s v="Esmorzar"/>
    <x v="1"/>
  </r>
  <r>
    <x v="114"/>
    <x v="35"/>
    <x v="6"/>
    <n v="100"/>
    <s v="Reserva Retiro Gilet Eva"/>
    <x v="1"/>
  </r>
  <r>
    <x v="114"/>
    <x v="35"/>
    <x v="6"/>
    <n v="20.49"/>
    <s v="Funda tabla planchar tío"/>
    <x v="1"/>
  </r>
  <r>
    <x v="114"/>
    <x v="36"/>
    <x v="7"/>
    <n v="-500"/>
    <s v="Traspaso"/>
    <x v="0"/>
  </r>
  <r>
    <x v="114"/>
    <x v="37"/>
    <x v="7"/>
    <n v="500"/>
    <s v="Traspaso"/>
    <x v="0"/>
  </r>
  <r>
    <x v="115"/>
    <x v="4"/>
    <x v="4"/>
    <n v="-1.3"/>
    <s v="ALMUERZO"/>
    <x v="0"/>
  </r>
  <r>
    <x v="115"/>
    <x v="26"/>
    <x v="7"/>
    <n v="-1290.52"/>
    <s v="Traspaso"/>
    <x v="0"/>
  </r>
  <r>
    <x v="115"/>
    <x v="4"/>
    <x v="7"/>
    <n v="1290.52"/>
    <s v="Traspaso"/>
    <x v="0"/>
  </r>
  <r>
    <x v="115"/>
    <x v="12"/>
    <x v="7"/>
    <n v="-1684.8"/>
    <s v="Traspaso"/>
    <x v="0"/>
  </r>
  <r>
    <x v="115"/>
    <x v="4"/>
    <x v="7"/>
    <n v="1684.8"/>
    <s v="Traspaso"/>
    <x v="0"/>
  </r>
  <r>
    <x v="115"/>
    <x v="20"/>
    <x v="7"/>
    <n v="-866.47"/>
    <s v="Traspaso"/>
    <x v="1"/>
  </r>
  <r>
    <x v="115"/>
    <x v="5"/>
    <x v="7"/>
    <n v="866.47"/>
    <s v="Traspaso"/>
    <x v="1"/>
  </r>
  <r>
    <x v="115"/>
    <x v="19"/>
    <x v="7"/>
    <n v="-1000"/>
    <s v="Traspaso"/>
    <x v="1"/>
  </r>
  <r>
    <x v="115"/>
    <x v="20"/>
    <x v="7"/>
    <n v="1000"/>
    <s v="Traspaso"/>
    <x v="1"/>
  </r>
  <r>
    <x v="115"/>
    <x v="36"/>
    <x v="7"/>
    <n v="-500"/>
    <s v="Traspaso"/>
    <x v="0"/>
  </r>
  <r>
    <x v="115"/>
    <x v="37"/>
    <x v="7"/>
    <n v="500"/>
    <s v="Traspaso"/>
    <x v="0"/>
  </r>
  <r>
    <x v="115"/>
    <x v="29"/>
    <x v="7"/>
    <n v="-300"/>
    <s v="Traspaso"/>
    <x v="0"/>
  </r>
  <r>
    <x v="115"/>
    <x v="37"/>
    <x v="7"/>
    <n v="300"/>
    <s v="Traspaso"/>
    <x v="0"/>
  </r>
  <r>
    <x v="115"/>
    <x v="4"/>
    <x v="7"/>
    <n v="-500"/>
    <s v="Traspaso"/>
    <x v="0"/>
  </r>
  <r>
    <x v="115"/>
    <x v="31"/>
    <x v="7"/>
    <n v="500"/>
    <s v="Traspaso"/>
    <x v="0"/>
  </r>
  <r>
    <x v="115"/>
    <x v="7"/>
    <x v="2"/>
    <n v="-3.7"/>
    <s v="Esmorzar"/>
    <x v="1"/>
  </r>
  <r>
    <x v="116"/>
    <x v="33"/>
    <x v="7"/>
    <n v="-614.14"/>
    <s v="Traspaso"/>
    <x v="0"/>
  </r>
  <r>
    <x v="116"/>
    <x v="13"/>
    <x v="7"/>
    <n v="614.14"/>
    <s v="Traspaso"/>
    <x v="0"/>
  </r>
  <r>
    <x v="116"/>
    <x v="33"/>
    <x v="7"/>
    <n v="-1000"/>
    <s v="Traspaso"/>
    <x v="0"/>
  </r>
  <r>
    <x v="116"/>
    <x v="12"/>
    <x v="7"/>
    <n v="1000"/>
    <s v="Traspaso"/>
    <x v="0"/>
  </r>
  <r>
    <x v="116"/>
    <x v="33"/>
    <x v="7"/>
    <n v="-400"/>
    <s v="Traspaso"/>
    <x v="0"/>
  </r>
  <r>
    <x v="116"/>
    <x v="14"/>
    <x v="7"/>
    <n v="400"/>
    <s v="Traspaso"/>
    <x v="0"/>
  </r>
  <r>
    <x v="116"/>
    <x v="14"/>
    <x v="1"/>
    <n v="2.13"/>
    <s v="Intereses"/>
    <x v="0"/>
  </r>
  <r>
    <x v="116"/>
    <x v="13"/>
    <x v="7"/>
    <n v="-538.28"/>
    <s v="Traspaso"/>
    <x v="0"/>
  </r>
  <r>
    <x v="116"/>
    <x v="38"/>
    <x v="7"/>
    <n v="538.28"/>
    <s v="Traspaso"/>
    <x v="0"/>
  </r>
  <r>
    <x v="116"/>
    <x v="12"/>
    <x v="7"/>
    <n v="-620.96"/>
    <s v="Traspaso"/>
    <x v="0"/>
  </r>
  <r>
    <x v="116"/>
    <x v="38"/>
    <x v="7"/>
    <n v="620.96"/>
    <s v="Traspaso"/>
    <x v="0"/>
  </r>
  <r>
    <x v="116"/>
    <x v="33"/>
    <x v="7"/>
    <n v="-841.76"/>
    <s v="Traspaso"/>
    <x v="0"/>
  </r>
  <r>
    <x v="116"/>
    <x v="38"/>
    <x v="7"/>
    <n v="841.76"/>
    <s v="Traspaso"/>
    <x v="0"/>
  </r>
  <r>
    <x v="116"/>
    <x v="26"/>
    <x v="3"/>
    <n v="800"/>
    <s v="MAYO"/>
    <x v="0"/>
  </r>
  <r>
    <x v="116"/>
    <x v="14"/>
    <x v="7"/>
    <n v="-700"/>
    <s v="Traspaso"/>
    <x v="0"/>
  </r>
  <r>
    <x v="116"/>
    <x v="12"/>
    <x v="7"/>
    <n v="700"/>
    <s v="Traspaso"/>
    <x v="0"/>
  </r>
  <r>
    <x v="116"/>
    <x v="33"/>
    <x v="12"/>
    <n v="-28.97"/>
    <s v="Variosvivienda"/>
    <x v="2"/>
  </r>
  <r>
    <x v="116"/>
    <x v="21"/>
    <x v="1"/>
    <n v="53.84"/>
    <s v="Int"/>
    <x v="1"/>
  </r>
  <r>
    <x v="116"/>
    <x v="35"/>
    <x v="1"/>
    <n v="10.24"/>
    <s v="Int"/>
    <x v="1"/>
  </r>
  <r>
    <x v="116"/>
    <x v="35"/>
    <x v="28"/>
    <n v="-1.95"/>
    <s v="Gastos financieros"/>
    <x v="1"/>
  </r>
  <r>
    <x v="116"/>
    <x v="17"/>
    <x v="1"/>
    <n v="0.16"/>
    <s v="Int"/>
    <x v="1"/>
  </r>
  <r>
    <x v="116"/>
    <x v="7"/>
    <x v="2"/>
    <n v="-6"/>
    <s v="Taronges"/>
    <x v="2"/>
  </r>
  <r>
    <x v="116"/>
    <x v="5"/>
    <x v="16"/>
    <n v="-39.700000000000003"/>
    <s v="Gasoil"/>
    <x v="2"/>
  </r>
  <r>
    <x v="116"/>
    <x v="7"/>
    <x v="6"/>
    <n v="-1"/>
    <s v="Neteja cotxe"/>
    <x v="2"/>
  </r>
  <r>
    <x v="116"/>
    <x v="26"/>
    <x v="7"/>
    <n v="-200"/>
    <s v="Traspaso"/>
    <x v="0"/>
  </r>
  <r>
    <x v="116"/>
    <x v="27"/>
    <x v="7"/>
    <n v="200"/>
    <s v="Traspaso"/>
    <x v="0"/>
  </r>
  <r>
    <x v="116"/>
    <x v="10"/>
    <x v="1"/>
    <n v="0.01"/>
    <s v="Intereses"/>
    <x v="0"/>
  </r>
  <r>
    <x v="116"/>
    <x v="33"/>
    <x v="1"/>
    <n v="2.5099999999999998"/>
    <s v="Intereses"/>
    <x v="0"/>
  </r>
  <r>
    <x v="116"/>
    <x v="4"/>
    <x v="2"/>
    <n v="-83.96"/>
    <s v="CARREFOUR"/>
    <x v="2"/>
  </r>
  <r>
    <x v="117"/>
    <x v="4"/>
    <x v="4"/>
    <n v="-3"/>
    <s v="ALMUERZO"/>
    <x v="0"/>
  </r>
  <r>
    <x v="117"/>
    <x v="14"/>
    <x v="7"/>
    <n v="-220"/>
    <s v="Traspaso"/>
    <x v="0"/>
  </r>
  <r>
    <x v="117"/>
    <x v="1"/>
    <x v="7"/>
    <n v="220"/>
    <s v="Traspaso"/>
    <x v="0"/>
  </r>
  <r>
    <x v="117"/>
    <x v="21"/>
    <x v="7"/>
    <n v="-70"/>
    <s v="Traspaso"/>
    <x v="1"/>
  </r>
  <r>
    <x v="117"/>
    <x v="32"/>
    <x v="7"/>
    <n v="70"/>
    <s v="Traspaso"/>
    <x v="1"/>
  </r>
  <r>
    <x v="117"/>
    <x v="7"/>
    <x v="2"/>
    <n v="-5.5"/>
    <s v="Esmorzar"/>
    <x v="1"/>
  </r>
  <r>
    <x v="117"/>
    <x v="20"/>
    <x v="20"/>
    <n v="100"/>
    <s v="Arrend trastero"/>
    <x v="2"/>
  </r>
  <r>
    <x v="117"/>
    <x v="20"/>
    <x v="11"/>
    <n v="-57.71"/>
    <s v="Mapfre Salud"/>
    <x v="1"/>
  </r>
  <r>
    <x v="117"/>
    <x v="33"/>
    <x v="12"/>
    <n v="-115"/>
    <s v="DUCHA MANISES MONTAJE MAMPARA"/>
    <x v="0"/>
  </r>
  <r>
    <x v="117"/>
    <x v="4"/>
    <x v="2"/>
    <n v="-109.57"/>
    <s v="MERCADONA"/>
    <x v="2"/>
  </r>
  <r>
    <x v="118"/>
    <x v="6"/>
    <x v="13"/>
    <n v="-1"/>
    <s v="APARCAR"/>
    <x v="2"/>
  </r>
  <r>
    <x v="118"/>
    <x v="4"/>
    <x v="12"/>
    <n v="-7.8"/>
    <s v="SILICONA"/>
    <x v="2"/>
  </r>
  <r>
    <x v="118"/>
    <x v="7"/>
    <x v="4"/>
    <n v="-61"/>
    <s v="Sopar Valencia"/>
    <x v="2"/>
  </r>
  <r>
    <x v="119"/>
    <x v="12"/>
    <x v="12"/>
    <n v="-935"/>
    <s v="DUCHA MANISES MANO OBRA"/>
    <x v="0"/>
  </r>
  <r>
    <x v="119"/>
    <x v="14"/>
    <x v="4"/>
    <n v="-1.3"/>
    <s v="ALMUERZO"/>
    <x v="0"/>
  </r>
  <r>
    <x v="119"/>
    <x v="36"/>
    <x v="7"/>
    <n v="-513.48"/>
    <s v="Traspaso"/>
    <x v="0"/>
  </r>
  <r>
    <x v="119"/>
    <x v="4"/>
    <x v="7"/>
    <n v="513.48"/>
    <s v="Traspaso"/>
    <x v="0"/>
  </r>
  <r>
    <x v="119"/>
    <x v="35"/>
    <x v="9"/>
    <n v="935"/>
    <s v="Diners tío"/>
    <x v="1"/>
  </r>
  <r>
    <x v="119"/>
    <x v="26"/>
    <x v="7"/>
    <n v="-298.77"/>
    <s v="Traspaso"/>
    <x v="0"/>
  </r>
  <r>
    <x v="119"/>
    <x v="12"/>
    <x v="7"/>
    <n v="298.77"/>
    <s v="Traspaso"/>
    <x v="0"/>
  </r>
  <r>
    <x v="119"/>
    <x v="26"/>
    <x v="5"/>
    <n v="-35.880000000000003"/>
    <s v="PISO"/>
    <x v="0"/>
  </r>
  <r>
    <x v="119"/>
    <x v="36"/>
    <x v="7"/>
    <n v="-376.16"/>
    <s v="Traspaso"/>
    <x v="0"/>
  </r>
  <r>
    <x v="119"/>
    <x v="12"/>
    <x v="7"/>
    <n v="376.16"/>
    <s v="Traspaso"/>
    <x v="0"/>
  </r>
  <r>
    <x v="119"/>
    <x v="12"/>
    <x v="7"/>
    <n v="-539.92999999999995"/>
    <s v="Traspaso"/>
    <x v="0"/>
  </r>
  <r>
    <x v="119"/>
    <x v="33"/>
    <x v="7"/>
    <n v="539.92999999999995"/>
    <s v="Traspaso"/>
    <x v="0"/>
  </r>
  <r>
    <x v="119"/>
    <x v="7"/>
    <x v="2"/>
    <n v="-1.4"/>
    <s v="Esmorzar"/>
    <x v="1"/>
  </r>
  <r>
    <x v="119"/>
    <x v="7"/>
    <x v="9"/>
    <n v="70"/>
    <s v="Diners tío"/>
    <x v="1"/>
  </r>
  <r>
    <x v="119"/>
    <x v="20"/>
    <x v="13"/>
    <n v="-21"/>
    <s v="Parking Ayto"/>
    <x v="1"/>
  </r>
  <r>
    <x v="120"/>
    <x v="14"/>
    <x v="4"/>
    <n v="-1.3"/>
    <s v="ALMUERZO"/>
    <x v="0"/>
  </r>
  <r>
    <x v="120"/>
    <x v="36"/>
    <x v="1"/>
    <n v="324"/>
    <s v="BONIFICACIÓN DOMICILIACIÓN NÓMINA"/>
    <x v="0"/>
  </r>
  <r>
    <x v="120"/>
    <x v="36"/>
    <x v="1"/>
    <n v="25"/>
    <s v="BONIFICACIÓN AMIGO"/>
    <x v="0"/>
  </r>
  <r>
    <x v="120"/>
    <x v="36"/>
    <x v="7"/>
    <n v="-50"/>
    <s v="Traspaso"/>
    <x v="0"/>
  </r>
  <r>
    <x v="120"/>
    <x v="39"/>
    <x v="7"/>
    <n v="50"/>
    <s v="Traspaso"/>
    <x v="0"/>
  </r>
  <r>
    <x v="120"/>
    <x v="36"/>
    <x v="7"/>
    <n v="-100"/>
    <s v="Traspaso"/>
    <x v="0"/>
  </r>
  <r>
    <x v="120"/>
    <x v="39"/>
    <x v="7"/>
    <n v="100"/>
    <s v="Traspaso"/>
    <x v="0"/>
  </r>
  <r>
    <x v="120"/>
    <x v="20"/>
    <x v="6"/>
    <n v="-10.48"/>
    <s v="Ocaso seguro"/>
    <x v="1"/>
  </r>
  <r>
    <x v="120"/>
    <x v="20"/>
    <x v="10"/>
    <n v="-74"/>
    <s v="Gym Aspresso"/>
    <x v="2"/>
  </r>
  <r>
    <x v="120"/>
    <x v="7"/>
    <x v="2"/>
    <n v="-2.5"/>
    <s v="Esmorzar"/>
    <x v="1"/>
  </r>
  <r>
    <x v="120"/>
    <x v="7"/>
    <x v="17"/>
    <n v="-7"/>
    <s v="Calcetins mercat"/>
    <x v="1"/>
  </r>
  <r>
    <x v="120"/>
    <x v="14"/>
    <x v="1"/>
    <n v="0.67"/>
    <s v="DIVIDENDO ASML"/>
    <x v="0"/>
  </r>
  <r>
    <x v="120"/>
    <x v="14"/>
    <x v="10"/>
    <n v="-20.99"/>
    <s v="ZAPATILLAS SPINING"/>
    <x v="0"/>
  </r>
  <r>
    <x v="121"/>
    <x v="14"/>
    <x v="4"/>
    <n v="-1.3"/>
    <s v="ALMUERZO"/>
    <x v="0"/>
  </r>
  <r>
    <x v="121"/>
    <x v="26"/>
    <x v="1"/>
    <n v="0.57999999999999996"/>
    <s v="Intereses"/>
    <x v="0"/>
  </r>
  <r>
    <x v="121"/>
    <x v="36"/>
    <x v="7"/>
    <n v="-199"/>
    <s v="Traspaso"/>
    <x v="0"/>
  </r>
  <r>
    <x v="121"/>
    <x v="33"/>
    <x v="7"/>
    <n v="199"/>
    <s v="Traspaso"/>
    <x v="0"/>
  </r>
  <r>
    <x v="121"/>
    <x v="13"/>
    <x v="7"/>
    <n v="-300"/>
    <s v="Traspaso"/>
    <x v="0"/>
  </r>
  <r>
    <x v="121"/>
    <x v="33"/>
    <x v="7"/>
    <n v="300"/>
    <s v="Traspaso"/>
    <x v="0"/>
  </r>
  <r>
    <x v="121"/>
    <x v="12"/>
    <x v="7"/>
    <n v="-300"/>
    <s v="Traspaso"/>
    <x v="0"/>
  </r>
  <r>
    <x v="121"/>
    <x v="33"/>
    <x v="7"/>
    <n v="300"/>
    <s v="Traspaso"/>
    <x v="0"/>
  </r>
  <r>
    <x v="121"/>
    <x v="33"/>
    <x v="7"/>
    <n v="-1000"/>
    <s v="Traspaso"/>
    <x v="0"/>
  </r>
  <r>
    <x v="121"/>
    <x v="40"/>
    <x v="7"/>
    <n v="1000"/>
    <s v="Traspaso"/>
    <x v="0"/>
  </r>
  <r>
    <x v="121"/>
    <x v="26"/>
    <x v="7"/>
    <n v="-264.7"/>
    <s v="Traspaso"/>
    <x v="0"/>
  </r>
  <r>
    <x v="121"/>
    <x v="33"/>
    <x v="7"/>
    <n v="264.7"/>
    <s v="Traspaso"/>
    <x v="0"/>
  </r>
  <r>
    <x v="121"/>
    <x v="36"/>
    <x v="7"/>
    <n v="-144.29"/>
    <s v="Traspaso"/>
    <x v="0"/>
  </r>
  <r>
    <x v="121"/>
    <x v="33"/>
    <x v="7"/>
    <n v="144.29"/>
    <s v="Traspaso"/>
    <x v="0"/>
  </r>
  <r>
    <x v="121"/>
    <x v="33"/>
    <x v="7"/>
    <n v="-500"/>
    <s v="Traspaso"/>
    <x v="0"/>
  </r>
  <r>
    <x v="121"/>
    <x v="41"/>
    <x v="7"/>
    <n v="500"/>
    <s v="Traspaso"/>
    <x v="0"/>
  </r>
  <r>
    <x v="121"/>
    <x v="7"/>
    <x v="11"/>
    <n v="-70"/>
    <s v="Psico Empar"/>
    <x v="1"/>
  </r>
  <r>
    <x v="121"/>
    <x v="35"/>
    <x v="11"/>
    <n v="-10"/>
    <s v="Psico Empar"/>
    <x v="1"/>
  </r>
  <r>
    <x v="121"/>
    <x v="5"/>
    <x v="17"/>
    <n v="-19.899999999999999"/>
    <s v="Camisa Natura"/>
    <x v="1"/>
  </r>
  <r>
    <x v="121"/>
    <x v="14"/>
    <x v="1"/>
    <n v="29.49"/>
    <s v="DIVIDENDO ETF"/>
    <x v="0"/>
  </r>
  <r>
    <x v="121"/>
    <x v="14"/>
    <x v="1"/>
    <n v="15.01"/>
    <s v="DIVIDENDO ETF"/>
    <x v="0"/>
  </r>
  <r>
    <x v="121"/>
    <x v="14"/>
    <x v="1"/>
    <n v="24.35"/>
    <s v="DIVIDENDO ETF"/>
    <x v="0"/>
  </r>
  <r>
    <x v="122"/>
    <x v="20"/>
    <x v="24"/>
    <n v="-443.09"/>
    <s v="Seguro hogar SAB"/>
    <x v="2"/>
  </r>
  <r>
    <x v="122"/>
    <x v="14"/>
    <x v="4"/>
    <n v="-1.3"/>
    <s v="ALMUERZO"/>
    <x v="0"/>
  </r>
  <r>
    <x v="122"/>
    <x v="7"/>
    <x v="9"/>
    <n v="500"/>
    <s v="Diners tío"/>
    <x v="1"/>
  </r>
  <r>
    <x v="122"/>
    <x v="7"/>
    <x v="2"/>
    <n v="-1.6"/>
    <s v="Esmorzar"/>
    <x v="1"/>
  </r>
  <r>
    <x v="123"/>
    <x v="14"/>
    <x v="4"/>
    <n v="-3"/>
    <s v="ALMUERZO"/>
    <x v="0"/>
  </r>
  <r>
    <x v="123"/>
    <x v="9"/>
    <x v="1"/>
    <n v="-22.5"/>
    <s v="COMISIONES LETRAS"/>
    <x v="0"/>
  </r>
  <r>
    <x v="123"/>
    <x v="9"/>
    <x v="7"/>
    <n v="-14977.5"/>
    <s v="Traspaso"/>
    <x v="0"/>
  </r>
  <r>
    <x v="123"/>
    <x v="10"/>
    <x v="7"/>
    <n v="14977.5"/>
    <s v="Traspaso"/>
    <x v="0"/>
  </r>
  <r>
    <x v="123"/>
    <x v="10"/>
    <x v="7"/>
    <n v="-800"/>
    <s v="Traspaso"/>
    <x v="0"/>
  </r>
  <r>
    <x v="123"/>
    <x v="12"/>
    <x v="7"/>
    <n v="800"/>
    <s v="Traspaso"/>
    <x v="0"/>
  </r>
  <r>
    <x v="123"/>
    <x v="10"/>
    <x v="7"/>
    <n v="-800"/>
    <s v="Traspaso"/>
    <x v="0"/>
  </r>
  <r>
    <x v="123"/>
    <x v="13"/>
    <x v="7"/>
    <n v="800"/>
    <s v="Traspaso"/>
    <x v="0"/>
  </r>
  <r>
    <x v="123"/>
    <x v="10"/>
    <x v="7"/>
    <n v="-944.29"/>
    <s v="Traspaso"/>
    <x v="0"/>
  </r>
  <r>
    <x v="123"/>
    <x v="36"/>
    <x v="7"/>
    <n v="944.29"/>
    <s v="Traspaso"/>
    <x v="0"/>
  </r>
  <r>
    <x v="123"/>
    <x v="10"/>
    <x v="7"/>
    <n v="-12339.91"/>
    <s v="Traspaso"/>
    <x v="0"/>
  </r>
  <r>
    <x v="123"/>
    <x v="33"/>
    <x v="7"/>
    <n v="12339.91"/>
    <s v="Traspaso"/>
    <x v="0"/>
  </r>
  <r>
    <x v="123"/>
    <x v="33"/>
    <x v="7"/>
    <n v="-800"/>
    <s v="Traspaso"/>
    <x v="0"/>
  </r>
  <r>
    <x v="123"/>
    <x v="26"/>
    <x v="7"/>
    <n v="800"/>
    <s v="Traspaso"/>
    <x v="0"/>
  </r>
  <r>
    <x v="123"/>
    <x v="33"/>
    <x v="8"/>
    <n v="-1061.33"/>
    <s v="ABRIL"/>
    <x v="0"/>
  </r>
  <r>
    <x v="123"/>
    <x v="16"/>
    <x v="7"/>
    <n v="-15000"/>
    <s v="Traspaso"/>
    <x v="1"/>
  </r>
  <r>
    <x v="123"/>
    <x v="20"/>
    <x v="7"/>
    <n v="15000"/>
    <s v="Traspaso"/>
    <x v="1"/>
  </r>
  <r>
    <x v="123"/>
    <x v="20"/>
    <x v="1"/>
    <n v="-22.5"/>
    <s v="Comisiones letras"/>
    <x v="1"/>
  </r>
  <r>
    <x v="123"/>
    <x v="20"/>
    <x v="7"/>
    <n v="-14000"/>
    <s v="Traspaso"/>
    <x v="1"/>
  </r>
  <r>
    <x v="123"/>
    <x v="35"/>
    <x v="7"/>
    <n v="14000"/>
    <s v="Traspaso"/>
    <x v="1"/>
  </r>
  <r>
    <x v="123"/>
    <x v="35"/>
    <x v="8"/>
    <n v="1061.33"/>
    <s v="Comunes"/>
    <x v="1"/>
  </r>
  <r>
    <x v="123"/>
    <x v="14"/>
    <x v="11"/>
    <n v="-1.43"/>
    <s v="AFLOYAN Y BESITRAN"/>
    <x v="0"/>
  </r>
  <r>
    <x v="123"/>
    <x v="7"/>
    <x v="2"/>
    <n v="-14.7"/>
    <s v="Mercadona"/>
    <x v="2"/>
  </r>
  <r>
    <x v="123"/>
    <x v="7"/>
    <x v="2"/>
    <n v="-2"/>
    <s v="Esmorzar"/>
    <x v="1"/>
  </r>
  <r>
    <x v="123"/>
    <x v="33"/>
    <x v="7"/>
    <n v="-743.28"/>
    <s v="Traspaso"/>
    <x v="0"/>
  </r>
  <r>
    <x v="123"/>
    <x v="36"/>
    <x v="7"/>
    <n v="743.28"/>
    <s v="Traspaso"/>
    <x v="0"/>
  </r>
  <r>
    <x v="123"/>
    <x v="36"/>
    <x v="7"/>
    <n v="-650"/>
    <s v="Traspaso"/>
    <x v="0"/>
  </r>
  <r>
    <x v="123"/>
    <x v="39"/>
    <x v="7"/>
    <n v="650"/>
    <s v="Traspaso"/>
    <x v="0"/>
  </r>
  <r>
    <x v="123"/>
    <x v="17"/>
    <x v="20"/>
    <n v="35"/>
    <s v="Wallapop Tatami"/>
    <x v="2"/>
  </r>
  <r>
    <x v="124"/>
    <x v="33"/>
    <x v="7"/>
    <n v="-1000"/>
    <s v="Traspaso"/>
    <x v="0"/>
  </r>
  <r>
    <x v="124"/>
    <x v="14"/>
    <x v="7"/>
    <n v="1000"/>
    <s v="Traspaso"/>
    <x v="0"/>
  </r>
  <r>
    <x v="124"/>
    <x v="14"/>
    <x v="6"/>
    <n v="-22.1"/>
    <s v="CHORRADITAS VARIAS"/>
    <x v="0"/>
  </r>
  <r>
    <x v="124"/>
    <x v="14"/>
    <x v="11"/>
    <n v="-1.43"/>
    <s v="TEVETENS"/>
    <x v="0"/>
  </r>
  <r>
    <x v="124"/>
    <x v="14"/>
    <x v="2"/>
    <n v="-80.14"/>
    <s v="MERCADONA"/>
    <x v="0"/>
  </r>
  <r>
    <x v="124"/>
    <x v="7"/>
    <x v="6"/>
    <n v="-3"/>
    <s v="Descuadre"/>
    <x v="1"/>
  </r>
  <r>
    <x v="125"/>
    <x v="20"/>
    <x v="18"/>
    <n v="-35"/>
    <s v="Lowi"/>
    <x v="2"/>
  </r>
  <r>
    <x v="125"/>
    <x v="14"/>
    <x v="4"/>
    <n v="-1.3"/>
    <s v="ALMUERZO"/>
    <x v="0"/>
  </r>
  <r>
    <x v="125"/>
    <x v="33"/>
    <x v="7"/>
    <n v="-700"/>
    <s v="Traspaso"/>
    <x v="0"/>
  </r>
  <r>
    <x v="125"/>
    <x v="26"/>
    <x v="7"/>
    <n v="700"/>
    <s v="Traspaso"/>
    <x v="0"/>
  </r>
  <r>
    <x v="125"/>
    <x v="26"/>
    <x v="7"/>
    <n v="-654.63999999999987"/>
    <s v="Traspaso"/>
    <x v="0"/>
  </r>
  <r>
    <x v="125"/>
    <x v="27"/>
    <x v="7"/>
    <n v="654.64"/>
    <s v="Traspaso"/>
    <x v="0"/>
  </r>
  <r>
    <x v="125"/>
    <x v="4"/>
    <x v="7"/>
    <n v="-500"/>
    <s v="Traspaso"/>
    <x v="0"/>
  </r>
  <r>
    <x v="125"/>
    <x v="30"/>
    <x v="7"/>
    <n v="500"/>
    <s v="Traspaso"/>
    <x v="0"/>
  </r>
  <r>
    <x v="125"/>
    <x v="35"/>
    <x v="23"/>
    <n v="-3.98"/>
    <s v="Druni"/>
    <x v="2"/>
  </r>
  <r>
    <x v="125"/>
    <x v="35"/>
    <x v="14"/>
    <n v="-2.5"/>
    <s v="Euromillones Nieves"/>
    <x v="2"/>
  </r>
  <r>
    <x v="125"/>
    <x v="7"/>
    <x v="2"/>
    <n v="-1.6"/>
    <s v="Esmorzar"/>
    <x v="1"/>
  </r>
  <r>
    <x v="126"/>
    <x v="14"/>
    <x v="4"/>
    <n v="-1.3"/>
    <s v="ALMUERZO"/>
    <x v="0"/>
  </r>
  <r>
    <x v="126"/>
    <x v="36"/>
    <x v="7"/>
    <n v="-593.28"/>
    <s v="Traspaso"/>
    <x v="0"/>
  </r>
  <r>
    <x v="126"/>
    <x v="12"/>
    <x v="7"/>
    <n v="593.28"/>
    <s v="Traspaso"/>
    <x v="0"/>
  </r>
  <r>
    <x v="126"/>
    <x v="33"/>
    <x v="7"/>
    <n v="-1300"/>
    <s v="Traspaso"/>
    <x v="0"/>
  </r>
  <r>
    <x v="126"/>
    <x v="14"/>
    <x v="7"/>
    <n v="1300"/>
    <s v="Traspaso"/>
    <x v="0"/>
  </r>
  <r>
    <x v="126"/>
    <x v="4"/>
    <x v="7"/>
    <n v="-500"/>
    <s v="Traspaso"/>
    <x v="0"/>
  </r>
  <r>
    <x v="126"/>
    <x v="42"/>
    <x v="7"/>
    <n v="500"/>
    <s v="Traspaso"/>
    <x v="0"/>
  </r>
  <r>
    <x v="126"/>
    <x v="13"/>
    <x v="7"/>
    <n v="-400"/>
    <s v="Traspaso"/>
    <x v="0"/>
  </r>
  <r>
    <x v="126"/>
    <x v="11"/>
    <x v="7"/>
    <n v="400"/>
    <s v="Traspaso"/>
    <x v="0"/>
  </r>
  <r>
    <x v="126"/>
    <x v="7"/>
    <x v="2"/>
    <n v="-1.6"/>
    <s v="Esmorzar"/>
    <x v="1"/>
  </r>
  <r>
    <x v="127"/>
    <x v="17"/>
    <x v="17"/>
    <n v="-36.08"/>
    <s v="Singularu pulsera i anell"/>
    <x v="1"/>
  </r>
  <r>
    <x v="127"/>
    <x v="7"/>
    <x v="2"/>
    <n v="-1.6"/>
    <s v="Esmorzar"/>
    <x v="1"/>
  </r>
  <r>
    <x v="127"/>
    <x v="7"/>
    <x v="2"/>
    <n v="-3.1"/>
    <s v="Taronges"/>
    <x v="2"/>
  </r>
  <r>
    <x v="127"/>
    <x v="12"/>
    <x v="7"/>
    <n v="-295.72000000000003"/>
    <s v="Traspaso"/>
    <x v="0"/>
  </r>
  <r>
    <x v="127"/>
    <x v="38"/>
    <x v="7"/>
    <n v="295.72000000000003"/>
    <s v="Traspaso"/>
    <x v="0"/>
  </r>
  <r>
    <x v="127"/>
    <x v="14"/>
    <x v="4"/>
    <n v="-1.3"/>
    <s v="ALMUERZO"/>
    <x v="0"/>
  </r>
  <r>
    <x v="127"/>
    <x v="12"/>
    <x v="1"/>
    <n v="2.44"/>
    <s v="INTERESES"/>
    <x v="0"/>
  </r>
  <r>
    <x v="128"/>
    <x v="14"/>
    <x v="4"/>
    <n v="-1.3"/>
    <s v="ALMUERZO"/>
    <x v="0"/>
  </r>
  <r>
    <x v="128"/>
    <x v="19"/>
    <x v="1"/>
    <n v="56.52"/>
    <s v="Intereses"/>
    <x v="1"/>
  </r>
  <r>
    <x v="128"/>
    <x v="7"/>
    <x v="2"/>
    <n v="-2.2000000000000002"/>
    <s v="Esmorzar"/>
    <x v="1"/>
  </r>
  <r>
    <x v="128"/>
    <x v="7"/>
    <x v="2"/>
    <n v="-3.74"/>
    <s v="Taronges"/>
    <x v="2"/>
  </r>
  <r>
    <x v="128"/>
    <x v="6"/>
    <x v="4"/>
    <n v="-35"/>
    <s v="COMIDA TRABAJO ONLY YOU"/>
    <x v="0"/>
  </r>
  <r>
    <x v="129"/>
    <x v="7"/>
    <x v="2"/>
    <n v="-5"/>
    <s v="Esmorzar"/>
    <x v="1"/>
  </r>
  <r>
    <x v="129"/>
    <x v="19"/>
    <x v="12"/>
    <n v="-1099.29"/>
    <s v="Toldo terraza 1_2"/>
    <x v="2"/>
  </r>
  <r>
    <x v="129"/>
    <x v="33"/>
    <x v="7"/>
    <n v="-1000"/>
    <s v="Traspaso"/>
    <x v="0"/>
  </r>
  <r>
    <x v="129"/>
    <x v="40"/>
    <x v="7"/>
    <n v="1000"/>
    <s v="Traspaso"/>
    <x v="0"/>
  </r>
  <r>
    <x v="129"/>
    <x v="14"/>
    <x v="4"/>
    <n v="-1.3"/>
    <s v="ALMUERZO"/>
    <x v="0"/>
  </r>
  <r>
    <x v="129"/>
    <x v="13"/>
    <x v="14"/>
    <n v="-40"/>
    <s v="CARGAR LOTOBOLSA"/>
    <x v="2"/>
  </r>
  <r>
    <x v="130"/>
    <x v="14"/>
    <x v="2"/>
    <n v="-62.82"/>
    <s v="MERCADONA"/>
    <x v="2"/>
  </r>
  <r>
    <x v="131"/>
    <x v="14"/>
    <x v="16"/>
    <n v="-63"/>
    <s v="GASOLINA"/>
    <x v="2"/>
  </r>
  <r>
    <x v="131"/>
    <x v="7"/>
    <x v="6"/>
    <n v="-290"/>
    <s v="Retiro Gilet 2_2"/>
    <x v="1"/>
  </r>
  <r>
    <x v="132"/>
    <x v="14"/>
    <x v="4"/>
    <n v="-3"/>
    <s v="ALMUERZO"/>
    <x v="0"/>
  </r>
  <r>
    <x v="132"/>
    <x v="35"/>
    <x v="23"/>
    <n v="-43.07"/>
    <s v="Bioferta"/>
    <x v="1"/>
  </r>
  <r>
    <x v="132"/>
    <x v="7"/>
    <x v="21"/>
    <n v="-10"/>
    <s v="Depil Irena"/>
    <x v="1"/>
  </r>
  <r>
    <x v="132"/>
    <x v="7"/>
    <x v="2"/>
    <n v="-4.4000000000000004"/>
    <s v="Esmorzar"/>
    <x v="1"/>
  </r>
  <r>
    <x v="132"/>
    <x v="26"/>
    <x v="7"/>
    <n v="-125"/>
    <s v="Traspaso"/>
    <x v="0"/>
  </r>
  <r>
    <x v="132"/>
    <x v="0"/>
    <x v="7"/>
    <n v="125"/>
    <s v="Traspaso"/>
    <x v="0"/>
  </r>
  <r>
    <x v="133"/>
    <x v="14"/>
    <x v="4"/>
    <n v="-1.3"/>
    <s v="ALMUERZO"/>
    <x v="0"/>
  </r>
  <r>
    <x v="133"/>
    <x v="14"/>
    <x v="7"/>
    <n v="-630.69000000000005"/>
    <s v="Traspaso"/>
    <x v="0"/>
  </r>
  <r>
    <x v="133"/>
    <x v="26"/>
    <x v="7"/>
    <n v="630.69000000000005"/>
    <s v="Traspaso"/>
    <x v="0"/>
  </r>
  <r>
    <x v="133"/>
    <x v="7"/>
    <x v="2"/>
    <n v="-0.6"/>
    <s v="Aigua"/>
    <x v="1"/>
  </r>
  <r>
    <x v="133"/>
    <x v="7"/>
    <x v="17"/>
    <n v="-5.4"/>
    <s v="Braga Ysabel Mora mercat"/>
    <x v="1"/>
  </r>
  <r>
    <x v="133"/>
    <x v="7"/>
    <x v="17"/>
    <n v="-14"/>
    <s v="Camisa rosa mercat"/>
    <x v="1"/>
  </r>
  <r>
    <x v="133"/>
    <x v="7"/>
    <x v="4"/>
    <n v="-29.7"/>
    <s v="Eleven Bistro dinar"/>
    <x v="2"/>
  </r>
  <r>
    <x v="133"/>
    <x v="5"/>
    <x v="15"/>
    <n v="-175.79"/>
    <s v="Pastillas freno delanteras Kadjar"/>
    <x v="2"/>
  </r>
  <r>
    <x v="133"/>
    <x v="5"/>
    <x v="17"/>
    <n v="-11.99"/>
    <s v="Camiseta Decathlon"/>
    <x v="1"/>
  </r>
  <r>
    <x v="133"/>
    <x v="5"/>
    <x v="17"/>
    <n v="-33.979999999999997"/>
    <s v="Roba Decathlon"/>
    <x v="1"/>
  </r>
  <r>
    <x v="133"/>
    <x v="5"/>
    <x v="9"/>
    <n v="-39.99"/>
    <s v="Bolsa Paddle Dani"/>
    <x v="1"/>
  </r>
  <r>
    <x v="133"/>
    <x v="14"/>
    <x v="12"/>
    <n v="-39.47"/>
    <s v="VARIOS VIVIENDA"/>
    <x v="2"/>
  </r>
  <r>
    <x v="134"/>
    <x v="7"/>
    <x v="2"/>
    <n v="-3.1"/>
    <s v="Esmorzar"/>
    <x v="1"/>
  </r>
  <r>
    <x v="134"/>
    <x v="7"/>
    <x v="9"/>
    <n v="500"/>
    <s v="Regal tío"/>
    <x v="1"/>
  </r>
  <r>
    <x v="134"/>
    <x v="33"/>
    <x v="7"/>
    <n v="-700"/>
    <s v="Traspaso"/>
    <x v="0"/>
  </r>
  <r>
    <x v="134"/>
    <x v="38"/>
    <x v="7"/>
    <n v="700"/>
    <s v="Traspaso"/>
    <x v="0"/>
  </r>
  <r>
    <x v="134"/>
    <x v="4"/>
    <x v="7"/>
    <n v="-500"/>
    <s v="Traspaso"/>
    <x v="0"/>
  </r>
  <r>
    <x v="134"/>
    <x v="30"/>
    <x v="7"/>
    <n v="500"/>
    <s v="Traspaso"/>
    <x v="0"/>
  </r>
  <r>
    <x v="134"/>
    <x v="14"/>
    <x v="4"/>
    <n v="-1.3"/>
    <s v="ALMUERZO"/>
    <x v="0"/>
  </r>
  <r>
    <x v="134"/>
    <x v="26"/>
    <x v="19"/>
    <n v="-5.05"/>
    <s v="CASA"/>
    <x v="2"/>
  </r>
  <r>
    <x v="134"/>
    <x v="13"/>
    <x v="11"/>
    <n v="-60"/>
    <s v="EMPASTE MUELA"/>
    <x v="0"/>
  </r>
  <r>
    <x v="134"/>
    <x v="7"/>
    <x v="11"/>
    <n v="-10"/>
    <s v="Dentista"/>
    <x v="1"/>
  </r>
  <r>
    <x v="134"/>
    <x v="7"/>
    <x v="7"/>
    <n v="-60"/>
    <s v="Traspaso"/>
    <x v="1"/>
  </r>
  <r>
    <x v="134"/>
    <x v="20"/>
    <x v="7"/>
    <n v="60"/>
    <s v="Traspaso"/>
    <x v="1"/>
  </r>
  <r>
    <x v="135"/>
    <x v="14"/>
    <x v="4"/>
    <n v="-1.3"/>
    <s v="ALMUERZO"/>
    <x v="0"/>
  </r>
  <r>
    <x v="135"/>
    <x v="33"/>
    <x v="7"/>
    <n v="-1300"/>
    <s v="Traspaso"/>
    <x v="0"/>
  </r>
  <r>
    <x v="135"/>
    <x v="25"/>
    <x v="7"/>
    <n v="1300"/>
    <s v="Traspaso"/>
    <x v="0"/>
  </r>
  <r>
    <x v="135"/>
    <x v="35"/>
    <x v="23"/>
    <n v="-57.67"/>
    <s v="Atida farma"/>
    <x v="1"/>
  </r>
  <r>
    <x v="135"/>
    <x v="7"/>
    <x v="14"/>
    <n v="-2"/>
    <s v="Rifa Inma personal"/>
    <x v="1"/>
  </r>
  <r>
    <x v="135"/>
    <x v="7"/>
    <x v="2"/>
    <n v="-1.5"/>
    <s v="Esmorzar"/>
    <x v="1"/>
  </r>
  <r>
    <x v="135"/>
    <x v="35"/>
    <x v="23"/>
    <n v="15"/>
    <s v="Pago Nieves Atida farma"/>
    <x v="1"/>
  </r>
  <r>
    <x v="135"/>
    <x v="35"/>
    <x v="23"/>
    <n v="15"/>
    <s v="Pago M Carmen Atida farma"/>
    <x v="1"/>
  </r>
  <r>
    <x v="136"/>
    <x v="7"/>
    <x v="2"/>
    <n v="-3"/>
    <s v="Desdejuni"/>
    <x v="1"/>
  </r>
  <r>
    <x v="136"/>
    <x v="17"/>
    <x v="17"/>
    <n v="-44.96"/>
    <s v="Womens Secret"/>
    <x v="1"/>
  </r>
  <r>
    <x v="136"/>
    <x v="7"/>
    <x v="21"/>
    <n v="-77.5"/>
    <s v="Pelu Saray SAB"/>
    <x v="1"/>
  </r>
  <r>
    <x v="136"/>
    <x v="7"/>
    <x v="2"/>
    <n v="-5"/>
    <s v="Esmorzar"/>
    <x v="1"/>
  </r>
  <r>
    <x v="136"/>
    <x v="35"/>
    <x v="9"/>
    <n v="495"/>
    <s v="Diners tío"/>
    <x v="1"/>
  </r>
  <r>
    <x v="136"/>
    <x v="14"/>
    <x v="4"/>
    <n v="-1.3"/>
    <s v="ALMUERZO"/>
    <x v="0"/>
  </r>
  <r>
    <x v="137"/>
    <x v="14"/>
    <x v="2"/>
    <n v="-92.58"/>
    <s v="MERCADONA"/>
    <x v="0"/>
  </r>
  <r>
    <x v="138"/>
    <x v="14"/>
    <x v="4"/>
    <n v="-1.3"/>
    <s v="ALMUERZO"/>
    <x v="0"/>
  </r>
  <r>
    <x v="138"/>
    <x v="7"/>
    <x v="2"/>
    <n v="-2"/>
    <s v="Esmorzar"/>
    <x v="1"/>
  </r>
  <r>
    <x v="138"/>
    <x v="5"/>
    <x v="9"/>
    <n v="39.99"/>
    <s v="Devol bolsa padel Dani"/>
    <x v="1"/>
  </r>
  <r>
    <x v="138"/>
    <x v="5"/>
    <x v="17"/>
    <n v="-34.97"/>
    <s v="Decathlon"/>
    <x v="1"/>
  </r>
  <r>
    <x v="139"/>
    <x v="14"/>
    <x v="4"/>
    <n v="-1.3"/>
    <s v="ALMUERZO"/>
    <x v="0"/>
  </r>
  <r>
    <x v="139"/>
    <x v="26"/>
    <x v="5"/>
    <n v="-45.86"/>
    <s v="PISO DERRAMA"/>
    <x v="0"/>
  </r>
  <r>
    <x v="139"/>
    <x v="26"/>
    <x v="5"/>
    <n v="-35.880000000000003"/>
    <s v="PISO"/>
    <x v="0"/>
  </r>
  <r>
    <x v="139"/>
    <x v="26"/>
    <x v="1"/>
    <n v="16.2"/>
    <s v="BONIFICACIÓN AMIGO"/>
    <x v="0"/>
  </r>
  <r>
    <x v="139"/>
    <x v="4"/>
    <x v="7"/>
    <n v="-500"/>
    <s v="Traspaso"/>
    <x v="0"/>
  </r>
  <r>
    <x v="139"/>
    <x v="42"/>
    <x v="7"/>
    <n v="500"/>
    <s v="Traspaso"/>
    <x v="0"/>
  </r>
  <r>
    <x v="139"/>
    <x v="19"/>
    <x v="22"/>
    <n v="1955.54"/>
    <s v="Nómina"/>
    <x v="1"/>
  </r>
  <r>
    <x v="139"/>
    <x v="7"/>
    <x v="2"/>
    <n v="-1.4"/>
    <s v="Esmorzar"/>
    <x v="1"/>
  </r>
  <r>
    <x v="139"/>
    <x v="7"/>
    <x v="17"/>
    <n v="-15"/>
    <s v="Falda mercat"/>
    <x v="1"/>
  </r>
  <r>
    <x v="139"/>
    <x v="7"/>
    <x v="17"/>
    <n v="-10"/>
    <s v="Suéter verd mercat"/>
    <x v="1"/>
  </r>
  <r>
    <x v="139"/>
    <x v="7"/>
    <x v="17"/>
    <n v="-18"/>
    <s v="Mochila mercat"/>
    <x v="1"/>
  </r>
  <r>
    <x v="139"/>
    <x v="7"/>
    <x v="2"/>
    <n v="-3.1"/>
    <s v="Forn"/>
    <x v="2"/>
  </r>
  <r>
    <x v="139"/>
    <x v="35"/>
    <x v="9"/>
    <n v="50"/>
    <s v="Regal Tío"/>
    <x v="1"/>
  </r>
  <r>
    <x v="139"/>
    <x v="14"/>
    <x v="2"/>
    <n v="-8.85"/>
    <s v="MERCADONA"/>
    <x v="0"/>
  </r>
  <r>
    <x v="139"/>
    <x v="14"/>
    <x v="9"/>
    <n v="-24.99"/>
    <s v="MAMÁ"/>
    <x v="0"/>
  </r>
  <r>
    <x v="140"/>
    <x v="12"/>
    <x v="7"/>
    <n v="-800"/>
    <s v="Traspaso"/>
    <x v="0"/>
  </r>
  <r>
    <x v="140"/>
    <x v="26"/>
    <x v="7"/>
    <n v="800"/>
    <s v="Traspaso"/>
    <x v="0"/>
  </r>
  <r>
    <x v="140"/>
    <x v="14"/>
    <x v="4"/>
    <n v="-1.3"/>
    <s v="ALMUERZO"/>
    <x v="0"/>
  </r>
  <r>
    <x v="140"/>
    <x v="36"/>
    <x v="22"/>
    <n v="1973.17"/>
    <s v="Nómina"/>
    <x v="0"/>
  </r>
  <r>
    <x v="140"/>
    <x v="7"/>
    <x v="2"/>
    <n v="-1.4"/>
    <s v="Esmorzar"/>
    <x v="1"/>
  </r>
  <r>
    <x v="140"/>
    <x v="7"/>
    <x v="6"/>
    <n v="-33"/>
    <s v="Neteja Georgina"/>
    <x v="2"/>
  </r>
  <r>
    <x v="140"/>
    <x v="36"/>
    <x v="7"/>
    <n v="-1500"/>
    <s v="Traspaso"/>
    <x v="0"/>
  </r>
  <r>
    <x v="140"/>
    <x v="12"/>
    <x v="7"/>
    <n v="1500"/>
    <s v="Traspaso"/>
    <x v="0"/>
  </r>
  <r>
    <x v="140"/>
    <x v="12"/>
    <x v="7"/>
    <n v="-241.65"/>
    <s v="Traspaso"/>
    <x v="0"/>
  </r>
  <r>
    <x v="140"/>
    <x v="13"/>
    <x v="7"/>
    <n v="241.65"/>
    <s v="Traspaso"/>
    <x v="0"/>
  </r>
  <r>
    <x v="140"/>
    <x v="14"/>
    <x v="10"/>
    <n v="-39.99"/>
    <s v="BOLSA PADEL"/>
    <x v="0"/>
  </r>
  <r>
    <x v="141"/>
    <x v="14"/>
    <x v="4"/>
    <n v="-1.3"/>
    <s v="ALMUERZO"/>
    <x v="0"/>
  </r>
  <r>
    <x v="141"/>
    <x v="14"/>
    <x v="1"/>
    <n v="3.18"/>
    <s v="INTERESES ETF"/>
    <x v="0"/>
  </r>
  <r>
    <x v="141"/>
    <x v="26"/>
    <x v="7"/>
    <n v="-100"/>
    <s v="Traspaso"/>
    <x v="0"/>
  </r>
  <r>
    <x v="141"/>
    <x v="27"/>
    <x v="7"/>
    <n v="100"/>
    <s v="Traspaso"/>
    <x v="0"/>
  </r>
  <r>
    <x v="141"/>
    <x v="26"/>
    <x v="7"/>
    <n v="-200"/>
    <s v="Traspaso"/>
    <x v="0"/>
  </r>
  <r>
    <x v="141"/>
    <x v="27"/>
    <x v="7"/>
    <n v="200"/>
    <s v="Traspaso"/>
    <x v="0"/>
  </r>
  <r>
    <x v="141"/>
    <x v="7"/>
    <x v="2"/>
    <n v="-3"/>
    <s v="Taronges"/>
    <x v="2"/>
  </r>
  <r>
    <x v="141"/>
    <x v="7"/>
    <x v="2"/>
    <n v="-1.55"/>
    <s v="Esmorzar"/>
    <x v="1"/>
  </r>
  <r>
    <x v="141"/>
    <x v="5"/>
    <x v="2"/>
    <n v="-27.17"/>
    <s v="Carrefour"/>
    <x v="2"/>
  </r>
  <r>
    <x v="141"/>
    <x v="5"/>
    <x v="17"/>
    <n v="-38.981000000000002"/>
    <s v="Pantalones Springfield"/>
    <x v="1"/>
  </r>
  <r>
    <x v="141"/>
    <x v="5"/>
    <x v="17"/>
    <n v="-25.48"/>
    <s v="Camisetas Springfield"/>
    <x v="1"/>
  </r>
  <r>
    <x v="141"/>
    <x v="19"/>
    <x v="7"/>
    <n v="-2000"/>
    <s v="TRASPASO"/>
    <x v="1"/>
  </r>
  <r>
    <x v="141"/>
    <x v="43"/>
    <x v="7"/>
    <n v="2000"/>
    <s v="TRASPASO"/>
    <x v="1"/>
  </r>
  <r>
    <x v="142"/>
    <x v="14"/>
    <x v="4"/>
    <n v="-1.3"/>
    <s v="ALMUERZO"/>
    <x v="0"/>
  </r>
  <r>
    <x v="142"/>
    <x v="26"/>
    <x v="7"/>
    <n v="-1204.33"/>
    <s v="Traspaso"/>
    <x v="0"/>
  </r>
  <r>
    <x v="142"/>
    <x v="4"/>
    <x v="7"/>
    <n v="1204.33"/>
    <s v="Traspaso"/>
    <x v="0"/>
  </r>
  <r>
    <x v="142"/>
    <x v="26"/>
    <x v="1"/>
    <n v="16.2"/>
    <s v="BONIFICACIÓN AMIGO"/>
    <x v="0"/>
  </r>
  <r>
    <x v="142"/>
    <x v="12"/>
    <x v="7"/>
    <n v="-758.35"/>
    <s v="Traspaso"/>
    <x v="0"/>
  </r>
  <r>
    <x v="142"/>
    <x v="26"/>
    <x v="7"/>
    <n v="758.35"/>
    <s v="Traspaso"/>
    <x v="0"/>
  </r>
  <r>
    <x v="142"/>
    <x v="20"/>
    <x v="7"/>
    <n v="-128.84"/>
    <s v="Visa"/>
    <x v="1"/>
  </r>
  <r>
    <x v="142"/>
    <x v="5"/>
    <x v="7"/>
    <n v="128.84"/>
    <s v="Traspaso"/>
    <x v="1"/>
  </r>
  <r>
    <x v="142"/>
    <x v="44"/>
    <x v="1"/>
    <n v="16.2"/>
    <s v="Bonificación amigo"/>
    <x v="1"/>
  </r>
  <r>
    <x v="142"/>
    <x v="7"/>
    <x v="2"/>
    <n v="-5.5"/>
    <s v="Esmorzar"/>
    <x v="1"/>
  </r>
  <r>
    <x v="142"/>
    <x v="7"/>
    <x v="21"/>
    <n v="-78"/>
    <s v="Pallardó"/>
    <x v="1"/>
  </r>
  <r>
    <x v="142"/>
    <x v="5"/>
    <x v="16"/>
    <n v="-50.6"/>
    <s v="Gasoil"/>
    <x v="2"/>
  </r>
  <r>
    <x v="142"/>
    <x v="5"/>
    <x v="17"/>
    <n v="-32.979999999999997"/>
    <s v="Pantalones Decathlon"/>
    <x v="1"/>
  </r>
  <r>
    <x v="143"/>
    <x v="14"/>
    <x v="2"/>
    <n v="-48.13"/>
    <s v="MERCADONA"/>
    <x v="2"/>
  </r>
  <r>
    <x v="144"/>
    <x v="10"/>
    <x v="1"/>
    <n v="0.02"/>
    <s v="Intereses"/>
    <x v="0"/>
  </r>
  <r>
    <x v="144"/>
    <x v="14"/>
    <x v="1"/>
    <n v="2.96"/>
    <s v="Intereses"/>
    <x v="0"/>
  </r>
  <r>
    <x v="144"/>
    <x v="33"/>
    <x v="1"/>
    <n v="8.1999999999999993"/>
    <s v="Intereses"/>
    <x v="0"/>
  </r>
  <r>
    <x v="144"/>
    <x v="6"/>
    <x v="20"/>
    <n v="65"/>
    <s v="VENTA SILLÓN IKEA"/>
    <x v="2"/>
  </r>
  <r>
    <x v="144"/>
    <x v="26"/>
    <x v="3"/>
    <n v="800"/>
    <s v="JUNIO"/>
    <x v="0"/>
  </r>
  <r>
    <x v="144"/>
    <x v="17"/>
    <x v="1"/>
    <n v="0.17"/>
    <s v="Int"/>
    <x v="1"/>
  </r>
  <r>
    <x v="144"/>
    <x v="35"/>
    <x v="1"/>
    <n v="39.700000000000003"/>
    <s v="Int"/>
    <x v="1"/>
  </r>
  <r>
    <x v="144"/>
    <x v="35"/>
    <x v="28"/>
    <n v="-7.54"/>
    <s v="Retención"/>
    <x v="1"/>
  </r>
  <r>
    <x v="144"/>
    <x v="21"/>
    <x v="1"/>
    <n v="51.42"/>
    <s v="Int"/>
    <x v="1"/>
  </r>
  <r>
    <x v="145"/>
    <x v="21"/>
    <x v="7"/>
    <n v="-70"/>
    <s v="Traspaso"/>
    <x v="1"/>
  </r>
  <r>
    <x v="145"/>
    <x v="32"/>
    <x v="7"/>
    <n v="70"/>
    <s v="Traspaso"/>
    <x v="1"/>
  </r>
  <r>
    <x v="145"/>
    <x v="14"/>
    <x v="7"/>
    <n v="-660"/>
    <s v="Traspaso"/>
    <x v="0"/>
  </r>
  <r>
    <x v="145"/>
    <x v="1"/>
    <x v="7"/>
    <n v="660"/>
    <s v="Traspaso"/>
    <x v="0"/>
  </r>
  <r>
    <x v="145"/>
    <x v="14"/>
    <x v="4"/>
    <n v="-1.3"/>
    <s v="ALMUERZO"/>
    <x v="0"/>
  </r>
  <r>
    <x v="145"/>
    <x v="19"/>
    <x v="7"/>
    <n v="-2000"/>
    <s v="Bitcoin"/>
    <x v="1"/>
  </r>
  <r>
    <x v="145"/>
    <x v="45"/>
    <x v="7"/>
    <n v="2000"/>
    <s v="Bitcoin"/>
    <x v="1"/>
  </r>
  <r>
    <x v="145"/>
    <x v="19"/>
    <x v="7"/>
    <n v="-1000"/>
    <s v="Traspaso"/>
    <x v="1"/>
  </r>
  <r>
    <x v="145"/>
    <x v="20"/>
    <x v="7"/>
    <n v="1000"/>
    <s v="Traspaso"/>
    <x v="1"/>
  </r>
  <r>
    <x v="145"/>
    <x v="19"/>
    <x v="7"/>
    <n v="-1000"/>
    <s v="Traspaso"/>
    <x v="1"/>
  </r>
  <r>
    <x v="145"/>
    <x v="17"/>
    <x v="7"/>
    <n v="1000"/>
    <s v="Traspaso"/>
    <x v="1"/>
  </r>
  <r>
    <x v="145"/>
    <x v="26"/>
    <x v="5"/>
    <n v="-60"/>
    <s v="CASA"/>
    <x v="0"/>
  </r>
  <r>
    <x v="145"/>
    <x v="7"/>
    <x v="11"/>
    <n v="-6.17"/>
    <s v="Biodramina"/>
    <x v="1"/>
  </r>
  <r>
    <x v="145"/>
    <x v="7"/>
    <x v="2"/>
    <n v="-1.5"/>
    <s v="Esmorzar"/>
    <x v="1"/>
  </r>
  <r>
    <x v="145"/>
    <x v="20"/>
    <x v="20"/>
    <n v="100"/>
    <s v="Arrend trastero"/>
    <x v="2"/>
  </r>
  <r>
    <x v="145"/>
    <x v="20"/>
    <x v="11"/>
    <n v="-57.71"/>
    <s v="Mapfre salud"/>
    <x v="1"/>
  </r>
  <r>
    <x v="146"/>
    <x v="20"/>
    <x v="6"/>
    <n v="-10.48"/>
    <s v="Ocaso seguro"/>
    <x v="1"/>
  </r>
  <r>
    <x v="146"/>
    <x v="14"/>
    <x v="4"/>
    <n v="-1.3"/>
    <s v="ALMUERZO"/>
    <x v="0"/>
  </r>
  <r>
    <x v="146"/>
    <x v="26"/>
    <x v="8"/>
    <n v="-742.35"/>
    <s v="MAYO"/>
    <x v="0"/>
  </r>
  <r>
    <x v="146"/>
    <x v="7"/>
    <x v="2"/>
    <n v="-2.1"/>
    <s v="Esmorzar"/>
    <x v="1"/>
  </r>
  <r>
    <x v="146"/>
    <x v="20"/>
    <x v="8"/>
    <n v="742.35"/>
    <s v="Gastos mayo"/>
    <x v="1"/>
  </r>
  <r>
    <x v="146"/>
    <x v="7"/>
    <x v="11"/>
    <n v="-8.9499999999999993"/>
    <s v="Antimosquitos stick"/>
    <x v="1"/>
  </r>
  <r>
    <x v="146"/>
    <x v="6"/>
    <x v="6"/>
    <n v="-5"/>
    <s v="FLORES"/>
    <x v="0"/>
  </r>
  <r>
    <x v="147"/>
    <x v="14"/>
    <x v="4"/>
    <n v="-1.3"/>
    <s v="ALMUERZO"/>
    <x v="0"/>
  </r>
  <r>
    <x v="147"/>
    <x v="20"/>
    <x v="7"/>
    <n v="-1500"/>
    <s v="Traspaso"/>
    <x v="1"/>
  </r>
  <r>
    <x v="147"/>
    <x v="35"/>
    <x v="7"/>
    <n v="1500"/>
    <s v="Traspaso"/>
    <x v="1"/>
  </r>
  <r>
    <x v="147"/>
    <x v="20"/>
    <x v="10"/>
    <n v="-74"/>
    <s v="Gym Aspresso"/>
    <x v="2"/>
  </r>
  <r>
    <x v="147"/>
    <x v="5"/>
    <x v="17"/>
    <n v="38.979999999999997"/>
    <s v="Devol Springfield"/>
    <x v="1"/>
  </r>
  <r>
    <x v="147"/>
    <x v="7"/>
    <x v="23"/>
    <n v="-16.66"/>
    <s v="Protector solar stick Navarro"/>
    <x v="1"/>
  </r>
  <r>
    <x v="147"/>
    <x v="17"/>
    <x v="7"/>
    <n v="-500"/>
    <s v="TRASPASO"/>
    <x v="1"/>
  </r>
  <r>
    <x v="147"/>
    <x v="18"/>
    <x v="7"/>
    <n v="500"/>
    <s v="TRASPASO"/>
    <x v="1"/>
  </r>
  <r>
    <x v="147"/>
    <x v="14"/>
    <x v="11"/>
    <n v="-2.2799999999999998"/>
    <s v="TEVETENS Y AFLOYAN"/>
    <x v="0"/>
  </r>
  <r>
    <x v="147"/>
    <x v="14"/>
    <x v="12"/>
    <n v="-23.34"/>
    <s v="CHORRADICAS"/>
    <x v="0"/>
  </r>
  <r>
    <x v="147"/>
    <x v="14"/>
    <x v="10"/>
    <n v="-50"/>
    <s v="BONO PADEL"/>
    <x v="0"/>
  </r>
  <r>
    <x v="148"/>
    <x v="20"/>
    <x v="13"/>
    <n v="-21"/>
    <s v="Parking Ayto"/>
    <x v="1"/>
  </r>
  <r>
    <x v="148"/>
    <x v="17"/>
    <x v="13"/>
    <n v="-50"/>
    <s v="Multa DGT"/>
    <x v="1"/>
  </r>
  <r>
    <x v="148"/>
    <x v="36"/>
    <x v="7"/>
    <n v="-501.3"/>
    <s v="Traspaso"/>
    <x v="0"/>
  </r>
  <r>
    <x v="148"/>
    <x v="4"/>
    <x v="7"/>
    <n v="501.3"/>
    <s v="Traspaso"/>
    <x v="0"/>
  </r>
  <r>
    <x v="148"/>
    <x v="14"/>
    <x v="4"/>
    <n v="-1.3"/>
    <s v="ALMUERZO"/>
    <x v="0"/>
  </r>
  <r>
    <x v="148"/>
    <x v="36"/>
    <x v="7"/>
    <n v="-100"/>
    <s v="Traspaso"/>
    <x v="0"/>
  </r>
  <r>
    <x v="148"/>
    <x v="39"/>
    <x v="7"/>
    <n v="100"/>
    <s v="Traspaso"/>
    <x v="0"/>
  </r>
  <r>
    <x v="148"/>
    <x v="14"/>
    <x v="12"/>
    <n v="-22.68"/>
    <s v="CHORRADICAS"/>
    <x v="0"/>
  </r>
  <r>
    <x v="149"/>
    <x v="2"/>
    <x v="7"/>
    <n v="-8540"/>
    <s v="TRASPASO"/>
    <x v="1"/>
  </r>
  <r>
    <x v="149"/>
    <x v="46"/>
    <x v="7"/>
    <n v="8540"/>
    <s v="TRASPASO"/>
    <x v="1"/>
  </r>
  <r>
    <x v="149"/>
    <x v="5"/>
    <x v="26"/>
    <n v="-198.2"/>
    <s v="Hotel Delle Rose Venecia"/>
    <x v="2"/>
  </r>
  <r>
    <x v="149"/>
    <x v="7"/>
    <x v="2"/>
    <n v="-2.6"/>
    <s v="Aigua"/>
    <x v="2"/>
  </r>
  <r>
    <x v="149"/>
    <x v="14"/>
    <x v="2"/>
    <n v="-20.43"/>
    <s v="MERCADONA"/>
    <x v="0"/>
  </r>
  <r>
    <x v="149"/>
    <x v="14"/>
    <x v="1"/>
    <n v="13.67"/>
    <s v="INTERESES ETF"/>
    <x v="0"/>
  </r>
  <r>
    <x v="149"/>
    <x v="14"/>
    <x v="1"/>
    <n v="42.74"/>
    <s v="INTERESES ETF"/>
    <x v="0"/>
  </r>
  <r>
    <x v="149"/>
    <x v="36"/>
    <x v="1"/>
    <n v="25"/>
    <s v="CASHBACK"/>
    <x v="0"/>
  </r>
  <r>
    <x v="149"/>
    <x v="14"/>
    <x v="4"/>
    <n v="-29.4"/>
    <s v="TAXI AEROPUERTO"/>
    <x v="2"/>
  </r>
  <r>
    <x v="149"/>
    <x v="14"/>
    <x v="1"/>
    <n v="30.18"/>
    <s v="INTERESES ETF"/>
    <x v="0"/>
  </r>
  <r>
    <x v="150"/>
    <x v="26"/>
    <x v="1"/>
    <n v="0.91"/>
    <s v="Intereses"/>
    <x v="0"/>
  </r>
  <r>
    <x v="150"/>
    <x v="7"/>
    <x v="26"/>
    <n v="-30"/>
    <s v="Free Tour Venecia"/>
    <x v="2"/>
  </r>
  <r>
    <x v="150"/>
    <x v="7"/>
    <x v="17"/>
    <n v="-5"/>
    <s v="Pañuelo Basílica"/>
    <x v="1"/>
  </r>
  <r>
    <x v="150"/>
    <x v="7"/>
    <x v="26"/>
    <n v="-4"/>
    <s v="Góndola Venecia"/>
    <x v="2"/>
  </r>
  <r>
    <x v="150"/>
    <x v="17"/>
    <x v="17"/>
    <n v="22.48"/>
    <s v="Devol Bikinis Women Secret"/>
    <x v="1"/>
  </r>
  <r>
    <x v="150"/>
    <x v="17"/>
    <x v="7"/>
    <n v="-200"/>
    <s v="TRASPASO"/>
    <x v="1"/>
  </r>
  <r>
    <x v="150"/>
    <x v="18"/>
    <x v="7"/>
    <n v="200"/>
    <s v="TRASPASO"/>
    <x v="1"/>
  </r>
  <r>
    <x v="151"/>
    <x v="30"/>
    <x v="1"/>
    <n v="25"/>
    <s v="BONIFICACIÓN AMIGO"/>
    <x v="0"/>
  </r>
  <r>
    <x v="152"/>
    <x v="13"/>
    <x v="28"/>
    <n v="-81.95"/>
    <s v="IBI URBANA TRASTERO"/>
    <x v="2"/>
  </r>
  <r>
    <x v="152"/>
    <x v="13"/>
    <x v="28"/>
    <n v="-66.03"/>
    <s v="IBI URBANA GARAJE"/>
    <x v="0"/>
  </r>
  <r>
    <x v="152"/>
    <x v="13"/>
    <x v="28"/>
    <n v="-393.67"/>
    <s v="IBI URBANA PISO"/>
    <x v="0"/>
  </r>
  <r>
    <x v="153"/>
    <x v="7"/>
    <x v="2"/>
    <n v="-1"/>
    <s v="Corfú"/>
    <x v="1"/>
  </r>
  <r>
    <x v="154"/>
    <x v="14"/>
    <x v="1"/>
    <n v="0.48"/>
    <s v="INTERESES MICROSOFT"/>
    <x v="0"/>
  </r>
  <r>
    <x v="154"/>
    <x v="26"/>
    <x v="7"/>
    <n v="-100"/>
    <s v="Traspaso"/>
    <x v="0"/>
  </r>
  <r>
    <x v="154"/>
    <x v="27"/>
    <x v="7"/>
    <n v="100"/>
    <s v="Traspaso"/>
    <x v="0"/>
  </r>
  <r>
    <x v="154"/>
    <x v="7"/>
    <x v="26"/>
    <n v="-3"/>
    <s v="Horno Kotor"/>
    <x v="2"/>
  </r>
  <r>
    <x v="154"/>
    <x v="20"/>
    <x v="18"/>
    <n v="-35"/>
    <s v="Lowi"/>
    <x v="2"/>
  </r>
  <r>
    <x v="155"/>
    <x v="26"/>
    <x v="25"/>
    <n v="-17.04"/>
    <s v="CASA"/>
    <x v="2"/>
  </r>
  <r>
    <x v="155"/>
    <x v="19"/>
    <x v="1"/>
    <n v="58.29"/>
    <s v="Int"/>
    <x v="1"/>
  </r>
  <r>
    <x v="155"/>
    <x v="7"/>
    <x v="6"/>
    <n v="-0.2"/>
    <s v="WC"/>
    <x v="1"/>
  </r>
  <r>
    <x v="156"/>
    <x v="35"/>
    <x v="9"/>
    <n v="-10"/>
    <s v="Mireia Dama"/>
    <x v="1"/>
  </r>
  <r>
    <x v="156"/>
    <x v="7"/>
    <x v="26"/>
    <n v="-5.3"/>
    <s v="Gelat Zadar"/>
    <x v="2"/>
  </r>
  <r>
    <x v="156"/>
    <x v="6"/>
    <x v="4"/>
    <n v="-10"/>
    <s v="VACACIONES"/>
    <x v="2"/>
  </r>
  <r>
    <x v="157"/>
    <x v="14"/>
    <x v="12"/>
    <n v="-30.88"/>
    <s v="Variosvivienda"/>
    <x v="2"/>
  </r>
  <r>
    <x v="157"/>
    <x v="14"/>
    <x v="4"/>
    <n v="-42.1"/>
    <s v="TAXI AEROPUERTO"/>
    <x v="2"/>
  </r>
  <r>
    <x v="157"/>
    <x v="36"/>
    <x v="7"/>
    <n v="-350"/>
    <s v="Traspaso"/>
    <x v="0"/>
  </r>
  <r>
    <x v="157"/>
    <x v="31"/>
    <x v="7"/>
    <n v="350"/>
    <s v="Traspaso"/>
    <x v="0"/>
  </r>
  <r>
    <x v="158"/>
    <x v="18"/>
    <x v="26"/>
    <n v="-342.1"/>
    <s v="Gastos varios Crucero Adriático"/>
    <x v="2"/>
  </r>
  <r>
    <x v="158"/>
    <x v="18"/>
    <x v="7"/>
    <n v="-357.9"/>
    <s v="TRASPASO"/>
    <x v="1"/>
  </r>
  <r>
    <x v="158"/>
    <x v="17"/>
    <x v="7"/>
    <n v="357.9"/>
    <s v="TRASPASO"/>
    <x v="1"/>
  </r>
  <r>
    <x v="158"/>
    <x v="26"/>
    <x v="1"/>
    <n v="1.29"/>
    <s v="INTERESES ETF"/>
    <x v="0"/>
  </r>
  <r>
    <x v="158"/>
    <x v="12"/>
    <x v="7"/>
    <n v="-401.75"/>
    <s v="Traspaso"/>
    <x v="0"/>
  </r>
  <r>
    <x v="158"/>
    <x v="36"/>
    <x v="7"/>
    <n v="401.75"/>
    <s v="Traspaso"/>
    <x v="0"/>
  </r>
  <r>
    <x v="158"/>
    <x v="14"/>
    <x v="2"/>
    <n v="-120.33"/>
    <s v="MERCADONA"/>
    <x v="2"/>
  </r>
  <r>
    <x v="158"/>
    <x v="14"/>
    <x v="17"/>
    <n v="-22.58"/>
    <s v="ZAPATOS Y CAMISA"/>
    <x v="0"/>
  </r>
  <r>
    <x v="158"/>
    <x v="14"/>
    <x v="1"/>
    <n v="0.27"/>
    <s v="INTERESES ALPHABET"/>
    <x v="0"/>
  </r>
  <r>
    <x v="158"/>
    <x v="12"/>
    <x v="1"/>
    <n v="1.75"/>
    <s v="Intereses"/>
    <x v="0"/>
  </r>
  <r>
    <x v="159"/>
    <x v="7"/>
    <x v="2"/>
    <n v="-0.6"/>
    <s v="Aigua"/>
    <x v="1"/>
  </r>
  <r>
    <x v="159"/>
    <x v="14"/>
    <x v="4"/>
    <n v="-1.3"/>
    <s v="ALMUERZO"/>
    <x v="0"/>
  </r>
  <r>
    <x v="159"/>
    <x v="26"/>
    <x v="7"/>
    <n v="-125"/>
    <s v="TRASPASO"/>
    <x v="0"/>
  </r>
  <r>
    <x v="159"/>
    <x v="0"/>
    <x v="7"/>
    <n v="125"/>
    <s v="TRASPASO"/>
    <x v="0"/>
  </r>
  <r>
    <x v="160"/>
    <x v="7"/>
    <x v="2"/>
    <n v="-4.4000000000000004"/>
    <s v="Esmorzar"/>
    <x v="1"/>
  </r>
  <r>
    <x v="160"/>
    <x v="14"/>
    <x v="4"/>
    <n v="-1.3"/>
    <s v="ALMUERZO"/>
    <x v="0"/>
  </r>
  <r>
    <x v="160"/>
    <x v="26"/>
    <x v="19"/>
    <n v="-5.22"/>
    <s v="CASA"/>
    <x v="2"/>
  </r>
  <r>
    <x v="160"/>
    <x v="14"/>
    <x v="10"/>
    <n v="-6"/>
    <s v="PADEL"/>
    <x v="0"/>
  </r>
  <r>
    <x v="161"/>
    <x v="14"/>
    <x v="4"/>
    <n v="-3"/>
    <s v="ALMUERZO"/>
    <x v="0"/>
  </r>
  <r>
    <x v="161"/>
    <x v="14"/>
    <x v="16"/>
    <n v="-76"/>
    <s v="GASOLINA"/>
    <x v="2"/>
  </r>
  <r>
    <x v="162"/>
    <x v="14"/>
    <x v="4"/>
    <n v="-1.3"/>
    <s v="ALMUERZO"/>
    <x v="0"/>
  </r>
  <r>
    <x v="162"/>
    <x v="33"/>
    <x v="7"/>
    <n v="-700"/>
    <s v="Traspaso"/>
    <x v="0"/>
  </r>
  <r>
    <x v="162"/>
    <x v="38"/>
    <x v="7"/>
    <n v="700"/>
    <s v="Traspaso"/>
    <x v="0"/>
  </r>
  <r>
    <x v="162"/>
    <x v="7"/>
    <x v="6"/>
    <n v="-44"/>
    <s v="Neteja Georgina"/>
    <x v="2"/>
  </r>
  <r>
    <x v="162"/>
    <x v="7"/>
    <x v="2"/>
    <n v="-2.4"/>
    <s v="Esmorzar"/>
    <x v="1"/>
  </r>
  <r>
    <x v="162"/>
    <x v="17"/>
    <x v="20"/>
    <n v="50"/>
    <s v="Wallapop Ukelele"/>
    <x v="2"/>
  </r>
  <r>
    <x v="163"/>
    <x v="14"/>
    <x v="2"/>
    <n v="-64.010000000000005"/>
    <s v="MERCADONA"/>
    <x v="0"/>
  </r>
  <r>
    <x v="163"/>
    <x v="5"/>
    <x v="2"/>
    <n v="-17"/>
    <s v="Dinar Alm"/>
    <x v="2"/>
  </r>
  <r>
    <x v="163"/>
    <x v="5"/>
    <x v="10"/>
    <n v="7.99"/>
    <s v="Devol Decathlon sombrero gris"/>
    <x v="1"/>
  </r>
  <r>
    <x v="164"/>
    <x v="36"/>
    <x v="22"/>
    <n v="3994.39"/>
    <s v="Nómina"/>
    <x v="0"/>
  </r>
  <r>
    <x v="164"/>
    <x v="36"/>
    <x v="7"/>
    <n v="-1691.8"/>
    <s v="Traspaso"/>
    <x v="0"/>
  </r>
  <r>
    <x v="164"/>
    <x v="33"/>
    <x v="7"/>
    <n v="1691.8"/>
    <s v="Traspaso"/>
    <x v="0"/>
  </r>
  <r>
    <x v="164"/>
    <x v="36"/>
    <x v="7"/>
    <n v="-751.21"/>
    <s v="Traspaso"/>
    <x v="0"/>
  </r>
  <r>
    <x v="164"/>
    <x v="26"/>
    <x v="7"/>
    <n v="751.21"/>
    <s v="Traspaso"/>
    <x v="0"/>
  </r>
  <r>
    <x v="164"/>
    <x v="36"/>
    <x v="7"/>
    <n v="-840"/>
    <s v="Traspaso"/>
    <x v="0"/>
  </r>
  <r>
    <x v="164"/>
    <x v="13"/>
    <x v="7"/>
    <n v="840"/>
    <s v="Traspaso"/>
    <x v="0"/>
  </r>
  <r>
    <x v="164"/>
    <x v="13"/>
    <x v="14"/>
    <n v="-40"/>
    <s v="CARGAR LOTOBOLSA"/>
    <x v="2"/>
  </r>
  <r>
    <x v="164"/>
    <x v="36"/>
    <x v="7"/>
    <n v="-660"/>
    <s v="Traspaso"/>
    <x v="0"/>
  </r>
  <r>
    <x v="164"/>
    <x v="12"/>
    <x v="7"/>
    <n v="660"/>
    <s v="Traspaso"/>
    <x v="0"/>
  </r>
  <r>
    <x v="164"/>
    <x v="14"/>
    <x v="4"/>
    <n v="-1.3"/>
    <s v="ALMUERZO"/>
    <x v="0"/>
  </r>
  <r>
    <x v="164"/>
    <x v="14"/>
    <x v="11"/>
    <n v="-2.0099999999999998"/>
    <s v="TEVETENS Y BESITRANS"/>
    <x v="0"/>
  </r>
  <r>
    <x v="164"/>
    <x v="33"/>
    <x v="7"/>
    <n v="-2000"/>
    <s v="Traspaso"/>
    <x v="0"/>
  </r>
  <r>
    <x v="164"/>
    <x v="14"/>
    <x v="7"/>
    <n v="2000"/>
    <s v="Traspaso"/>
    <x v="0"/>
  </r>
  <r>
    <x v="164"/>
    <x v="13"/>
    <x v="7"/>
    <n v="-500"/>
    <s v="Traspaso"/>
    <x v="0"/>
  </r>
  <r>
    <x v="164"/>
    <x v="37"/>
    <x v="7"/>
    <n v="500"/>
    <s v="Traspaso"/>
    <x v="0"/>
  </r>
  <r>
    <x v="164"/>
    <x v="12"/>
    <x v="7"/>
    <n v="-660"/>
    <s v="Traspaso"/>
    <x v="0"/>
  </r>
  <r>
    <x v="164"/>
    <x v="37"/>
    <x v="7"/>
    <n v="660"/>
    <s v="Traspaso"/>
    <x v="0"/>
  </r>
  <r>
    <x v="164"/>
    <x v="7"/>
    <x v="2"/>
    <n v="-3.9"/>
    <s v="Esmorzar"/>
    <x v="1"/>
  </r>
  <r>
    <x v="165"/>
    <x v="14"/>
    <x v="1"/>
    <n v="1.38"/>
    <s v="DIVIDENDO ETF"/>
    <x v="0"/>
  </r>
  <r>
    <x v="166"/>
    <x v="19"/>
    <x v="7"/>
    <n v="-1000"/>
    <s v="Traspaso"/>
    <x v="1"/>
  </r>
  <r>
    <x v="166"/>
    <x v="47"/>
    <x v="7"/>
    <n v="1000"/>
    <s v="Traspaso"/>
    <x v="1"/>
  </r>
  <r>
    <x v="166"/>
    <x v="7"/>
    <x v="2"/>
    <n v="-1.6"/>
    <s v="Esmorzar"/>
    <x v="1"/>
  </r>
  <r>
    <x v="166"/>
    <x v="17"/>
    <x v="6"/>
    <n v="-10"/>
    <s v="Bonometro"/>
    <x v="2"/>
  </r>
  <r>
    <x v="166"/>
    <x v="14"/>
    <x v="4"/>
    <n v="-1.3"/>
    <s v="ALMUERZO"/>
    <x v="0"/>
  </r>
  <r>
    <x v="166"/>
    <x v="44"/>
    <x v="1"/>
    <n v="0.01"/>
    <s v="Int"/>
    <x v="1"/>
  </r>
  <r>
    <x v="167"/>
    <x v="26"/>
    <x v="7"/>
    <n v="-100"/>
    <s v="Traspaso"/>
    <x v="0"/>
  </r>
  <r>
    <x v="167"/>
    <x v="27"/>
    <x v="7"/>
    <n v="100"/>
    <s v="Traspaso"/>
    <x v="0"/>
  </r>
  <r>
    <x v="167"/>
    <x v="14"/>
    <x v="4"/>
    <n v="-1.3"/>
    <s v="ALMUERZO"/>
    <x v="0"/>
  </r>
  <r>
    <x v="167"/>
    <x v="19"/>
    <x v="22"/>
    <n v="4053.56"/>
    <s v="Nómina"/>
    <x v="1"/>
  </r>
  <r>
    <x v="167"/>
    <x v="7"/>
    <x v="21"/>
    <n v="-5"/>
    <s v="Depil Irena"/>
    <x v="1"/>
  </r>
  <r>
    <x v="167"/>
    <x v="7"/>
    <x v="2"/>
    <n v="-2.4"/>
    <s v="Esmorzar"/>
    <x v="1"/>
  </r>
  <r>
    <x v="167"/>
    <x v="7"/>
    <x v="11"/>
    <n v="-80"/>
    <s v="Consulta Amparo"/>
    <x v="1"/>
  </r>
  <r>
    <x v="167"/>
    <x v="5"/>
    <x v="17"/>
    <n v="-12.9"/>
    <s v="Pantaló Natura"/>
    <x v="1"/>
  </r>
  <r>
    <x v="167"/>
    <x v="14"/>
    <x v="12"/>
    <n v="-20"/>
    <s v="VARIOS VIVIENDA"/>
    <x v="2"/>
  </r>
  <r>
    <x v="168"/>
    <x v="17"/>
    <x v="6"/>
    <n v="-12.28"/>
    <s v="Wallapop Puzzle"/>
    <x v="1"/>
  </r>
  <r>
    <x v="168"/>
    <x v="19"/>
    <x v="7"/>
    <n v="-10000"/>
    <s v="Traspaso"/>
    <x v="1"/>
  </r>
  <r>
    <x v="168"/>
    <x v="35"/>
    <x v="7"/>
    <n v="10000"/>
    <s v="Traspaso"/>
    <x v="1"/>
  </r>
  <r>
    <x v="168"/>
    <x v="14"/>
    <x v="4"/>
    <n v="-1.3"/>
    <s v="ALMUERZO"/>
    <x v="0"/>
  </r>
  <r>
    <x v="168"/>
    <x v="14"/>
    <x v="12"/>
    <n v="-31.6"/>
    <s v="VARIOS VIVIENDA"/>
    <x v="2"/>
  </r>
  <r>
    <x v="168"/>
    <x v="26"/>
    <x v="5"/>
    <n v="-45.86"/>
    <s v="PISO"/>
    <x v="0"/>
  </r>
  <r>
    <x v="169"/>
    <x v="14"/>
    <x v="2"/>
    <n v="-113.84"/>
    <s v="MERCADONA"/>
    <x v="2"/>
  </r>
  <r>
    <x v="169"/>
    <x v="14"/>
    <x v="2"/>
    <n v="-10.46"/>
    <s v="CHARTER"/>
    <x v="2"/>
  </r>
  <r>
    <x v="170"/>
    <x v="19"/>
    <x v="28"/>
    <n v="-1600.04"/>
    <s v="IRPF"/>
    <x v="1"/>
  </r>
  <r>
    <x v="170"/>
    <x v="20"/>
    <x v="7"/>
    <n v="-591.16"/>
    <s v="Traspaso"/>
    <x v="1"/>
  </r>
  <r>
    <x v="170"/>
    <x v="5"/>
    <x v="7"/>
    <n v="591.16"/>
    <s v="Traspaso"/>
    <x v="1"/>
  </r>
  <r>
    <x v="170"/>
    <x v="4"/>
    <x v="7"/>
    <n v="1000"/>
    <s v="Traspaso"/>
    <x v="0"/>
  </r>
  <r>
    <x v="170"/>
    <x v="26"/>
    <x v="7"/>
    <n v="-1000"/>
    <s v="Traspaso"/>
    <x v="0"/>
  </r>
  <r>
    <x v="170"/>
    <x v="26"/>
    <x v="5"/>
    <n v="-35.880000000000003"/>
    <s v="PISO"/>
    <x v="0"/>
  </r>
  <r>
    <x v="170"/>
    <x v="20"/>
    <x v="7"/>
    <n v="-27"/>
    <s v="Traspaso"/>
    <x v="1"/>
  </r>
  <r>
    <x v="170"/>
    <x v="7"/>
    <x v="7"/>
    <n v="27"/>
    <s v="Traspaso"/>
    <x v="1"/>
  </r>
  <r>
    <x v="170"/>
    <x v="19"/>
    <x v="7"/>
    <n v="-1000"/>
    <s v="Traspaso"/>
    <x v="1"/>
  </r>
  <r>
    <x v="170"/>
    <x v="20"/>
    <x v="7"/>
    <n v="1000"/>
    <s v="Traspaso"/>
    <x v="1"/>
  </r>
  <r>
    <x v="170"/>
    <x v="7"/>
    <x v="2"/>
    <n v="-2.4"/>
    <s v="Esmorzar"/>
    <x v="1"/>
  </r>
  <r>
    <x v="170"/>
    <x v="14"/>
    <x v="4"/>
    <n v="-14.4"/>
    <s v="ALMUERZO"/>
    <x v="0"/>
  </r>
  <r>
    <x v="171"/>
    <x v="35"/>
    <x v="1"/>
    <n v="55.94"/>
    <s v="Intereses"/>
    <x v="1"/>
  </r>
  <r>
    <x v="171"/>
    <x v="35"/>
    <x v="28"/>
    <n v="-10.63"/>
    <s v="Retención"/>
    <x v="1"/>
  </r>
  <r>
    <x v="171"/>
    <x v="20"/>
    <x v="11"/>
    <n v="-57.71"/>
    <s v="Mapfre salud"/>
    <x v="1"/>
  </r>
  <r>
    <x v="171"/>
    <x v="17"/>
    <x v="1"/>
    <n v="0.23"/>
    <s v="Intereses"/>
    <x v="1"/>
  </r>
  <r>
    <x v="171"/>
    <x v="33"/>
    <x v="1"/>
    <n v="6.59"/>
    <s v="INTERESES"/>
    <x v="0"/>
  </r>
  <r>
    <x v="171"/>
    <x v="14"/>
    <x v="4"/>
    <n v="-1.3"/>
    <s v="ALMUERZO"/>
    <x v="0"/>
  </r>
  <r>
    <x v="171"/>
    <x v="14"/>
    <x v="17"/>
    <n v="-20.25"/>
    <s v="ZAPATILLAS Y VARIOS"/>
    <x v="0"/>
  </r>
  <r>
    <x v="171"/>
    <x v="26"/>
    <x v="5"/>
    <n v="-60"/>
    <s v="Comunidad"/>
    <x v="2"/>
  </r>
  <r>
    <x v="171"/>
    <x v="10"/>
    <x v="1"/>
    <n v="0.03"/>
    <s v="Intereses"/>
    <x v="0"/>
  </r>
  <r>
    <x v="171"/>
    <x v="26"/>
    <x v="3"/>
    <n v="800"/>
    <s v="JULIO"/>
    <x v="0"/>
  </r>
  <r>
    <x v="171"/>
    <x v="14"/>
    <x v="1"/>
    <n v="1.94"/>
    <s v="Intereses"/>
    <x v="0"/>
  </r>
  <r>
    <x v="171"/>
    <x v="4"/>
    <x v="14"/>
    <n v="-4"/>
    <s v="EUROJACKPOT"/>
    <x v="2"/>
  </r>
  <r>
    <x v="171"/>
    <x v="7"/>
    <x v="2"/>
    <n v="-1.5"/>
    <s v="Esmorzar"/>
    <x v="1"/>
  </r>
  <r>
    <x v="171"/>
    <x v="7"/>
    <x v="6"/>
    <n v="-2.75"/>
    <s v="Bobina Hilo"/>
    <x v="1"/>
  </r>
  <r>
    <x v="171"/>
    <x v="21"/>
    <x v="1"/>
    <n v="37.29"/>
    <s v="Intereses"/>
    <x v="1"/>
  </r>
  <r>
    <x v="172"/>
    <x v="21"/>
    <x v="7"/>
    <n v="-70"/>
    <m/>
    <x v="1"/>
  </r>
  <r>
    <x v="172"/>
    <x v="32"/>
    <x v="7"/>
    <n v="70"/>
    <m/>
    <x v="1"/>
  </r>
  <r>
    <x v="172"/>
    <x v="14"/>
    <x v="4"/>
    <n v="-1.3"/>
    <s v="ALMUERZO"/>
    <x v="0"/>
  </r>
  <r>
    <x v="172"/>
    <x v="20"/>
    <x v="20"/>
    <n v="100"/>
    <s v="Arrend trastero"/>
    <x v="2"/>
  </r>
  <r>
    <x v="172"/>
    <x v="7"/>
    <x v="2"/>
    <n v="-2"/>
    <s v="Esmorzar"/>
    <x v="1"/>
  </r>
  <r>
    <x v="172"/>
    <x v="20"/>
    <x v="6"/>
    <n v="-10.48"/>
    <s v="Ocaso seguro"/>
    <x v="1"/>
  </r>
  <r>
    <x v="172"/>
    <x v="26"/>
    <x v="7"/>
    <n v="-500"/>
    <s v="TRASPASO"/>
    <x v="0"/>
  </r>
  <r>
    <x v="172"/>
    <x v="27"/>
    <x v="7"/>
    <n v="500"/>
    <s v="TRASPASO"/>
    <x v="0"/>
  </r>
  <r>
    <x v="172"/>
    <x v="14"/>
    <x v="7"/>
    <n v="-660"/>
    <s v="TRASPASO"/>
    <x v="0"/>
  </r>
  <r>
    <x v="172"/>
    <x v="1"/>
    <x v="7"/>
    <n v="660"/>
    <s v="TRASPASO"/>
    <x v="0"/>
  </r>
  <r>
    <x v="173"/>
    <x v="13"/>
    <x v="8"/>
    <n v="-25.7"/>
    <s v="JUNIO"/>
    <x v="0"/>
  </r>
  <r>
    <x v="173"/>
    <x v="20"/>
    <x v="8"/>
    <n v="25.7"/>
    <s v="Gastos junio"/>
    <x v="1"/>
  </r>
  <r>
    <x v="173"/>
    <x v="7"/>
    <x v="2"/>
    <n v="-1.5"/>
    <s v="Esmorzar"/>
    <x v="1"/>
  </r>
  <r>
    <x v="173"/>
    <x v="7"/>
    <x v="2"/>
    <n v="-7.29"/>
    <s v="Forn"/>
    <x v="2"/>
  </r>
  <r>
    <x v="173"/>
    <x v="20"/>
    <x v="10"/>
    <n v="-74"/>
    <s v="Gym Aspresso"/>
    <x v="2"/>
  </r>
  <r>
    <x v="173"/>
    <x v="14"/>
    <x v="4"/>
    <n v="-1.3"/>
    <s v="ALMUERZO"/>
    <x v="0"/>
  </r>
  <r>
    <x v="173"/>
    <x v="14"/>
    <x v="1"/>
    <n v="0.02"/>
    <s v="INTERESES NVIDIA"/>
    <x v="0"/>
  </r>
  <r>
    <x v="173"/>
    <x v="14"/>
    <x v="6"/>
    <n v="-20.68"/>
    <s v="CHORRADICAS VARIAS"/>
    <x v="0"/>
  </r>
  <r>
    <x v="174"/>
    <x v="7"/>
    <x v="2"/>
    <n v="-1.5"/>
    <s v="Esmorzar"/>
    <x v="1"/>
  </r>
  <r>
    <x v="174"/>
    <x v="14"/>
    <x v="4"/>
    <n v="-1.3"/>
    <s v="ALMUERZO"/>
    <x v="0"/>
  </r>
  <r>
    <x v="174"/>
    <x v="14"/>
    <x v="2"/>
    <n v="-81.94"/>
    <s v="MERCADONA"/>
    <x v="2"/>
  </r>
  <r>
    <x v="175"/>
    <x v="17"/>
    <x v="4"/>
    <n v="-13.48"/>
    <s v="Puzzle Wallapop"/>
    <x v="1"/>
  </r>
  <r>
    <x v="176"/>
    <x v="7"/>
    <x v="9"/>
    <n v="24"/>
    <s v="Regal tío"/>
    <x v="1"/>
  </r>
  <r>
    <x v="176"/>
    <x v="5"/>
    <x v="16"/>
    <n v="-52.25"/>
    <s v="Gasóleo"/>
    <x v="2"/>
  </r>
  <r>
    <x v="177"/>
    <x v="17"/>
    <x v="4"/>
    <n v="-9.18"/>
    <s v="Puzzle Wallapop"/>
    <x v="1"/>
  </r>
  <r>
    <x v="177"/>
    <x v="17"/>
    <x v="20"/>
    <n v="5"/>
    <s v="Libro Gomaespuma"/>
    <x v="2"/>
  </r>
  <r>
    <x v="177"/>
    <x v="20"/>
    <x v="13"/>
    <n v="-21"/>
    <s v="Parking Ayto"/>
    <x v="1"/>
  </r>
  <r>
    <x v="177"/>
    <x v="20"/>
    <x v="5"/>
    <n v="-35"/>
    <s v="Cdad 3er trim"/>
    <x v="2"/>
  </r>
  <r>
    <x v="177"/>
    <x v="26"/>
    <x v="5"/>
    <n v="-35"/>
    <s v="GARAJE"/>
    <x v="0"/>
  </r>
  <r>
    <x v="177"/>
    <x v="13"/>
    <x v="28"/>
    <n v="-215.9"/>
    <s v="IBI URBANA CASA"/>
    <x v="2"/>
  </r>
  <r>
    <x v="177"/>
    <x v="14"/>
    <x v="4"/>
    <n v="-1.3"/>
    <s v="ALMUERZO"/>
    <x v="0"/>
  </r>
  <r>
    <x v="177"/>
    <x v="26"/>
    <x v="24"/>
    <n v="-110.94"/>
    <s v="SEGURO PISO"/>
    <x v="0"/>
  </r>
  <r>
    <x v="177"/>
    <x v="36"/>
    <x v="7"/>
    <n v="-100"/>
    <s v="Traspaso"/>
    <x v="0"/>
  </r>
  <r>
    <x v="177"/>
    <x v="39"/>
    <x v="7"/>
    <n v="100"/>
    <s v="Traspaso"/>
    <x v="0"/>
  </r>
  <r>
    <x v="177"/>
    <x v="26"/>
    <x v="1"/>
    <n v="0.99"/>
    <s v="Intereses"/>
    <x v="0"/>
  </r>
  <r>
    <x v="177"/>
    <x v="7"/>
    <x v="2"/>
    <n v="-2.2000000000000002"/>
    <s v="Aigua"/>
    <x v="1"/>
  </r>
  <r>
    <x v="177"/>
    <x v="4"/>
    <x v="7"/>
    <n v="-600"/>
    <s v="Traspaso"/>
    <x v="0"/>
  </r>
  <r>
    <x v="177"/>
    <x v="30"/>
    <x v="7"/>
    <n v="600"/>
    <s v="Traspaso"/>
    <x v="0"/>
  </r>
  <r>
    <x v="178"/>
    <x v="33"/>
    <x v="7"/>
    <n v="-2006.59"/>
    <s v="Traspaso"/>
    <x v="0"/>
  </r>
  <r>
    <x v="178"/>
    <x v="12"/>
    <x v="7"/>
    <n v="2006.59"/>
    <s v="Traspaso"/>
    <x v="0"/>
  </r>
  <r>
    <x v="178"/>
    <x v="14"/>
    <x v="4"/>
    <n v="-1.3"/>
    <s v="ALMUERZO"/>
    <x v="0"/>
  </r>
  <r>
    <x v="178"/>
    <x v="14"/>
    <x v="14"/>
    <n v="-4"/>
    <s v="EUROJACKPOT"/>
    <x v="2"/>
  </r>
  <r>
    <x v="178"/>
    <x v="14"/>
    <x v="1"/>
    <n v="36.26"/>
    <s v="INTERESES ETF"/>
    <x v="0"/>
  </r>
  <r>
    <x v="178"/>
    <x v="13"/>
    <x v="6"/>
    <n v="-54.95"/>
    <s v="TELÉFONO"/>
    <x v="0"/>
  </r>
  <r>
    <x v="178"/>
    <x v="7"/>
    <x v="11"/>
    <n v="-80"/>
    <s v="Psico Empar"/>
    <x v="1"/>
  </r>
  <r>
    <x v="178"/>
    <x v="20"/>
    <x v="18"/>
    <n v="54.95"/>
    <s v="Pago parcial fra Lowi Dani"/>
    <x v="1"/>
  </r>
  <r>
    <x v="178"/>
    <x v="14"/>
    <x v="4"/>
    <n v="-23"/>
    <s v="COMIDA TRABAJO"/>
    <x v="0"/>
  </r>
  <r>
    <x v="179"/>
    <x v="14"/>
    <x v="4"/>
    <n v="-1.3"/>
    <s v="ALMUERZO"/>
    <x v="0"/>
  </r>
  <r>
    <x v="179"/>
    <x v="14"/>
    <x v="1"/>
    <n v="41.08"/>
    <s v="INTERESES ETF"/>
    <x v="0"/>
  </r>
  <r>
    <x v="179"/>
    <x v="14"/>
    <x v="10"/>
    <n v="-7.5"/>
    <s v="PÁDEL"/>
    <x v="0"/>
  </r>
  <r>
    <x v="179"/>
    <x v="7"/>
    <x v="6"/>
    <n v="-33"/>
    <s v="Neteja Katherine"/>
    <x v="2"/>
  </r>
  <r>
    <x v="180"/>
    <x v="14"/>
    <x v="4"/>
    <n v="-1.3"/>
    <s v="ALMUERZO"/>
    <x v="0"/>
  </r>
  <r>
    <x v="180"/>
    <x v="26"/>
    <x v="7"/>
    <n v="-100"/>
    <s v="Traspaso"/>
    <x v="0"/>
  </r>
  <r>
    <x v="180"/>
    <x v="27"/>
    <x v="7"/>
    <n v="100"/>
    <s v="Traspaso"/>
    <x v="0"/>
  </r>
  <r>
    <x v="180"/>
    <x v="14"/>
    <x v="1"/>
    <n v="0.91"/>
    <s v="DIVIDENDO TSMC"/>
    <x v="0"/>
  </r>
  <r>
    <x v="180"/>
    <x v="14"/>
    <x v="17"/>
    <n v="-21.06"/>
    <s v="Vestir"/>
    <x v="0"/>
  </r>
  <r>
    <x v="181"/>
    <x v="14"/>
    <x v="17"/>
    <n v="-20.36"/>
    <s v="Vestir"/>
    <x v="0"/>
  </r>
  <r>
    <x v="181"/>
    <x v="14"/>
    <x v="11"/>
    <n v="-1.43"/>
    <s v="BESITRANS Y AFLOYAN"/>
    <x v="0"/>
  </r>
  <r>
    <x v="181"/>
    <x v="5"/>
    <x v="2"/>
    <n v="-8.7899999999999991"/>
    <s v="Lidl"/>
    <x v="2"/>
  </r>
  <r>
    <x v="181"/>
    <x v="7"/>
    <x v="11"/>
    <n v="-49.55"/>
    <s v="Vitaminas y ansiedad"/>
    <x v="1"/>
  </r>
  <r>
    <x v="181"/>
    <x v="14"/>
    <x v="2"/>
    <n v="-71.760000000000005"/>
    <s v="Comida"/>
    <x v="2"/>
  </r>
  <r>
    <x v="182"/>
    <x v="14"/>
    <x v="10"/>
    <n v="-6"/>
    <s v="PÁDEL"/>
    <x v="0"/>
  </r>
  <r>
    <x v="182"/>
    <x v="36"/>
    <x v="7"/>
    <n v="-96.55"/>
    <s v="Traspaso"/>
    <x v="0"/>
  </r>
  <r>
    <x v="182"/>
    <x v="13"/>
    <x v="7"/>
    <n v="96.55"/>
    <s v="Traspaso"/>
    <x v="0"/>
  </r>
  <r>
    <x v="182"/>
    <x v="12"/>
    <x v="7"/>
    <n v="-1606.59"/>
    <s v="Traspaso"/>
    <x v="0"/>
  </r>
  <r>
    <x v="182"/>
    <x v="26"/>
    <x v="7"/>
    <n v="1606.59"/>
    <s v="Traspaso"/>
    <x v="0"/>
  </r>
  <r>
    <x v="182"/>
    <x v="5"/>
    <x v="4"/>
    <n v="-5.8"/>
    <s v="Esmorzar"/>
    <x v="2"/>
  </r>
  <r>
    <x v="183"/>
    <x v="14"/>
    <x v="4"/>
    <n v="-1.3"/>
    <s v="ALMUERZO"/>
    <x v="0"/>
  </r>
  <r>
    <x v="183"/>
    <x v="14"/>
    <x v="10"/>
    <n v="-7.5"/>
    <s v="Deporte"/>
    <x v="0"/>
  </r>
  <r>
    <x v="183"/>
    <x v="20"/>
    <x v="18"/>
    <n v="-54.95"/>
    <s v="Móvil Dani"/>
    <x v="1"/>
  </r>
  <r>
    <x v="183"/>
    <x v="20"/>
    <x v="18"/>
    <n v="-35"/>
    <s v="Lowi"/>
    <x v="2"/>
  </r>
  <r>
    <x v="183"/>
    <x v="19"/>
    <x v="1"/>
    <n v="47.27"/>
    <s v="Int"/>
    <x v="1"/>
  </r>
  <r>
    <x v="183"/>
    <x v="12"/>
    <x v="1"/>
    <n v="1.33"/>
    <s v="Intereses"/>
    <x v="0"/>
  </r>
  <r>
    <x v="184"/>
    <x v="14"/>
    <x v="4"/>
    <n v="-1.3"/>
    <s v="ALMUERZO"/>
    <x v="0"/>
  </r>
  <r>
    <x v="184"/>
    <x v="14"/>
    <x v="14"/>
    <n v="-4"/>
    <s v="EUROJACKPOT"/>
    <x v="2"/>
  </r>
  <r>
    <x v="184"/>
    <x v="14"/>
    <x v="17"/>
    <n v="-20.27"/>
    <s v="Vestir"/>
    <x v="0"/>
  </r>
  <r>
    <x v="184"/>
    <x v="14"/>
    <x v="1"/>
    <n v="32.83"/>
    <s v="INTERESES ETF"/>
    <x v="0"/>
  </r>
  <r>
    <x v="184"/>
    <x v="14"/>
    <x v="16"/>
    <n v="-67.349999999999994"/>
    <s v="GASOLINA"/>
    <x v="2"/>
  </r>
  <r>
    <x v="184"/>
    <x v="19"/>
    <x v="7"/>
    <n v="-1000"/>
    <s v="Traspaso"/>
    <x v="1"/>
  </r>
  <r>
    <x v="184"/>
    <x v="17"/>
    <x v="7"/>
    <n v="1000"/>
    <s v="Traspaso"/>
    <x v="1"/>
  </r>
  <r>
    <x v="185"/>
    <x v="4"/>
    <x v="7"/>
    <n v="-600"/>
    <s v="TRASPASO"/>
    <x v="0"/>
  </r>
  <r>
    <x v="185"/>
    <x v="30"/>
    <x v="7"/>
    <n v="600"/>
    <s v="TRASPASO"/>
    <x v="0"/>
  </r>
  <r>
    <x v="185"/>
    <x v="14"/>
    <x v="4"/>
    <n v="-1.3"/>
    <s v="ALMUERZO"/>
    <x v="0"/>
  </r>
  <r>
    <x v="185"/>
    <x v="5"/>
    <x v="17"/>
    <n v="-34.97"/>
    <s v="Natura Outlet"/>
    <x v="1"/>
  </r>
  <r>
    <x v="185"/>
    <x v="7"/>
    <x v="11"/>
    <n v="-80"/>
    <s v="Psico Empar"/>
    <x v="1"/>
  </r>
  <r>
    <x v="186"/>
    <x v="26"/>
    <x v="4"/>
    <n v="-1.3"/>
    <s v="ALMUERZO"/>
    <x v="0"/>
  </r>
  <r>
    <x v="186"/>
    <x v="30"/>
    <x v="7"/>
    <n v="-600"/>
    <s v="Traspaso"/>
    <x v="0"/>
  </r>
  <r>
    <x v="186"/>
    <x v="12"/>
    <x v="7"/>
    <n v="600"/>
    <s v="Traspaso"/>
    <x v="0"/>
  </r>
  <r>
    <x v="186"/>
    <x v="26"/>
    <x v="10"/>
    <n v="-7.5"/>
    <s v="PÁDEL"/>
    <x v="0"/>
  </r>
  <r>
    <x v="186"/>
    <x v="26"/>
    <x v="7"/>
    <n v="-125"/>
    <s v="Traspaso"/>
    <x v="0"/>
  </r>
  <r>
    <x v="186"/>
    <x v="0"/>
    <x v="7"/>
    <n v="125"/>
    <s v="Traspaso"/>
    <x v="0"/>
  </r>
  <r>
    <x v="187"/>
    <x v="26"/>
    <x v="4"/>
    <n v="-1.3"/>
    <s v="ALMUERZO"/>
    <x v="0"/>
  </r>
  <r>
    <x v="187"/>
    <x v="4"/>
    <x v="7"/>
    <n v="-600"/>
    <s v="Traspaso"/>
    <x v="0"/>
  </r>
  <r>
    <x v="187"/>
    <x v="42"/>
    <x v="7"/>
    <n v="600"/>
    <s v="Traspaso"/>
    <x v="0"/>
  </r>
  <r>
    <x v="187"/>
    <x v="5"/>
    <x v="21"/>
    <n v="-70"/>
    <s v="Pallardó"/>
    <x v="1"/>
  </r>
  <r>
    <x v="188"/>
    <x v="33"/>
    <x v="11"/>
    <n v="-80"/>
    <s v="Psicóloga"/>
    <x v="0"/>
  </r>
  <r>
    <x v="188"/>
    <x v="26"/>
    <x v="2"/>
    <n v="-125.3"/>
    <s v="Carrefour"/>
    <x v="2"/>
  </r>
  <r>
    <x v="189"/>
    <x v="26"/>
    <x v="10"/>
    <n v="-6"/>
    <s v="Pádel"/>
    <x v="0"/>
  </r>
  <r>
    <x v="190"/>
    <x v="26"/>
    <x v="19"/>
    <n v="-5.05"/>
    <s v="Casa"/>
    <x v="2"/>
  </r>
  <r>
    <x v="190"/>
    <x v="12"/>
    <x v="7"/>
    <n v="-601.33000000000004"/>
    <s v="Traspaso"/>
    <x v="0"/>
  </r>
  <r>
    <x v="190"/>
    <x v="26"/>
    <x v="7"/>
    <n v="601.33000000000004"/>
    <s v="Traspaso"/>
    <x v="0"/>
  </r>
  <r>
    <x v="190"/>
    <x v="33"/>
    <x v="7"/>
    <n v="-700"/>
    <s v="Traspaso"/>
    <x v="0"/>
  </r>
  <r>
    <x v="190"/>
    <x v="38"/>
    <x v="7"/>
    <n v="700"/>
    <s v="Traspaso"/>
    <x v="0"/>
  </r>
  <r>
    <x v="191"/>
    <x v="17"/>
    <x v="7"/>
    <n v="-500"/>
    <s v="Urbanitae"/>
    <x v="1"/>
  </r>
  <r>
    <x v="191"/>
    <x v="48"/>
    <x v="7"/>
    <n v="500"/>
    <s v="Urbanitae"/>
    <x v="1"/>
  </r>
  <r>
    <x v="191"/>
    <x v="26"/>
    <x v="14"/>
    <n v="-4"/>
    <s v="Eurojackpot"/>
    <x v="2"/>
  </r>
  <r>
    <x v="191"/>
    <x v="4"/>
    <x v="29"/>
    <n v="-20"/>
    <s v="Dcho Examen A2"/>
    <x v="0"/>
  </r>
  <r>
    <x v="191"/>
    <x v="7"/>
    <x v="30"/>
    <n v="7"/>
    <s v="Vta Puzzle Wallapop Japón"/>
    <x v="1"/>
  </r>
  <r>
    <x v="191"/>
    <x v="7"/>
    <x v="29"/>
    <n v="-36"/>
    <s v="Neteja Rosa"/>
    <x v="2"/>
  </r>
  <r>
    <x v="191"/>
    <x v="7"/>
    <x v="29"/>
    <n v="-4.5"/>
    <s v="Calcetins Mercat Dani"/>
    <x v="2"/>
  </r>
  <r>
    <x v="191"/>
    <x v="26"/>
    <x v="4"/>
    <n v="-1.3"/>
    <s v="Almuerzo"/>
    <x v="0"/>
  </r>
  <r>
    <x v="191"/>
    <x v="19"/>
    <x v="12"/>
    <n v="-777.43"/>
    <s v="Toldo Aludeco 2_2"/>
    <x v="2"/>
  </r>
  <r>
    <x v="192"/>
    <x v="5"/>
    <x v="11"/>
    <n v="-75"/>
    <s v="Bono 3 sesiones acupuntura"/>
    <x v="1"/>
  </r>
  <r>
    <x v="192"/>
    <x v="7"/>
    <x v="30"/>
    <n v="50"/>
    <s v="Partituras Milanuncios"/>
    <x v="1"/>
  </r>
  <r>
    <x v="192"/>
    <x v="26"/>
    <x v="4"/>
    <n v="-1.3"/>
    <s v="Ocio"/>
    <x v="0"/>
  </r>
  <r>
    <x v="192"/>
    <x v="36"/>
    <x v="22"/>
    <n v="1973.17"/>
    <s v="Nómina"/>
    <x v="0"/>
  </r>
  <r>
    <x v="192"/>
    <x v="36"/>
    <x v="7"/>
    <n v="-500"/>
    <s v="Traspaso"/>
    <x v="0"/>
  </r>
  <r>
    <x v="192"/>
    <x v="14"/>
    <x v="7"/>
    <n v="500"/>
    <s v="Traspaso"/>
    <x v="0"/>
  </r>
  <r>
    <x v="192"/>
    <x v="36"/>
    <x v="7"/>
    <n v="-676.62"/>
    <s v="Traspaso"/>
    <x v="0"/>
  </r>
  <r>
    <x v="192"/>
    <x v="26"/>
    <x v="7"/>
    <n v="676.62"/>
    <s v="Traspaso"/>
    <x v="0"/>
  </r>
  <r>
    <x v="193"/>
    <x v="17"/>
    <x v="7"/>
    <n v="-500"/>
    <s v="Urbanitae"/>
    <x v="1"/>
  </r>
  <r>
    <x v="193"/>
    <x v="48"/>
    <x v="7"/>
    <n v="500"/>
    <s v="Urbanitae"/>
    <x v="1"/>
  </r>
  <r>
    <x v="193"/>
    <x v="26"/>
    <x v="4"/>
    <n v="-1.3"/>
    <s v="Ocio"/>
    <x v="0"/>
  </r>
  <r>
    <x v="193"/>
    <x v="26"/>
    <x v="7"/>
    <n v="-100"/>
    <s v="Traspaso"/>
    <x v="0"/>
  </r>
  <r>
    <x v="193"/>
    <x v="27"/>
    <x v="7"/>
    <n v="100"/>
    <s v="Traspaso"/>
    <x v="0"/>
  </r>
  <r>
    <x v="194"/>
    <x v="26"/>
    <x v="4"/>
    <n v="-1.3"/>
    <s v="Ocio"/>
    <x v="0"/>
  </r>
  <r>
    <x v="194"/>
    <x v="35"/>
    <x v="29"/>
    <n v="-5"/>
    <s v="Flors Carmen Plusva"/>
    <x v="1"/>
  </r>
  <r>
    <x v="194"/>
    <x v="35"/>
    <x v="11"/>
    <n v="-90"/>
    <s v="Nutricionista Sylvia L Eliana"/>
    <x v="1"/>
  </r>
  <r>
    <x v="194"/>
    <x v="5"/>
    <x v="21"/>
    <n v="-69.5"/>
    <s v="Pelu Saray SAB"/>
    <x v="1"/>
  </r>
  <r>
    <x v="194"/>
    <x v="44"/>
    <x v="1"/>
    <n v="0.01"/>
    <s v="Int"/>
    <x v="1"/>
  </r>
  <r>
    <x v="195"/>
    <x v="5"/>
    <x v="2"/>
    <n v="-11.95"/>
    <s v="Fruita mercat"/>
    <x v="2"/>
  </r>
  <r>
    <x v="195"/>
    <x v="5"/>
    <x v="4"/>
    <n v="-51.99"/>
    <s v="Sopar Indio Casa"/>
    <x v="2"/>
  </r>
  <r>
    <x v="195"/>
    <x v="26"/>
    <x v="10"/>
    <n v="-12"/>
    <s v="Pádel"/>
    <x v="0"/>
  </r>
  <r>
    <x v="195"/>
    <x v="49"/>
    <x v="1"/>
    <n v="10"/>
    <s v="Bonificación"/>
    <x v="0"/>
  </r>
  <r>
    <x v="195"/>
    <x v="14"/>
    <x v="7"/>
    <n v="-1036.56"/>
    <s v="Traspaso"/>
    <x v="0"/>
  </r>
  <r>
    <x v="195"/>
    <x v="49"/>
    <x v="7"/>
    <n v="1036.56"/>
    <s v="Traspaso"/>
    <x v="0"/>
  </r>
  <r>
    <x v="195"/>
    <x v="26"/>
    <x v="2"/>
    <n v="-100.71"/>
    <s v="Mercadona"/>
    <x v="2"/>
  </r>
  <r>
    <x v="196"/>
    <x v="25"/>
    <x v="7"/>
    <n v="-1298.3599999999999"/>
    <s v="Traspaso"/>
    <x v="0"/>
  </r>
  <r>
    <x v="196"/>
    <x v="49"/>
    <x v="7"/>
    <n v="1298.3599999999999"/>
    <s v="Traspaso"/>
    <x v="0"/>
  </r>
  <r>
    <x v="197"/>
    <x v="26"/>
    <x v="4"/>
    <n v="-1.3"/>
    <s v="Ocio"/>
    <x v="0"/>
  </r>
  <r>
    <x v="197"/>
    <x v="19"/>
    <x v="22"/>
    <n v="1964.1"/>
    <s v="Nómina"/>
    <x v="1"/>
  </r>
  <r>
    <x v="197"/>
    <x v="13"/>
    <x v="14"/>
    <n v="-40"/>
    <s v="Cargar Lotobolsa"/>
    <x v="2"/>
  </r>
  <r>
    <x v="198"/>
    <x v="5"/>
    <x v="16"/>
    <n v="-48"/>
    <s v="Gasoil"/>
    <x v="2"/>
  </r>
  <r>
    <x v="198"/>
    <x v="26"/>
    <x v="4"/>
    <n v="-1.3"/>
    <s v="Ocio"/>
    <x v="0"/>
  </r>
  <r>
    <x v="198"/>
    <x v="5"/>
    <x v="11"/>
    <n v="-50"/>
    <s v="Massatge relajante Apunto SAB"/>
    <x v="1"/>
  </r>
  <r>
    <x v="199"/>
    <x v="14"/>
    <x v="30"/>
    <n v="13.26"/>
    <s v="Devolución Temu"/>
    <x v="0"/>
  </r>
  <r>
    <x v="199"/>
    <x v="1"/>
    <x v="7"/>
    <n v="-151.24"/>
    <s v="United Health Group"/>
    <x v="0"/>
  </r>
  <r>
    <x v="199"/>
    <x v="14"/>
    <x v="7"/>
    <n v="151.24"/>
    <s v="United Health Group"/>
    <x v="0"/>
  </r>
  <r>
    <x v="199"/>
    <x v="1"/>
    <x v="1"/>
    <n v="-147.76"/>
    <s v="Intereses"/>
    <x v="0"/>
  </r>
  <r>
    <x v="199"/>
    <x v="1"/>
    <x v="7"/>
    <n v="-218"/>
    <s v="Lvmh"/>
    <x v="0"/>
  </r>
  <r>
    <x v="199"/>
    <x v="14"/>
    <x v="7"/>
    <n v="218"/>
    <s v="Lvmh"/>
    <x v="0"/>
  </r>
  <r>
    <x v="199"/>
    <x v="1"/>
    <x v="1"/>
    <n v="-81.900000000000006"/>
    <s v="Intereses"/>
    <x v="0"/>
  </r>
  <r>
    <x v="199"/>
    <x v="1"/>
    <x v="7"/>
    <n v="-267.54000000000002"/>
    <s v="Asml"/>
    <x v="0"/>
  </r>
  <r>
    <x v="199"/>
    <x v="14"/>
    <x v="7"/>
    <n v="267.54000000000002"/>
    <s v="Asml"/>
    <x v="0"/>
  </r>
  <r>
    <x v="199"/>
    <x v="1"/>
    <x v="1"/>
    <n v="-31.46"/>
    <s v="Intereses"/>
    <x v="0"/>
  </r>
  <r>
    <x v="199"/>
    <x v="1"/>
    <x v="7"/>
    <n v="-270.89"/>
    <s v="Berkshire"/>
    <x v="0"/>
  </r>
  <r>
    <x v="199"/>
    <x v="14"/>
    <x v="7"/>
    <n v="270.89"/>
    <s v="Berkshire"/>
    <x v="0"/>
  </r>
  <r>
    <x v="199"/>
    <x v="1"/>
    <x v="1"/>
    <n v="-28.11"/>
    <s v="Intereses"/>
    <x v="0"/>
  </r>
  <r>
    <x v="199"/>
    <x v="1"/>
    <x v="7"/>
    <n v="-284.26"/>
    <s v="Tesla"/>
    <x v="0"/>
  </r>
  <r>
    <x v="199"/>
    <x v="14"/>
    <x v="7"/>
    <n v="284.26"/>
    <s v="Tesla"/>
    <x v="0"/>
  </r>
  <r>
    <x v="199"/>
    <x v="1"/>
    <x v="1"/>
    <n v="-14.74"/>
    <s v="Intereses"/>
    <x v="0"/>
  </r>
  <r>
    <x v="199"/>
    <x v="1"/>
    <x v="7"/>
    <n v="-291.97000000000003"/>
    <s v="Alphabet"/>
    <x v="0"/>
  </r>
  <r>
    <x v="199"/>
    <x v="14"/>
    <x v="7"/>
    <n v="291.97000000000003"/>
    <s v="Alphabet"/>
    <x v="0"/>
  </r>
  <r>
    <x v="199"/>
    <x v="1"/>
    <x v="1"/>
    <n v="-7.03"/>
    <s v="Intereses"/>
    <x v="0"/>
  </r>
  <r>
    <x v="199"/>
    <x v="1"/>
    <x v="7"/>
    <n v="-298.02"/>
    <s v="Amazon"/>
    <x v="0"/>
  </r>
  <r>
    <x v="199"/>
    <x v="14"/>
    <x v="7"/>
    <n v="298.02"/>
    <s v="Amazon"/>
    <x v="0"/>
  </r>
  <r>
    <x v="199"/>
    <x v="1"/>
    <x v="1"/>
    <n v="-0.98"/>
    <s v="Intereses"/>
    <x v="0"/>
  </r>
  <r>
    <x v="199"/>
    <x v="1"/>
    <x v="7"/>
    <n v="-335.98"/>
    <s v="Tsmc"/>
    <x v="0"/>
  </r>
  <r>
    <x v="199"/>
    <x v="14"/>
    <x v="7"/>
    <n v="335.98"/>
    <s v="Tsmc"/>
    <x v="0"/>
  </r>
  <r>
    <x v="199"/>
    <x v="1"/>
    <x v="1"/>
    <n v="36.979999999999997"/>
    <s v="Intereses"/>
    <x v="0"/>
  </r>
  <r>
    <x v="199"/>
    <x v="1"/>
    <x v="7"/>
    <n v="-345.65"/>
    <s v="Microsoft"/>
    <x v="0"/>
  </r>
  <r>
    <x v="199"/>
    <x v="14"/>
    <x v="7"/>
    <n v="345.65"/>
    <s v="Microsoft"/>
    <x v="0"/>
  </r>
  <r>
    <x v="199"/>
    <x v="1"/>
    <x v="1"/>
    <n v="46.65"/>
    <s v="Intereses"/>
    <x v="0"/>
  </r>
  <r>
    <x v="199"/>
    <x v="1"/>
    <x v="7"/>
    <n v="-373.99"/>
    <s v="Nvidia"/>
    <x v="0"/>
  </r>
  <r>
    <x v="199"/>
    <x v="14"/>
    <x v="7"/>
    <n v="373.99"/>
    <s v="Nvidia"/>
    <x v="0"/>
  </r>
  <r>
    <x v="199"/>
    <x v="1"/>
    <x v="1"/>
    <n v="74.989999999999995"/>
    <s v="Intereses"/>
    <x v="0"/>
  </r>
  <r>
    <x v="199"/>
    <x v="35"/>
    <x v="11"/>
    <n v="-80"/>
    <s v="Psico Empar"/>
    <x v="1"/>
  </r>
  <r>
    <x v="199"/>
    <x v="17"/>
    <x v="7"/>
    <n v="-500"/>
    <s v="Traspaso"/>
    <x v="1"/>
  </r>
  <r>
    <x v="199"/>
    <x v="50"/>
    <x v="7"/>
    <n v="500"/>
    <s v="Inv Palacio Las Salinas"/>
    <x v="1"/>
  </r>
  <r>
    <x v="199"/>
    <x v="20"/>
    <x v="7"/>
    <n v="-1000"/>
    <s v="Traspaso"/>
    <x v="1"/>
  </r>
  <r>
    <x v="199"/>
    <x v="17"/>
    <x v="7"/>
    <n v="1000"/>
    <s v="Traspaso"/>
    <x v="1"/>
  </r>
  <r>
    <x v="200"/>
    <x v="19"/>
    <x v="7"/>
    <n v="-1000"/>
    <s v="Traspaso"/>
    <x v="1"/>
  </r>
  <r>
    <x v="200"/>
    <x v="20"/>
    <x v="7"/>
    <n v="1000"/>
    <s v="Traspaso"/>
    <x v="1"/>
  </r>
  <r>
    <x v="200"/>
    <x v="20"/>
    <x v="7"/>
    <n v="-193.72"/>
    <s v="Traspaso"/>
    <x v="1"/>
  </r>
  <r>
    <x v="200"/>
    <x v="5"/>
    <x v="7"/>
    <n v="193.72"/>
    <s v="Traspaso"/>
    <x v="1"/>
  </r>
  <r>
    <x v="200"/>
    <x v="26"/>
    <x v="7"/>
    <n v="-600"/>
    <s v="Traspaso"/>
    <x v="0"/>
  </r>
  <r>
    <x v="200"/>
    <x v="4"/>
    <x v="7"/>
    <n v="600"/>
    <s v="Traspaso"/>
    <x v="0"/>
  </r>
  <r>
    <x v="200"/>
    <x v="26"/>
    <x v="5"/>
    <n v="-35.880000000000003"/>
    <s v="Piso"/>
    <x v="0"/>
  </r>
  <r>
    <x v="200"/>
    <x v="34"/>
    <x v="7"/>
    <n v="-1862.29"/>
    <s v="Traspaso"/>
    <x v="0"/>
  </r>
  <r>
    <x v="200"/>
    <x v="33"/>
    <x v="7"/>
    <n v="1862.29"/>
    <s v="Traspaso"/>
    <x v="0"/>
  </r>
  <r>
    <x v="200"/>
    <x v="34"/>
    <x v="1"/>
    <n v="152.71000000000004"/>
    <s v="Intereses"/>
    <x v="0"/>
  </r>
  <r>
    <x v="200"/>
    <x v="12"/>
    <x v="7"/>
    <n v="-604"/>
    <s v="Traspaso"/>
    <x v="0"/>
  </r>
  <r>
    <x v="200"/>
    <x v="4"/>
    <x v="7"/>
    <n v="604"/>
    <s v="Traspaso"/>
    <x v="0"/>
  </r>
  <r>
    <x v="200"/>
    <x v="26"/>
    <x v="4"/>
    <n v="-1.3"/>
    <s v="Ocio"/>
    <x v="0"/>
  </r>
  <r>
    <x v="200"/>
    <x v="14"/>
    <x v="1"/>
    <n v="2.2400000000000002"/>
    <s v="Intereses Etf"/>
    <x v="0"/>
  </r>
  <r>
    <x v="201"/>
    <x v="26"/>
    <x v="3"/>
    <n v="800"/>
    <s v="Agosto"/>
    <x v="0"/>
  </r>
  <r>
    <x v="201"/>
    <x v="33"/>
    <x v="1"/>
    <n v="1.9700000000000002"/>
    <s v="Intereses"/>
    <x v="0"/>
  </r>
  <r>
    <x v="201"/>
    <x v="10"/>
    <x v="1"/>
    <n v="0.03"/>
    <s v="Intereses"/>
    <x v="0"/>
  </r>
  <r>
    <x v="201"/>
    <x v="17"/>
    <x v="30"/>
    <n v="4"/>
    <s v="Diccionario Vinted"/>
    <x v="1"/>
  </r>
  <r>
    <x v="201"/>
    <x v="21"/>
    <x v="1"/>
    <n v="36.94"/>
    <s v="Int"/>
    <x v="1"/>
  </r>
  <r>
    <x v="201"/>
    <x v="5"/>
    <x v="2"/>
    <n v="-6.82"/>
    <s v="Lidl"/>
    <x v="2"/>
  </r>
  <r>
    <x v="201"/>
    <x v="35"/>
    <x v="28"/>
    <n v="-12.74"/>
    <s v="Retención"/>
    <x v="1"/>
  </r>
  <r>
    <x v="201"/>
    <x v="35"/>
    <x v="4"/>
    <n v="-190"/>
    <s v="Finde Benitatxell"/>
    <x v="2"/>
  </r>
  <r>
    <x v="201"/>
    <x v="26"/>
    <x v="5"/>
    <n v="-100"/>
    <s v="Casa"/>
    <x v="2"/>
  </r>
  <r>
    <x v="201"/>
    <x v="35"/>
    <x v="1"/>
    <n v="67.06"/>
    <s v="Intereses"/>
    <x v="1"/>
  </r>
  <r>
    <x v="201"/>
    <x v="17"/>
    <x v="1"/>
    <n v="0.4"/>
    <s v="Intereses"/>
    <x v="1"/>
  </r>
  <r>
    <x v="201"/>
    <x v="20"/>
    <x v="11"/>
    <n v="-57.71"/>
    <s v="Mapfre salud"/>
    <x v="1"/>
  </r>
  <r>
    <x v="201"/>
    <x v="26"/>
    <x v="4"/>
    <n v="-1.3"/>
    <s v="Ocio"/>
    <x v="0"/>
  </r>
  <r>
    <x v="201"/>
    <x v="14"/>
    <x v="1"/>
    <n v="2.5499999999999998"/>
    <s v="Intereses"/>
    <x v="0"/>
  </r>
  <r>
    <x v="202"/>
    <x v="33"/>
    <x v="7"/>
    <n v="-1300"/>
    <s v="Traspaso"/>
    <x v="0"/>
  </r>
  <r>
    <x v="202"/>
    <x v="34"/>
    <x v="7"/>
    <n v="1300"/>
    <s v="Traspaso"/>
    <x v="0"/>
  </r>
  <r>
    <x v="202"/>
    <x v="5"/>
    <x v="4"/>
    <n v="-17"/>
    <s v="Gelats Moraria"/>
    <x v="2"/>
  </r>
  <r>
    <x v="202"/>
    <x v="14"/>
    <x v="7"/>
    <n v="-500"/>
    <s v="Traspaso"/>
    <x v="0"/>
  </r>
  <r>
    <x v="202"/>
    <x v="49"/>
    <x v="7"/>
    <n v="500"/>
    <s v="Traspaso"/>
    <x v="0"/>
  </r>
  <r>
    <x v="202"/>
    <x v="14"/>
    <x v="7"/>
    <n v="-500"/>
    <s v="Traspaso"/>
    <x v="0"/>
  </r>
  <r>
    <x v="202"/>
    <x v="36"/>
    <x v="7"/>
    <n v="500"/>
    <s v="Traspaso"/>
    <x v="0"/>
  </r>
  <r>
    <x v="203"/>
    <x v="35"/>
    <x v="11"/>
    <n v="-58.96"/>
    <s v="Atida Mifarma"/>
    <x v="1"/>
  </r>
  <r>
    <x v="204"/>
    <x v="20"/>
    <x v="30"/>
    <n v="100"/>
    <s v="Arrend trastero"/>
    <x v="2"/>
  </r>
  <r>
    <x v="204"/>
    <x v="20"/>
    <x v="29"/>
    <n v="-10.48"/>
    <s v="Ocaso seguro"/>
    <x v="1"/>
  </r>
  <r>
    <x v="204"/>
    <x v="21"/>
    <x v="7"/>
    <n v="-70"/>
    <s v="Traspaso"/>
    <x v="1"/>
  </r>
  <r>
    <x v="204"/>
    <x v="32"/>
    <x v="7"/>
    <n v="70"/>
    <s v="Traspaso"/>
    <x v="1"/>
  </r>
  <r>
    <x v="204"/>
    <x v="26"/>
    <x v="4"/>
    <n v="-1.3"/>
    <s v="Ocio"/>
    <x v="0"/>
  </r>
  <r>
    <x v="204"/>
    <x v="14"/>
    <x v="7"/>
    <n v="-1800"/>
    <s v="Traspaso"/>
    <x v="0"/>
  </r>
  <r>
    <x v="204"/>
    <x v="37"/>
    <x v="7"/>
    <n v="1800"/>
    <s v="Traspaso"/>
    <x v="0"/>
  </r>
  <r>
    <x v="204"/>
    <x v="26"/>
    <x v="7"/>
    <n v="-499.44"/>
    <s v="Traspaso"/>
    <x v="0"/>
  </r>
  <r>
    <x v="204"/>
    <x v="13"/>
    <x v="7"/>
    <n v="499.44"/>
    <s v="Traspaso"/>
    <x v="0"/>
  </r>
  <r>
    <x v="204"/>
    <x v="26"/>
    <x v="7"/>
    <n v="-499.44"/>
    <s v="Traspaso"/>
    <x v="0"/>
  </r>
  <r>
    <x v="204"/>
    <x v="13"/>
    <x v="7"/>
    <n v="499.44"/>
    <s v="Traspaso"/>
    <x v="0"/>
  </r>
  <r>
    <x v="204"/>
    <x v="26"/>
    <x v="11"/>
    <n v="-2.2799999999999998"/>
    <s v="Tevetens y Afloyan"/>
    <x v="0"/>
  </r>
  <r>
    <x v="204"/>
    <x v="26"/>
    <x v="2"/>
    <n v="-83.95"/>
    <s v="Comida"/>
    <x v="2"/>
  </r>
  <r>
    <x v="204"/>
    <x v="26"/>
    <x v="11"/>
    <n v="-37.950000000000003"/>
    <s v="Medicamentos"/>
    <x v="0"/>
  </r>
  <r>
    <x v="204"/>
    <x v="36"/>
    <x v="31"/>
    <n v="-41.47"/>
    <s v="Itv Sandero"/>
    <x v="2"/>
  </r>
  <r>
    <x v="205"/>
    <x v="26"/>
    <x v="4"/>
    <n v="-1.3"/>
    <s v="Ocio"/>
    <x v="0"/>
  </r>
  <r>
    <x v="205"/>
    <x v="13"/>
    <x v="11"/>
    <n v="37.950000000000003"/>
    <s v="Medicamentos"/>
    <x v="0"/>
  </r>
  <r>
    <x v="205"/>
    <x v="13"/>
    <x v="7"/>
    <n v="-799.44"/>
    <s v="Traspaso"/>
    <x v="0"/>
  </r>
  <r>
    <x v="205"/>
    <x v="49"/>
    <x v="7"/>
    <n v="799.44"/>
    <s v="Traspaso"/>
    <x v="0"/>
  </r>
  <r>
    <x v="205"/>
    <x v="4"/>
    <x v="7"/>
    <n v="-600"/>
    <s v="Traspaso"/>
    <x v="0"/>
  </r>
  <r>
    <x v="205"/>
    <x v="30"/>
    <x v="7"/>
    <n v="600"/>
    <s v="Traspaso"/>
    <x v="0"/>
  </r>
  <r>
    <x v="205"/>
    <x v="20"/>
    <x v="13"/>
    <n v="-21"/>
    <s v="Parking Ayto"/>
    <x v="1"/>
  </r>
  <r>
    <x v="205"/>
    <x v="20"/>
    <x v="10"/>
    <n v="-74"/>
    <s v="Gym Aspresso"/>
    <x v="2"/>
  </r>
  <r>
    <x v="205"/>
    <x v="20"/>
    <x v="11"/>
    <n v="-37.950000000000003"/>
    <s v="AntiStress Pure Farma SAB 24h"/>
    <x v="1"/>
  </r>
  <r>
    <x v="205"/>
    <x v="17"/>
    <x v="7"/>
    <n v="-500"/>
    <s v="Traspaso"/>
    <x v="1"/>
  </r>
  <r>
    <x v="205"/>
    <x v="50"/>
    <x v="7"/>
    <n v="500"/>
    <s v="Traspaso"/>
    <x v="1"/>
  </r>
  <r>
    <x v="205"/>
    <x v="26"/>
    <x v="1"/>
    <n v="2.31"/>
    <s v="Intereses"/>
    <x v="0"/>
  </r>
  <r>
    <x v="205"/>
    <x v="36"/>
    <x v="7"/>
    <n v="-600"/>
    <s v="Traspaso"/>
    <x v="0"/>
  </r>
  <r>
    <x v="205"/>
    <x v="4"/>
    <x v="7"/>
    <n v="600"/>
    <s v="Traspaso"/>
    <x v="0"/>
  </r>
  <r>
    <x v="205"/>
    <x v="36"/>
    <x v="7"/>
    <n v="-100"/>
    <s v="Traspaso"/>
    <x v="0"/>
  </r>
  <r>
    <x v="205"/>
    <x v="39"/>
    <x v="7"/>
    <n v="100"/>
    <s v="Traspaso"/>
    <x v="0"/>
  </r>
  <r>
    <x v="205"/>
    <x v="14"/>
    <x v="1"/>
    <n v="0.47"/>
    <s v="Dividendo Asml"/>
    <x v="0"/>
  </r>
  <r>
    <x v="206"/>
    <x v="26"/>
    <x v="4"/>
    <n v="-1.3"/>
    <s v="Ocio"/>
    <x v="0"/>
  </r>
  <r>
    <x v="206"/>
    <x v="13"/>
    <x v="7"/>
    <n v="-100"/>
    <s v="Traspaso"/>
    <x v="0"/>
  </r>
  <r>
    <x v="206"/>
    <x v="37"/>
    <x v="7"/>
    <n v="100"/>
    <s v="Traspaso"/>
    <x v="0"/>
  </r>
  <r>
    <x v="206"/>
    <x v="36"/>
    <x v="1"/>
    <n v="25"/>
    <s v="Cashback"/>
    <x v="0"/>
  </r>
  <r>
    <x v="206"/>
    <x v="4"/>
    <x v="7"/>
    <n v="-775"/>
    <s v="Traspaso"/>
    <x v="0"/>
  </r>
  <r>
    <x v="206"/>
    <x v="30"/>
    <x v="7"/>
    <n v="775"/>
    <s v="Traspaso"/>
    <x v="0"/>
  </r>
  <r>
    <x v="206"/>
    <x v="26"/>
    <x v="10"/>
    <n v="-1.75"/>
    <s v="Pádel"/>
    <x v="0"/>
  </r>
  <r>
    <x v="207"/>
    <x v="5"/>
    <x v="11"/>
    <n v="-15"/>
    <s v="Gotas Flores Bach Pallardó"/>
    <x v="1"/>
  </r>
  <r>
    <x v="207"/>
    <x v="26"/>
    <x v="4"/>
    <n v="-1.3"/>
    <s v="Ocio"/>
    <x v="0"/>
  </r>
  <r>
    <x v="207"/>
    <x v="26"/>
    <x v="1"/>
    <n v="0.05"/>
    <s v="Intereses"/>
    <x v="0"/>
  </r>
  <r>
    <x v="207"/>
    <x v="26"/>
    <x v="7"/>
    <n v="-100"/>
    <s v="Traspaso"/>
    <x v="0"/>
  </r>
  <r>
    <x v="207"/>
    <x v="27"/>
    <x v="7"/>
    <n v="100"/>
    <s v="Traspaso"/>
    <x v="0"/>
  </r>
  <r>
    <x v="207"/>
    <x v="14"/>
    <x v="1"/>
    <n v="15.98"/>
    <s v="Intereses Etf"/>
    <x v="0"/>
  </r>
  <r>
    <x v="207"/>
    <x v="26"/>
    <x v="10"/>
    <n v="-7.5"/>
    <s v="Pádel"/>
    <x v="0"/>
  </r>
  <r>
    <x v="208"/>
    <x v="26"/>
    <x v="4"/>
    <n v="-1.3"/>
    <s v="Ocio"/>
    <x v="0"/>
  </r>
  <r>
    <x v="208"/>
    <x v="13"/>
    <x v="17"/>
    <n v="-17"/>
    <s v="Vestir"/>
    <x v="0"/>
  </r>
  <r>
    <x v="208"/>
    <x v="13"/>
    <x v="12"/>
    <n v="-16"/>
    <s v="Sartén tortilla"/>
    <x v="2"/>
  </r>
  <r>
    <x v="208"/>
    <x v="13"/>
    <x v="8"/>
    <n v="-146"/>
    <s v="Julio"/>
    <x v="0"/>
  </r>
  <r>
    <x v="208"/>
    <x v="14"/>
    <x v="1"/>
    <n v="23.9"/>
    <s v="Intereses Etf"/>
    <x v="0"/>
  </r>
  <r>
    <x v="208"/>
    <x v="14"/>
    <x v="1"/>
    <n v="20.39"/>
    <s v="Intereses Etf"/>
    <x v="0"/>
  </r>
  <r>
    <x v="208"/>
    <x v="20"/>
    <x v="8"/>
    <n v="146"/>
    <s v="Gastos Julio"/>
    <x v="1"/>
  </r>
  <r>
    <x v="208"/>
    <x v="17"/>
    <x v="30"/>
    <n v="10"/>
    <s v="Wallapop Rellotge despertador"/>
    <x v="1"/>
  </r>
  <r>
    <x v="208"/>
    <x v="16"/>
    <x v="7"/>
    <n v="-10000"/>
    <m/>
    <x v="1"/>
  </r>
  <r>
    <x v="208"/>
    <x v="20"/>
    <x v="7"/>
    <n v="10000"/>
    <m/>
    <x v="1"/>
  </r>
  <r>
    <x v="208"/>
    <x v="20"/>
    <x v="1"/>
    <n v="-15"/>
    <s v="Gastos letras del tesoro"/>
    <x v="1"/>
  </r>
  <r>
    <x v="208"/>
    <x v="20"/>
    <x v="7"/>
    <n v="-10000"/>
    <m/>
    <x v="1"/>
  </r>
  <r>
    <x v="208"/>
    <x v="21"/>
    <x v="7"/>
    <n v="10000"/>
    <m/>
    <x v="1"/>
  </r>
  <r>
    <x v="208"/>
    <x v="17"/>
    <x v="7"/>
    <n v="-500"/>
    <m/>
    <x v="1"/>
  </r>
  <r>
    <x v="208"/>
    <x v="50"/>
    <x v="7"/>
    <n v="500"/>
    <m/>
    <x v="1"/>
  </r>
  <r>
    <x v="208"/>
    <x v="21"/>
    <x v="7"/>
    <n v="-2000"/>
    <m/>
    <x v="1"/>
  </r>
  <r>
    <x v="208"/>
    <x v="45"/>
    <x v="7"/>
    <n v="2000"/>
    <m/>
    <x v="1"/>
  </r>
  <r>
    <x v="209"/>
    <x v="26"/>
    <x v="2"/>
    <n v="-117.98"/>
    <s v="Mercadona"/>
    <x v="2"/>
  </r>
  <r>
    <x v="209"/>
    <x v="7"/>
    <x v="9"/>
    <n v="200"/>
    <s v="regal tío"/>
    <x v="1"/>
  </r>
  <r>
    <x v="210"/>
    <x v="26"/>
    <x v="7"/>
    <n v="-663.46"/>
    <s v="Traspaso"/>
    <x v="0"/>
  </r>
  <r>
    <x v="210"/>
    <x v="13"/>
    <x v="7"/>
    <n v="663.46"/>
    <s v="Traspaso"/>
    <x v="0"/>
  </r>
  <r>
    <x v="210"/>
    <x v="13"/>
    <x v="10"/>
    <n v="-23.46"/>
    <s v="Muñequera y varios"/>
    <x v="0"/>
  </r>
  <r>
    <x v="210"/>
    <x v="26"/>
    <x v="10"/>
    <n v="-12"/>
    <s v="Pádel"/>
    <x v="0"/>
  </r>
  <r>
    <x v="210"/>
    <x v="42"/>
    <x v="1"/>
    <n v="25"/>
    <s v="Plan Amigo"/>
    <x v="0"/>
  </r>
  <r>
    <x v="211"/>
    <x v="48"/>
    <x v="1"/>
    <n v="25"/>
    <s v="Int amigo"/>
    <x v="1"/>
  </r>
  <r>
    <x v="211"/>
    <x v="7"/>
    <x v="29"/>
    <n v="-36"/>
    <s v="Neteja Sonia"/>
    <x v="2"/>
  </r>
  <r>
    <x v="211"/>
    <x v="13"/>
    <x v="7"/>
    <n v="-600"/>
    <s v="Traspaso"/>
    <x v="0"/>
  </r>
  <r>
    <x v="211"/>
    <x v="37"/>
    <x v="7"/>
    <n v="600"/>
    <s v="Traspaso"/>
    <x v="0"/>
  </r>
  <r>
    <x v="212"/>
    <x v="20"/>
    <x v="18"/>
    <n v="-35"/>
    <s v="Lowi"/>
    <x v="2"/>
  </r>
  <r>
    <x v="212"/>
    <x v="5"/>
    <x v="11"/>
    <n v="-60"/>
    <s v="1ª visita Emanuel Osteópata"/>
    <x v="1"/>
  </r>
  <r>
    <x v="212"/>
    <x v="7"/>
    <x v="30"/>
    <n v="30"/>
    <s v="Venta varios Wallapop"/>
    <x v="1"/>
  </r>
  <r>
    <x v="212"/>
    <x v="17"/>
    <x v="30"/>
    <n v="30"/>
    <s v="Venta Vinted"/>
    <x v="1"/>
  </r>
  <r>
    <x v="212"/>
    <x v="26"/>
    <x v="7"/>
    <n v="-288"/>
    <s v="Traspaso"/>
    <x v="0"/>
  </r>
  <r>
    <x v="212"/>
    <x v="27"/>
    <x v="7"/>
    <n v="288"/>
    <s v="Traspaso"/>
    <x v="0"/>
  </r>
  <r>
    <x v="213"/>
    <x v="19"/>
    <x v="1"/>
    <n v="26.46"/>
    <s v="Int"/>
    <x v="1"/>
  </r>
  <r>
    <x v="213"/>
    <x v="26"/>
    <x v="12"/>
    <n v="-29.98"/>
    <s v="Tomates Cherry"/>
    <x v="2"/>
  </r>
  <r>
    <x v="214"/>
    <x v="26"/>
    <x v="19"/>
    <n v="-5.22"/>
    <s v="Casa"/>
    <x v="2"/>
  </r>
  <r>
    <x v="214"/>
    <x v="26"/>
    <x v="10"/>
    <n v="-6"/>
    <s v="Pádel"/>
    <x v="0"/>
  </r>
  <r>
    <x v="215"/>
    <x v="26"/>
    <x v="2"/>
    <n v="-110.58"/>
    <s v="Mercadona"/>
    <x v="2"/>
  </r>
  <r>
    <x v="216"/>
    <x v="14"/>
    <x v="16"/>
    <n v="-72.010000000000005"/>
    <s v="Gasolina"/>
    <x v="2"/>
  </r>
  <r>
    <x v="217"/>
    <x v="26"/>
    <x v="7"/>
    <n v="-125"/>
    <s v="Traspaso"/>
    <x v="0"/>
  </r>
  <r>
    <x v="217"/>
    <x v="0"/>
    <x v="7"/>
    <n v="125"/>
    <s v="Traspaso"/>
    <x v="0"/>
  </r>
  <r>
    <x v="217"/>
    <x v="26"/>
    <x v="25"/>
    <n v="-13.78"/>
    <s v="Gas"/>
    <x v="2"/>
  </r>
  <r>
    <x v="217"/>
    <x v="26"/>
    <x v="10"/>
    <n v="-7.5"/>
    <s v="Pádel"/>
    <x v="0"/>
  </r>
  <r>
    <x v="218"/>
    <x v="5"/>
    <x v="16"/>
    <n v="-51.05"/>
    <s v="Gasoil"/>
    <x v="2"/>
  </r>
  <r>
    <x v="219"/>
    <x v="7"/>
    <x v="2"/>
    <n v="-2.5"/>
    <s v="Esmorzar"/>
    <x v="1"/>
  </r>
  <r>
    <x v="219"/>
    <x v="35"/>
    <x v="11"/>
    <n v="-80"/>
    <s v="Psico Empar"/>
    <x v="1"/>
  </r>
  <r>
    <x v="219"/>
    <x v="13"/>
    <x v="11"/>
    <n v="-2.0099999999999998"/>
    <s v="Tevetens y Besitrans"/>
    <x v="0"/>
  </r>
  <r>
    <x v="219"/>
    <x v="26"/>
    <x v="10"/>
    <n v="-7.5"/>
    <s v="Pádel"/>
    <x v="0"/>
  </r>
  <r>
    <x v="219"/>
    <x v="33"/>
    <x v="7"/>
    <n v="-700"/>
    <s v="Traspaso"/>
    <x v="0"/>
  </r>
  <r>
    <x v="219"/>
    <x v="38"/>
    <x v="7"/>
    <n v="700"/>
    <s v="Traspaso"/>
    <x v="0"/>
  </r>
  <r>
    <x v="219"/>
    <x v="12"/>
    <x v="1"/>
    <n v="1.73"/>
    <s v="Intereses"/>
    <x v="0"/>
  </r>
  <r>
    <x v="219"/>
    <x v="26"/>
    <x v="4"/>
    <n v="-9.8000000000000007"/>
    <s v="Horchata"/>
    <x v="2"/>
  </r>
  <r>
    <x v="220"/>
    <x v="7"/>
    <x v="7"/>
    <n v="-2.0099999999999998"/>
    <m/>
    <x v="1"/>
  </r>
  <r>
    <x v="220"/>
    <x v="20"/>
    <x v="7"/>
    <n v="2.0099999999999998"/>
    <m/>
    <x v="1"/>
  </r>
  <r>
    <x v="220"/>
    <x v="17"/>
    <x v="26"/>
    <n v="-50"/>
    <s v="Reserva Hotel Rosa Denia"/>
    <x v="2"/>
  </r>
  <r>
    <x v="220"/>
    <x v="5"/>
    <x v="4"/>
    <n v="-13"/>
    <s v="Esmorzar Aspresso"/>
    <x v="2"/>
  </r>
  <r>
    <x v="220"/>
    <x v="13"/>
    <x v="17"/>
    <n v="-28.45"/>
    <s v="Vestir"/>
    <x v="0"/>
  </r>
  <r>
    <x v="220"/>
    <x v="26"/>
    <x v="12"/>
    <n v="-15.58"/>
    <s v="Plantas"/>
    <x v="2"/>
  </r>
  <r>
    <x v="220"/>
    <x v="26"/>
    <x v="7"/>
    <n v="-100"/>
    <s v="Traspaso"/>
    <x v="0"/>
  </r>
  <r>
    <x v="220"/>
    <x v="27"/>
    <x v="7"/>
    <n v="100"/>
    <s v="Traspaso"/>
    <x v="0"/>
  </r>
  <r>
    <x v="221"/>
    <x v="26"/>
    <x v="2"/>
    <n v="-25.35"/>
    <s v="Mercadona"/>
    <x v="2"/>
  </r>
  <r>
    <x v="221"/>
    <x v="5"/>
    <x v="4"/>
    <n v="-4.7"/>
    <s v="Berenar"/>
    <x v="2"/>
  </r>
  <r>
    <x v="221"/>
    <x v="35"/>
    <x v="7"/>
    <n v="-1000"/>
    <m/>
    <x v="1"/>
  </r>
  <r>
    <x v="221"/>
    <x v="45"/>
    <x v="7"/>
    <n v="1000"/>
    <m/>
    <x v="1"/>
  </r>
  <r>
    <x v="222"/>
    <x v="26"/>
    <x v="2"/>
    <n v="-85.38"/>
    <s v="Mercadona"/>
    <x v="2"/>
  </r>
  <r>
    <x v="222"/>
    <x v="13"/>
    <x v="12"/>
    <n v="-35.89"/>
    <s v="Maceta huerto"/>
    <x v="2"/>
  </r>
  <r>
    <x v="223"/>
    <x v="26"/>
    <x v="10"/>
    <n v="-7.5"/>
    <s v="Deporte"/>
    <x v="0"/>
  </r>
  <r>
    <x v="223"/>
    <x v="13"/>
    <x v="17"/>
    <n v="-20.170000000000002"/>
    <s v="Vestir"/>
    <x v="0"/>
  </r>
  <r>
    <x v="223"/>
    <x v="51"/>
    <x v="1"/>
    <n v="10"/>
    <s v="Bonificación apertura"/>
    <x v="0"/>
  </r>
  <r>
    <x v="223"/>
    <x v="13"/>
    <x v="7"/>
    <n v="-20"/>
    <s v="Traspaso"/>
    <x v="0"/>
  </r>
  <r>
    <x v="223"/>
    <x v="51"/>
    <x v="7"/>
    <n v="20"/>
    <s v="Traspaso"/>
    <x v="0"/>
  </r>
  <r>
    <x v="224"/>
    <x v="5"/>
    <x v="12"/>
    <n v="25.97"/>
    <s v="devol Lidl"/>
    <x v="2"/>
  </r>
  <r>
    <x v="224"/>
    <x v="5"/>
    <x v="12"/>
    <n v="22.5"/>
    <s v="devol Jysk"/>
    <x v="2"/>
  </r>
  <r>
    <x v="224"/>
    <x v="5"/>
    <x v="12"/>
    <n v="-39.5"/>
    <s v="Lidl"/>
    <x v="2"/>
  </r>
  <r>
    <x v="224"/>
    <x v="5"/>
    <x v="12"/>
    <n v="-85.25"/>
    <s v="Jysk sábanas"/>
    <x v="2"/>
  </r>
  <r>
    <x v="224"/>
    <x v="7"/>
    <x v="4"/>
    <n v="-6.2"/>
    <s v="Berenar Soa"/>
    <x v="1"/>
  </r>
  <r>
    <x v="224"/>
    <x v="19"/>
    <x v="22"/>
    <n v="1963.85"/>
    <s v="Nómina"/>
    <x v="1"/>
  </r>
  <r>
    <x v="224"/>
    <x v="5"/>
    <x v="29"/>
    <n v="-4.99"/>
    <s v="Maceta Lidl"/>
    <x v="2"/>
  </r>
  <r>
    <x v="225"/>
    <x v="44"/>
    <x v="1"/>
    <n v="0.01"/>
    <s v="Int"/>
    <x v="1"/>
  </r>
  <r>
    <x v="225"/>
    <x v="19"/>
    <x v="7"/>
    <n v="-1000"/>
    <m/>
    <x v="1"/>
  </r>
  <r>
    <x v="225"/>
    <x v="21"/>
    <x v="7"/>
    <n v="1000"/>
    <m/>
    <x v="1"/>
  </r>
  <r>
    <x v="225"/>
    <x v="7"/>
    <x v="29"/>
    <n v="-36"/>
    <s v="Neteja Sonia"/>
    <x v="2"/>
  </r>
  <r>
    <x v="225"/>
    <x v="14"/>
    <x v="7"/>
    <n v="-519.75"/>
    <s v="Traspaso"/>
    <x v="0"/>
  </r>
  <r>
    <x v="225"/>
    <x v="26"/>
    <x v="7"/>
    <n v="519.75"/>
    <s v="Traspaso"/>
    <x v="0"/>
  </r>
  <r>
    <x v="225"/>
    <x v="26"/>
    <x v="14"/>
    <n v="-4"/>
    <s v="Eurojackpot"/>
    <x v="2"/>
  </r>
  <r>
    <x v="225"/>
    <x v="36"/>
    <x v="22"/>
    <n v="2413.46"/>
    <s v="Nómina"/>
    <x v="0"/>
  </r>
  <r>
    <x v="225"/>
    <x v="36"/>
    <x v="7"/>
    <n v="-1000"/>
    <s v="Traspaso"/>
    <x v="0"/>
  </r>
  <r>
    <x v="225"/>
    <x v="33"/>
    <x v="7"/>
    <n v="1000"/>
    <s v="Traspaso"/>
    <x v="0"/>
  </r>
  <r>
    <x v="225"/>
    <x v="36"/>
    <x v="7"/>
    <n v="-800"/>
    <s v="Traspaso"/>
    <x v="0"/>
  </r>
  <r>
    <x v="225"/>
    <x v="14"/>
    <x v="7"/>
    <n v="800"/>
    <s v="Traspaso"/>
    <x v="0"/>
  </r>
  <r>
    <x v="225"/>
    <x v="36"/>
    <x v="7"/>
    <n v="-596.99"/>
    <s v="Traspaso"/>
    <x v="0"/>
  </r>
  <r>
    <x v="225"/>
    <x v="26"/>
    <x v="7"/>
    <n v="596.99"/>
    <s v="Traspaso"/>
    <x v="0"/>
  </r>
  <r>
    <x v="226"/>
    <x v="5"/>
    <x v="11"/>
    <n v="-40"/>
    <s v="Visita Emanuel Osteópata"/>
    <x v="1"/>
  </r>
  <r>
    <x v="226"/>
    <x v="14"/>
    <x v="7"/>
    <n v="-500"/>
    <s v="Traspaso"/>
    <x v="0"/>
  </r>
  <r>
    <x v="226"/>
    <x v="12"/>
    <x v="7"/>
    <n v="500"/>
    <s v="Traspaso"/>
    <x v="0"/>
  </r>
  <r>
    <x v="226"/>
    <x v="10"/>
    <x v="7"/>
    <n v="-100.08"/>
    <s v="Traspaso"/>
    <x v="0"/>
  </r>
  <r>
    <x v="226"/>
    <x v="13"/>
    <x v="7"/>
    <n v="100.08"/>
    <s v="Traspaso"/>
    <x v="0"/>
  </r>
  <r>
    <x v="226"/>
    <x v="26"/>
    <x v="7"/>
    <n v="-163.57"/>
    <s v="Traspaso"/>
    <x v="0"/>
  </r>
  <r>
    <x v="226"/>
    <x v="13"/>
    <x v="7"/>
    <n v="163.57"/>
    <s v="Traspaso"/>
    <x v="0"/>
  </r>
  <r>
    <x v="227"/>
    <x v="13"/>
    <x v="12"/>
    <n v="-20.82"/>
    <s v="Variosvivienda"/>
    <x v="2"/>
  </r>
  <r>
    <x v="227"/>
    <x v="7"/>
    <x v="21"/>
    <n v="-10"/>
    <s v="Depil Cristina Valero"/>
    <x v="1"/>
  </r>
  <r>
    <x v="227"/>
    <x v="35"/>
    <x v="11"/>
    <n v="-20.8"/>
    <s v="Antistress Planeta Huerto"/>
    <x v="1"/>
  </r>
  <r>
    <x v="227"/>
    <x v="19"/>
    <x v="7"/>
    <n v="-1000"/>
    <m/>
    <x v="1"/>
  </r>
  <r>
    <x v="227"/>
    <x v="17"/>
    <x v="7"/>
    <n v="1000"/>
    <m/>
    <x v="1"/>
  </r>
  <r>
    <x v="228"/>
    <x v="20"/>
    <x v="30"/>
    <n v="100"/>
    <s v="Arrend trastero"/>
    <x v="2"/>
  </r>
  <r>
    <x v="228"/>
    <x v="20"/>
    <x v="7"/>
    <n v="-456.31"/>
    <m/>
    <x v="1"/>
  </r>
  <r>
    <x v="228"/>
    <x v="5"/>
    <x v="7"/>
    <n v="456.31"/>
    <m/>
    <x v="1"/>
  </r>
  <r>
    <x v="228"/>
    <x v="34"/>
    <x v="7"/>
    <n v="-1516.2"/>
    <s v="Traspaso"/>
    <x v="0"/>
  </r>
  <r>
    <x v="228"/>
    <x v="33"/>
    <x v="7"/>
    <n v="1516.2"/>
    <s v="Traspaso"/>
    <x v="0"/>
  </r>
  <r>
    <x v="228"/>
    <x v="33"/>
    <x v="7"/>
    <n v="-1500"/>
    <s v="Traspaso"/>
    <x v="0"/>
  </r>
  <r>
    <x v="228"/>
    <x v="51"/>
    <x v="7"/>
    <n v="1500"/>
    <s v="Traspaso"/>
    <x v="0"/>
  </r>
  <r>
    <x v="228"/>
    <x v="26"/>
    <x v="7"/>
    <n v="-795"/>
    <s v="Traspaso"/>
    <x v="0"/>
  </r>
  <r>
    <x v="228"/>
    <x v="4"/>
    <x v="7"/>
    <n v="795"/>
    <s v="Traspaso"/>
    <x v="0"/>
  </r>
  <r>
    <x v="228"/>
    <x v="34"/>
    <x v="1"/>
    <n v="216.2"/>
    <s v="Venta acciones Tesla"/>
    <x v="0"/>
  </r>
  <r>
    <x v="228"/>
    <x v="33"/>
    <x v="7"/>
    <n v="-600.46"/>
    <s v="Traspaso"/>
    <x v="0"/>
  </r>
  <r>
    <x v="228"/>
    <x v="29"/>
    <x v="7"/>
    <n v="600.46"/>
    <s v="Traspaso"/>
    <x v="0"/>
  </r>
  <r>
    <x v="229"/>
    <x v="20"/>
    <x v="7"/>
    <n v="-800"/>
    <s v="Traspaso"/>
    <x v="1"/>
  </r>
  <r>
    <x v="229"/>
    <x v="21"/>
    <x v="7"/>
    <n v="800"/>
    <s v="Traspaso"/>
    <x v="1"/>
  </r>
  <r>
    <x v="229"/>
    <x v="26"/>
    <x v="7"/>
    <n v="-405"/>
    <s v="Traspaso"/>
    <x v="0"/>
  </r>
  <r>
    <x v="229"/>
    <x v="27"/>
    <x v="7"/>
    <n v="405"/>
    <s v="Traspaso"/>
    <x v="0"/>
  </r>
  <r>
    <x v="229"/>
    <x v="8"/>
    <x v="7"/>
    <n v="-4"/>
    <s v="Traspaso"/>
    <x v="0"/>
  </r>
  <r>
    <x v="229"/>
    <x v="10"/>
    <x v="7"/>
    <n v="4"/>
    <s v="Traspaso"/>
    <x v="0"/>
  </r>
  <r>
    <x v="230"/>
    <x v="12"/>
    <x v="7"/>
    <n v="-800"/>
    <s v="Traspaso"/>
    <x v="0"/>
  </r>
  <r>
    <x v="230"/>
    <x v="25"/>
    <x v="7"/>
    <n v="800"/>
    <s v="Traspaso"/>
    <x v="0"/>
  </r>
  <r>
    <x v="230"/>
    <x v="4"/>
    <x v="7"/>
    <n v="-1300"/>
    <s v="Traspaso de Visa Carrefour"/>
    <x v="0"/>
  </r>
  <r>
    <x v="230"/>
    <x v="30"/>
    <x v="7"/>
    <n v="1300"/>
    <s v="Traspaso de Visa Carrefour"/>
    <x v="0"/>
  </r>
  <r>
    <x v="230"/>
    <x v="30"/>
    <x v="7"/>
    <n v="-1000"/>
    <s v="Traspaso"/>
    <x v="0"/>
  </r>
  <r>
    <x v="230"/>
    <x v="12"/>
    <x v="7"/>
    <n v="1000"/>
    <s v="Traspaso"/>
    <x v="0"/>
  </r>
  <r>
    <x v="230"/>
    <x v="17"/>
    <x v="26"/>
    <n v="-295"/>
    <s v="Denia"/>
    <x v="2"/>
  </r>
  <r>
    <x v="230"/>
    <x v="17"/>
    <x v="7"/>
    <n v="-475"/>
    <m/>
    <x v="1"/>
  </r>
  <r>
    <x v="230"/>
    <x v="48"/>
    <x v="7"/>
    <n v="475"/>
    <m/>
    <x v="1"/>
  </r>
  <r>
    <x v="231"/>
    <x v="17"/>
    <x v="7"/>
    <n v="-500"/>
    <m/>
    <x v="1"/>
  </r>
  <r>
    <x v="231"/>
    <x v="50"/>
    <x v="7"/>
    <n v="500"/>
    <m/>
    <x v="1"/>
  </r>
  <r>
    <x v="231"/>
    <x v="20"/>
    <x v="11"/>
    <n v="-57.71"/>
    <s v="Mapfre salud"/>
    <x v="1"/>
  </r>
  <r>
    <x v="231"/>
    <x v="19"/>
    <x v="7"/>
    <n v="-1000"/>
    <m/>
    <x v="1"/>
  </r>
  <r>
    <x v="231"/>
    <x v="20"/>
    <x v="7"/>
    <n v="1000"/>
    <m/>
    <x v="1"/>
  </r>
  <r>
    <x v="231"/>
    <x v="17"/>
    <x v="29"/>
    <n v="-15.85"/>
    <s v="Pikolinos cremas"/>
    <x v="1"/>
  </r>
  <r>
    <x v="231"/>
    <x v="17"/>
    <x v="1"/>
    <n v="0.15"/>
    <s v="Int"/>
    <x v="1"/>
  </r>
  <r>
    <x v="231"/>
    <x v="21"/>
    <x v="7"/>
    <n v="-1000"/>
    <m/>
    <x v="1"/>
  </r>
  <r>
    <x v="231"/>
    <x v="17"/>
    <x v="7"/>
    <n v="1000"/>
    <m/>
    <x v="1"/>
  </r>
  <r>
    <x v="231"/>
    <x v="21"/>
    <x v="1"/>
    <n v="45.77"/>
    <s v="Int"/>
    <x v="1"/>
  </r>
  <r>
    <x v="231"/>
    <x v="5"/>
    <x v="2"/>
    <n v="-15.12"/>
    <s v="Lidl"/>
    <x v="2"/>
  </r>
  <r>
    <x v="231"/>
    <x v="5"/>
    <x v="29"/>
    <n v="-19.96"/>
    <s v="Lidl tío"/>
    <x v="1"/>
  </r>
  <r>
    <x v="231"/>
    <x v="20"/>
    <x v="29"/>
    <n v="19.96"/>
    <s v="Lidl tío"/>
    <x v="1"/>
  </r>
  <r>
    <x v="231"/>
    <x v="35"/>
    <x v="1"/>
    <n v="64.44"/>
    <s v="Int"/>
    <x v="1"/>
  </r>
  <r>
    <x v="231"/>
    <x v="35"/>
    <x v="1"/>
    <n v="-12.24"/>
    <s v="Gastos int"/>
    <x v="1"/>
  </r>
  <r>
    <x v="231"/>
    <x v="26"/>
    <x v="3"/>
    <n v="800"/>
    <s v="Septiembre"/>
    <x v="0"/>
  </r>
  <r>
    <x v="231"/>
    <x v="33"/>
    <x v="1"/>
    <n v="1.07"/>
    <s v="Intereses"/>
    <x v="0"/>
  </r>
  <r>
    <x v="231"/>
    <x v="26"/>
    <x v="5"/>
    <n v="-35.880000000000003"/>
    <s v="Piso"/>
    <x v="0"/>
  </r>
  <r>
    <x v="231"/>
    <x v="26"/>
    <x v="5"/>
    <n v="-100"/>
    <s v="Casa"/>
    <x v="2"/>
  </r>
  <r>
    <x v="231"/>
    <x v="26"/>
    <x v="4"/>
    <n v="-1.3"/>
    <s v="Almuerzo"/>
    <x v="0"/>
  </r>
  <r>
    <x v="231"/>
    <x v="10"/>
    <x v="1"/>
    <n v="0.02"/>
    <s v="Intereses"/>
    <x v="0"/>
  </r>
  <r>
    <x v="231"/>
    <x v="14"/>
    <x v="1"/>
    <n v="1.55"/>
    <s v="Intereses"/>
    <x v="0"/>
  </r>
  <r>
    <x v="232"/>
    <x v="26"/>
    <x v="4"/>
    <n v="-1.3"/>
    <s v="Almuerzo"/>
    <x v="0"/>
  </r>
  <r>
    <x v="232"/>
    <x v="12"/>
    <x v="7"/>
    <n v="-597.73"/>
    <s v="Traspaso"/>
    <x v="0"/>
  </r>
  <r>
    <x v="232"/>
    <x v="13"/>
    <x v="7"/>
    <n v="597.73"/>
    <s v="Traspaso"/>
    <x v="0"/>
  </r>
  <r>
    <x v="232"/>
    <x v="13"/>
    <x v="7"/>
    <n v="-600"/>
    <s v="Traspaso"/>
    <x v="0"/>
  </r>
  <r>
    <x v="232"/>
    <x v="37"/>
    <x v="7"/>
    <n v="600"/>
    <s v="Traspaso"/>
    <x v="0"/>
  </r>
  <r>
    <x v="232"/>
    <x v="26"/>
    <x v="14"/>
    <n v="-4"/>
    <s v="Eurojackpot"/>
    <x v="2"/>
  </r>
  <r>
    <x v="232"/>
    <x v="20"/>
    <x v="29"/>
    <n v="-10.48"/>
    <s v="Ocaso seguro"/>
    <x v="1"/>
  </r>
  <r>
    <x v="232"/>
    <x v="5"/>
    <x v="16"/>
    <n v="-31.91"/>
    <s v="Gasoleo"/>
    <x v="2"/>
  </r>
  <r>
    <x v="232"/>
    <x v="17"/>
    <x v="11"/>
    <n v="-36.979999999999997"/>
    <s v="Pure Amazon"/>
    <x v="1"/>
  </r>
  <r>
    <x v="232"/>
    <x v="21"/>
    <x v="7"/>
    <n v="-70"/>
    <s v="Traspaso"/>
    <x v="1"/>
  </r>
  <r>
    <x v="232"/>
    <x v="32"/>
    <x v="7"/>
    <n v="70"/>
    <s v="Traspaso"/>
    <x v="1"/>
  </r>
  <r>
    <x v="232"/>
    <x v="26"/>
    <x v="2"/>
    <n v="-74.45"/>
    <s v="Mercadona"/>
    <x v="2"/>
  </r>
  <r>
    <x v="233"/>
    <x v="20"/>
    <x v="10"/>
    <n v="-74"/>
    <s v="Gym Aspresso"/>
    <x v="2"/>
  </r>
  <r>
    <x v="233"/>
    <x v="7"/>
    <x v="29"/>
    <n v="-4.5"/>
    <s v="Pilas mando garaje"/>
    <x v="2"/>
  </r>
  <r>
    <x v="233"/>
    <x v="20"/>
    <x v="8"/>
    <n v="-48.98"/>
    <s v="Gastos agosto"/>
    <x v="1"/>
  </r>
  <r>
    <x v="233"/>
    <x v="21"/>
    <x v="1"/>
    <n v="0.09"/>
    <s v="Div Bitcoin"/>
    <x v="1"/>
  </r>
  <r>
    <x v="233"/>
    <x v="12"/>
    <x v="7"/>
    <n v="-300"/>
    <s v="Traspaso"/>
    <x v="0"/>
  </r>
  <r>
    <x v="233"/>
    <x v="52"/>
    <x v="7"/>
    <n v="300"/>
    <s v="Traspaso"/>
    <x v="0"/>
  </r>
  <r>
    <x v="233"/>
    <x v="26"/>
    <x v="7"/>
    <n v="-200"/>
    <s v="Traspaso"/>
    <x v="0"/>
  </r>
  <r>
    <x v="233"/>
    <x v="27"/>
    <x v="7"/>
    <n v="200"/>
    <s v="Traspaso"/>
    <x v="0"/>
  </r>
  <r>
    <x v="233"/>
    <x v="26"/>
    <x v="4"/>
    <n v="-1.3"/>
    <s v="Almuerzo"/>
    <x v="0"/>
  </r>
  <r>
    <x v="233"/>
    <x v="14"/>
    <x v="1"/>
    <n v="0.03"/>
    <s v="Dividendo Bitcoin"/>
    <x v="0"/>
  </r>
  <r>
    <x v="233"/>
    <x v="13"/>
    <x v="8"/>
    <n v="48.98"/>
    <s v="Agosto"/>
    <x v="0"/>
  </r>
  <r>
    <x v="233"/>
    <x v="26"/>
    <x v="1"/>
    <n v="1.2"/>
    <s v="Intereses"/>
    <x v="0"/>
  </r>
  <r>
    <x v="234"/>
    <x v="26"/>
    <x v="4"/>
    <n v="-1.3"/>
    <s v="Almuerzo"/>
    <x v="0"/>
  </r>
  <r>
    <x v="234"/>
    <x v="30"/>
    <x v="7"/>
    <n v="-300"/>
    <s v="Traspaso"/>
    <x v="0"/>
  </r>
  <r>
    <x v="234"/>
    <x v="12"/>
    <x v="7"/>
    <n v="300"/>
    <s v="Traspaso"/>
    <x v="0"/>
  </r>
  <r>
    <x v="235"/>
    <x v="36"/>
    <x v="7"/>
    <n v="-600"/>
    <s v="Traspaso"/>
    <x v="0"/>
  </r>
  <r>
    <x v="235"/>
    <x v="4"/>
    <x v="7"/>
    <n v="600"/>
    <s v="Traspaso"/>
    <x v="0"/>
  </r>
  <r>
    <x v="235"/>
    <x v="36"/>
    <x v="7"/>
    <n v="-100"/>
    <s v="Traspaso"/>
    <x v="0"/>
  </r>
  <r>
    <x v="235"/>
    <x v="39"/>
    <x v="7"/>
    <n v="100"/>
    <s v="Traspaso"/>
    <x v="0"/>
  </r>
  <r>
    <x v="235"/>
    <x v="26"/>
    <x v="4"/>
    <n v="-1.3"/>
    <s v="Almuerzo"/>
    <x v="0"/>
  </r>
  <r>
    <x v="235"/>
    <x v="20"/>
    <x v="13"/>
    <n v="-21"/>
    <s v="Parking Ayto"/>
    <x v="1"/>
  </r>
  <r>
    <x v="236"/>
    <x v="26"/>
    <x v="10"/>
    <n v="-12"/>
    <s v="Páde"/>
    <x v="0"/>
  </r>
  <r>
    <x v="236"/>
    <x v="26"/>
    <x v="4"/>
    <n v="-9.8000000000000007"/>
    <s v="Horchata"/>
    <x v="2"/>
  </r>
  <r>
    <x v="236"/>
    <x v="26"/>
    <x v="12"/>
    <n v="-43.5"/>
    <s v="Macetas y tierra"/>
    <x v="2"/>
  </r>
  <r>
    <x v="237"/>
    <x v="26"/>
    <x v="4"/>
    <n v="-1.3"/>
    <s v="Almuerzo"/>
    <x v="0"/>
  </r>
  <r>
    <x v="237"/>
    <x v="14"/>
    <x v="1"/>
    <n v="26.61"/>
    <s v="Intereses dividendo"/>
    <x v="0"/>
  </r>
  <r>
    <x v="237"/>
    <x v="14"/>
    <x v="1"/>
    <n v="19.399999999999999"/>
    <s v="Intereses dividendo"/>
    <x v="0"/>
  </r>
  <r>
    <x v="237"/>
    <x v="30"/>
    <x v="1"/>
    <n v="25"/>
    <s v="Bonificación amigo"/>
    <x v="0"/>
  </r>
  <r>
    <x v="237"/>
    <x v="36"/>
    <x v="1"/>
    <n v="25"/>
    <s v="Cashback"/>
    <x v="0"/>
  </r>
  <r>
    <x v="237"/>
    <x v="26"/>
    <x v="2"/>
    <n v="-90.35"/>
    <s v="Mercadona"/>
    <x v="2"/>
  </r>
  <r>
    <x v="237"/>
    <x v="14"/>
    <x v="7"/>
    <n v="-100"/>
    <s v="Traspaso"/>
    <x v="0"/>
  </r>
  <r>
    <x v="237"/>
    <x v="52"/>
    <x v="7"/>
    <n v="100"/>
    <s v="Traspaso"/>
    <x v="0"/>
  </r>
  <r>
    <x v="237"/>
    <x v="50"/>
    <x v="1"/>
    <n v="25"/>
    <s v="Int Amigo Civislend"/>
    <x v="1"/>
  </r>
  <r>
    <x v="237"/>
    <x v="17"/>
    <x v="4"/>
    <n v="-10.64"/>
    <s v="Libro Vinted"/>
    <x v="1"/>
  </r>
  <r>
    <x v="238"/>
    <x v="35"/>
    <x v="14"/>
    <n v="-6"/>
    <s v="Loteria Nadal Marisa"/>
    <x v="2"/>
  </r>
  <r>
    <x v="238"/>
    <x v="6"/>
    <x v="4"/>
    <n v="-1.5"/>
    <s v="Almuerzo"/>
    <x v="0"/>
  </r>
  <r>
    <x v="238"/>
    <x v="6"/>
    <x v="14"/>
    <n v="-4"/>
    <s v="Eurojackpot"/>
    <x v="2"/>
  </r>
  <r>
    <x v="238"/>
    <x v="6"/>
    <x v="14"/>
    <n v="10.5"/>
    <s v="Eurojackpot"/>
    <x v="2"/>
  </r>
  <r>
    <x v="238"/>
    <x v="14"/>
    <x v="1"/>
    <n v="27.99"/>
    <s v="Intereses dividendo"/>
    <x v="0"/>
  </r>
  <r>
    <x v="239"/>
    <x v="13"/>
    <x v="14"/>
    <n v="-40"/>
    <s v="Cargar lotobolsa"/>
    <x v="2"/>
  </r>
  <r>
    <x v="239"/>
    <x v="52"/>
    <x v="4"/>
    <n v="-1.3"/>
    <s v="Almuerzo"/>
    <x v="0"/>
  </r>
  <r>
    <x v="240"/>
    <x v="6"/>
    <x v="4"/>
    <n v="-1"/>
    <s v="Almuerzo"/>
    <x v="0"/>
  </r>
  <r>
    <x v="240"/>
    <x v="4"/>
    <x v="7"/>
    <n v="-475"/>
    <s v="Traspaso"/>
    <x v="0"/>
  </r>
  <r>
    <x v="240"/>
    <x v="30"/>
    <x v="7"/>
    <n v="475"/>
    <s v="Traspaso"/>
    <x v="0"/>
  </r>
  <r>
    <x v="240"/>
    <x v="33"/>
    <x v="7"/>
    <n v="-500"/>
    <s v="Traspaso"/>
    <x v="0"/>
  </r>
  <r>
    <x v="240"/>
    <x v="12"/>
    <x v="7"/>
    <n v="500"/>
    <s v="Traspaso"/>
    <x v="0"/>
  </r>
  <r>
    <x v="240"/>
    <x v="4"/>
    <x v="31"/>
    <n v="-527.17999999999995"/>
    <s v="Revisión Sandero"/>
    <x v="2"/>
  </r>
  <r>
    <x v="240"/>
    <x v="17"/>
    <x v="7"/>
    <n v="-475"/>
    <m/>
    <x v="1"/>
  </r>
  <r>
    <x v="240"/>
    <x v="50"/>
    <x v="7"/>
    <n v="475"/>
    <m/>
    <x v="1"/>
  </r>
  <r>
    <x v="241"/>
    <x v="35"/>
    <x v="7"/>
    <n v="-500"/>
    <m/>
    <x v="1"/>
  </r>
  <r>
    <x v="241"/>
    <x v="17"/>
    <x v="7"/>
    <n v="500"/>
    <m/>
    <x v="1"/>
  </r>
  <r>
    <x v="241"/>
    <x v="20"/>
    <x v="18"/>
    <n v="-35"/>
    <s v="Lowi"/>
    <x v="2"/>
  </r>
  <r>
    <x v="241"/>
    <x v="19"/>
    <x v="1"/>
    <n v="26.19"/>
    <s v="Int"/>
    <x v="1"/>
  </r>
  <r>
    <x v="241"/>
    <x v="7"/>
    <x v="29"/>
    <n v="-50"/>
    <s v="Neteja Sonia"/>
    <x v="2"/>
  </r>
  <r>
    <x v="241"/>
    <x v="26"/>
    <x v="4"/>
    <n v="-1.3"/>
    <s v="Almuerzo"/>
    <x v="0"/>
  </r>
  <r>
    <x v="241"/>
    <x v="13"/>
    <x v="17"/>
    <n v="-20.12"/>
    <s v="Chaqueta vaquera"/>
    <x v="0"/>
  </r>
  <r>
    <x v="241"/>
    <x v="26"/>
    <x v="10"/>
    <n v="-6"/>
    <s v="Pádel"/>
    <x v="0"/>
  </r>
  <r>
    <x v="241"/>
    <x v="12"/>
    <x v="1"/>
    <n v="0.9"/>
    <s v="Intereses"/>
    <x v="0"/>
  </r>
  <r>
    <x v="241"/>
    <x v="30"/>
    <x v="7"/>
    <n v="-500"/>
    <s v="Traspaso"/>
    <x v="0"/>
  </r>
  <r>
    <x v="241"/>
    <x v="12"/>
    <x v="7"/>
    <n v="500"/>
    <s v="Traspaso"/>
    <x v="0"/>
  </r>
  <r>
    <x v="242"/>
    <x v="12"/>
    <x v="4"/>
    <n v="-9.1999999999999993"/>
    <s v="Horchata"/>
    <x v="2"/>
  </r>
  <r>
    <x v="242"/>
    <x v="12"/>
    <x v="16"/>
    <n v="-67.010000000000005"/>
    <s v="Gasolina"/>
    <x v="2"/>
  </r>
  <r>
    <x v="242"/>
    <x v="26"/>
    <x v="2"/>
    <n v="-60.11"/>
    <s v="Mercadona"/>
    <x v="2"/>
  </r>
  <r>
    <x v="242"/>
    <x v="12"/>
    <x v="31"/>
    <n v="-236.26"/>
    <s v="2 ruedas delanteras"/>
    <x v="2"/>
  </r>
  <r>
    <x v="243"/>
    <x v="26"/>
    <x v="4"/>
    <n v="-1.3"/>
    <s v="Almuerzo"/>
    <x v="0"/>
  </r>
  <r>
    <x v="243"/>
    <x v="26"/>
    <x v="1"/>
    <n v="2.39"/>
    <s v="Intereses dividendo"/>
    <x v="0"/>
  </r>
  <r>
    <x v="243"/>
    <x v="26"/>
    <x v="2"/>
    <n v="-7.3"/>
    <s v="Mercadona"/>
    <x v="2"/>
  </r>
  <r>
    <x v="244"/>
    <x v="26"/>
    <x v="4"/>
    <n v="-1.3"/>
    <s v="Almuerzo"/>
    <x v="0"/>
  </r>
  <r>
    <x v="244"/>
    <x v="6"/>
    <x v="14"/>
    <n v="-4"/>
    <s v="Eurojackpot"/>
    <x v="2"/>
  </r>
  <r>
    <x v="244"/>
    <x v="26"/>
    <x v="19"/>
    <n v="-5.22"/>
    <s v="Casa"/>
    <x v="2"/>
  </r>
  <r>
    <x v="244"/>
    <x v="5"/>
    <x v="11"/>
    <n v="-40"/>
    <s v="Emanuel"/>
    <x v="1"/>
  </r>
  <r>
    <x v="244"/>
    <x v="5"/>
    <x v="2"/>
    <n v="-7.02"/>
    <s v="Forn"/>
    <x v="2"/>
  </r>
  <r>
    <x v="244"/>
    <x v="35"/>
    <x v="11"/>
    <n v="-70"/>
    <s v="Nutricionista"/>
    <x v="1"/>
  </r>
  <r>
    <x v="245"/>
    <x v="35"/>
    <x v="11"/>
    <n v="-80"/>
    <s v="Psico Empar"/>
    <x v="1"/>
  </r>
  <r>
    <x v="245"/>
    <x v="5"/>
    <x v="23"/>
    <n v="-10.95"/>
    <s v="Crema Druni"/>
    <x v="1"/>
  </r>
  <r>
    <x v="245"/>
    <x v="12"/>
    <x v="7"/>
    <n v="-188.43"/>
    <s v="Traspaso"/>
    <x v="0"/>
  </r>
  <r>
    <x v="245"/>
    <x v="33"/>
    <x v="7"/>
    <n v="188.43"/>
    <s v="Traspaso"/>
    <x v="0"/>
  </r>
  <r>
    <x v="245"/>
    <x v="26"/>
    <x v="4"/>
    <n v="-1.3"/>
    <s v="Almuerzo"/>
    <x v="0"/>
  </r>
  <r>
    <x v="245"/>
    <x v="33"/>
    <x v="9"/>
    <n v="-16"/>
    <s v="Regalo María"/>
    <x v="0"/>
  </r>
  <r>
    <x v="246"/>
    <x v="26"/>
    <x v="4"/>
    <n v="-1.3"/>
    <s v="Almuerzo"/>
    <x v="0"/>
  </r>
  <r>
    <x v="246"/>
    <x v="26"/>
    <x v="11"/>
    <n v="-2.86"/>
    <s v="Tevetens, Afloyan y Besitran"/>
    <x v="0"/>
  </r>
  <r>
    <x v="246"/>
    <x v="1"/>
    <x v="7"/>
    <n v="-14084.34"/>
    <s v="Traspaso"/>
    <x v="0"/>
  </r>
  <r>
    <x v="246"/>
    <x v="14"/>
    <x v="7"/>
    <n v="14084.34"/>
    <s v="Traspaso"/>
    <x v="0"/>
  </r>
  <r>
    <x v="246"/>
    <x v="1"/>
    <x v="1"/>
    <n v="-1684.09"/>
    <s v="Pérdida inversión"/>
    <x v="0"/>
  </r>
  <r>
    <x v="246"/>
    <x v="14"/>
    <x v="7"/>
    <n v="-13001"/>
    <s v="Traspaso"/>
    <x v="0"/>
  </r>
  <r>
    <x v="246"/>
    <x v="53"/>
    <x v="7"/>
    <n v="13001"/>
    <s v="Traspaso"/>
    <x v="0"/>
  </r>
  <r>
    <x v="246"/>
    <x v="53"/>
    <x v="1"/>
    <n v="129"/>
    <s v="Bonificación 1%"/>
    <x v="0"/>
  </r>
  <r>
    <x v="246"/>
    <x v="7"/>
    <x v="9"/>
    <n v="100"/>
    <s v="Regal Tio"/>
    <x v="1"/>
  </r>
  <r>
    <x v="246"/>
    <x v="19"/>
    <x v="22"/>
    <n v="203.68"/>
    <s v="Atrasos nómina"/>
    <x v="1"/>
  </r>
  <r>
    <x v="246"/>
    <x v="7"/>
    <x v="11"/>
    <n v="-3.4"/>
    <s v="Vortioxetina Antidepresivos"/>
    <x v="1"/>
  </r>
  <r>
    <x v="247"/>
    <x v="5"/>
    <x v="2"/>
    <n v="-7.25"/>
    <s v="Lidl"/>
    <x v="2"/>
  </r>
  <r>
    <x v="247"/>
    <x v="5"/>
    <x v="17"/>
    <n v="-7.98"/>
    <s v="Camisetas Lidl"/>
    <x v="1"/>
  </r>
  <r>
    <x v="247"/>
    <x v="26"/>
    <x v="2"/>
    <n v="-100.32"/>
    <s v="Mercadona"/>
    <x v="2"/>
  </r>
  <r>
    <x v="247"/>
    <x v="26"/>
    <x v="10"/>
    <n v="-7.5"/>
    <s v="Pádel"/>
    <x v="0"/>
  </r>
  <r>
    <x v="247"/>
    <x v="27"/>
    <x v="7"/>
    <n v="-219.74"/>
    <s v="Traspaso"/>
    <x v="0"/>
  </r>
  <r>
    <x v="247"/>
    <x v="26"/>
    <x v="7"/>
    <n v="219.74"/>
    <s v="Traspaso"/>
    <x v="0"/>
  </r>
  <r>
    <x v="248"/>
    <x v="5"/>
    <x v="12"/>
    <n v="-11.5"/>
    <s v="Maceta"/>
    <x v="2"/>
  </r>
  <r>
    <x v="248"/>
    <x v="17"/>
    <x v="4"/>
    <n v="-102.4"/>
    <s v="Entrades FSO"/>
    <x v="2"/>
  </r>
  <r>
    <x v="248"/>
    <x v="26"/>
    <x v="12"/>
    <n v="-12.98"/>
    <s v="Granado y romero"/>
    <x v="2"/>
  </r>
  <r>
    <x v="248"/>
    <x v="14"/>
    <x v="7"/>
    <n v="-158.49"/>
    <s v="Traspaso"/>
    <x v="0"/>
  </r>
  <r>
    <x v="248"/>
    <x v="13"/>
    <x v="7"/>
    <n v="158.49"/>
    <s v="Traspaso"/>
    <x v="0"/>
  </r>
  <r>
    <x v="248"/>
    <x v="13"/>
    <x v="17"/>
    <n v="-103.75"/>
    <s v="Vestir"/>
    <x v="0"/>
  </r>
  <r>
    <x v="248"/>
    <x v="13"/>
    <x v="12"/>
    <n v="-24.22"/>
    <s v="Fregona y recambios"/>
    <x v="2"/>
  </r>
  <r>
    <x v="248"/>
    <x v="14"/>
    <x v="7"/>
    <n v="-700"/>
    <s v="Traspaso"/>
    <x v="0"/>
  </r>
  <r>
    <x v="248"/>
    <x v="38"/>
    <x v="7"/>
    <n v="700"/>
    <s v="Traspaso"/>
    <x v="0"/>
  </r>
  <r>
    <x v="249"/>
    <x v="26"/>
    <x v="4"/>
    <n v="-1.3"/>
    <s v="Almuerzo"/>
    <x v="0"/>
  </r>
  <r>
    <x v="249"/>
    <x v="26"/>
    <x v="10"/>
    <n v="-6"/>
    <s v="Pádel"/>
    <x v="0"/>
  </r>
  <r>
    <x v="249"/>
    <x v="35"/>
    <x v="17"/>
    <n v="-3.99"/>
    <s v="Camiseta Lidl"/>
    <x v="1"/>
  </r>
  <r>
    <x v="249"/>
    <x v="5"/>
    <x v="17"/>
    <n v="7.98"/>
    <s v="Devol camisetas Lidl"/>
    <x v="1"/>
  </r>
  <r>
    <x v="249"/>
    <x v="35"/>
    <x v="2"/>
    <n v="-2.83"/>
    <s v="Lidl"/>
    <x v="2"/>
  </r>
  <r>
    <x v="250"/>
    <x v="7"/>
    <x v="21"/>
    <n v="-90"/>
    <s v="Pallardó limp y vitaminas"/>
    <x v="1"/>
  </r>
  <r>
    <x v="250"/>
    <x v="5"/>
    <x v="12"/>
    <n v="-59"/>
    <s v="Tintoreria Cañada relleno nórdico"/>
    <x v="2"/>
  </r>
  <r>
    <x v="250"/>
    <x v="35"/>
    <x v="9"/>
    <n v="-10"/>
    <s v="Regal Boda Altea Jefa"/>
    <x v="1"/>
  </r>
  <r>
    <x v="250"/>
    <x v="26"/>
    <x v="4"/>
    <n v="-1.3"/>
    <s v="Almuerzo"/>
    <x v="0"/>
  </r>
  <r>
    <x v="250"/>
    <x v="26"/>
    <x v="14"/>
    <n v="-4"/>
    <s v="Eurojackpot"/>
    <x v="2"/>
  </r>
  <r>
    <x v="250"/>
    <x v="27"/>
    <x v="7"/>
    <n v="-178.15"/>
    <s v="Traspaso"/>
    <x v="0"/>
  </r>
  <r>
    <x v="250"/>
    <x v="26"/>
    <x v="7"/>
    <n v="178.15"/>
    <s v="Traspaso"/>
    <x v="0"/>
  </r>
  <r>
    <x v="251"/>
    <x v="26"/>
    <x v="4"/>
    <n v="-1.3"/>
    <s v="Almuerzo"/>
    <x v="0"/>
  </r>
  <r>
    <x v="251"/>
    <x v="26"/>
    <x v="10"/>
    <n v="-7.5"/>
    <s v="Pádel"/>
    <x v="0"/>
  </r>
  <r>
    <x v="251"/>
    <x v="5"/>
    <x v="17"/>
    <n v="3.99"/>
    <s v="Devol camiseta Lidl"/>
    <x v="1"/>
  </r>
  <r>
    <x v="251"/>
    <x v="5"/>
    <x v="2"/>
    <n v="-0.96"/>
    <s v="Carrefour"/>
    <x v="2"/>
  </r>
  <r>
    <x v="252"/>
    <x v="35"/>
    <x v="9"/>
    <n v="-1.35"/>
    <s v="Regal Altea"/>
    <x v="1"/>
  </r>
  <r>
    <x v="252"/>
    <x v="17"/>
    <x v="4"/>
    <n v="-12.69"/>
    <s v="Vinted Libro cómo dejar de ser tu peor enemigo"/>
    <x v="1"/>
  </r>
  <r>
    <x v="253"/>
    <x v="44"/>
    <x v="1"/>
    <n v="0.01"/>
    <s v="Int"/>
    <x v="1"/>
  </r>
  <r>
    <x v="253"/>
    <x v="7"/>
    <x v="29"/>
    <n v="-48"/>
    <s v="Sonia Neteja"/>
    <x v="2"/>
  </r>
  <r>
    <x v="253"/>
    <x v="19"/>
    <x v="22"/>
    <n v="1958.63"/>
    <s v="Nómina"/>
    <x v="1"/>
  </r>
  <r>
    <x v="253"/>
    <x v="26"/>
    <x v="4"/>
    <n v="-1.3"/>
    <s v="Almuerzo"/>
    <x v="0"/>
  </r>
  <r>
    <x v="253"/>
    <x v="36"/>
    <x v="22"/>
    <n v="1981.78"/>
    <s v="Nómina"/>
    <x v="0"/>
  </r>
  <r>
    <x v="253"/>
    <x v="26"/>
    <x v="10"/>
    <n v="-7.5"/>
    <s v="Pádel"/>
    <x v="0"/>
  </r>
  <r>
    <x v="253"/>
    <x v="36"/>
    <x v="7"/>
    <n v="-1500"/>
    <s v="Traspaso"/>
    <x v="0"/>
  </r>
  <r>
    <x v="253"/>
    <x v="26"/>
    <x v="7"/>
    <n v="1500"/>
    <s v="Traspaso"/>
    <x v="0"/>
  </r>
  <r>
    <x v="254"/>
    <x v="26"/>
    <x v="2"/>
    <n v="-116.09"/>
    <s v="Mercadona"/>
    <x v="2"/>
  </r>
  <r>
    <x v="254"/>
    <x v="26"/>
    <x v="2"/>
    <n v="-18.52"/>
    <s v="Mercadona"/>
    <x v="2"/>
  </r>
  <r>
    <x v="255"/>
    <x v="26"/>
    <x v="10"/>
    <n v="-6"/>
    <s v="Pádel"/>
    <x v="0"/>
  </r>
  <r>
    <x v="255"/>
    <x v="5"/>
    <x v="4"/>
    <n v="-12"/>
    <s v="Esmorzar"/>
    <x v="1"/>
  </r>
  <r>
    <x v="256"/>
    <x v="52"/>
    <x v="1"/>
    <n v="60"/>
    <s v="Bonificación"/>
    <x v="0"/>
  </r>
  <r>
    <x v="257"/>
    <x v="26"/>
    <x v="4"/>
    <n v="-1.5"/>
    <s v="Almuerzo"/>
    <x v="0"/>
  </r>
  <r>
    <x v="257"/>
    <x v="26"/>
    <x v="14"/>
    <n v="-4"/>
    <s v="Eurojackpot"/>
    <x v="2"/>
  </r>
  <r>
    <x v="257"/>
    <x v="12"/>
    <x v="7"/>
    <n v="-527.17999999999995"/>
    <s v="Traspaso"/>
    <x v="0"/>
  </r>
  <r>
    <x v="257"/>
    <x v="4"/>
    <x v="7"/>
    <n v="527.17999999999995"/>
    <s v="Traspaso"/>
    <x v="0"/>
  </r>
  <r>
    <x v="257"/>
    <x v="26"/>
    <x v="7"/>
    <n v="-1300"/>
    <s v="Traspaso"/>
    <x v="0"/>
  </r>
  <r>
    <x v="257"/>
    <x v="4"/>
    <x v="7"/>
    <n v="1300"/>
    <s v="Traspaso"/>
    <x v="0"/>
  </r>
  <r>
    <x v="257"/>
    <x v="26"/>
    <x v="5"/>
    <n v="-35.880000000000003"/>
    <s v="Piso"/>
    <x v="0"/>
  </r>
  <r>
    <x v="257"/>
    <x v="4"/>
    <x v="7"/>
    <n v="-1300"/>
    <s v="Traspaso"/>
    <x v="0"/>
  </r>
  <r>
    <x v="257"/>
    <x v="30"/>
    <x v="7"/>
    <n v="1300"/>
    <s v="Traspaso"/>
    <x v="0"/>
  </r>
  <r>
    <x v="257"/>
    <x v="24"/>
    <x v="7"/>
    <n v="-3583.24"/>
    <s v="Traspaso"/>
    <x v="0"/>
  </r>
  <r>
    <x v="257"/>
    <x v="37"/>
    <x v="7"/>
    <n v="3583.24"/>
    <s v="Traspaso"/>
    <x v="0"/>
  </r>
  <r>
    <x v="257"/>
    <x v="25"/>
    <x v="7"/>
    <n v="-799"/>
    <s v="Traspaso"/>
    <x v="0"/>
  </r>
  <r>
    <x v="257"/>
    <x v="29"/>
    <x v="7"/>
    <n v="799"/>
    <s v="Traspaso"/>
    <x v="0"/>
  </r>
  <r>
    <x v="257"/>
    <x v="20"/>
    <x v="7"/>
    <n v="-279.16000000000003"/>
    <s v="visa"/>
    <x v="1"/>
  </r>
  <r>
    <x v="257"/>
    <x v="5"/>
    <x v="7"/>
    <n v="279.16000000000003"/>
    <m/>
    <x v="1"/>
  </r>
  <r>
    <x v="257"/>
    <x v="19"/>
    <x v="7"/>
    <n v="-1000"/>
    <m/>
    <x v="1"/>
  </r>
  <r>
    <x v="257"/>
    <x v="20"/>
    <x v="7"/>
    <n v="1000"/>
    <m/>
    <x v="1"/>
  </r>
  <r>
    <x v="257"/>
    <x v="17"/>
    <x v="11"/>
    <n v="-61.95"/>
    <s v="Medicamentos Amazon"/>
    <x v="1"/>
  </r>
  <r>
    <x v="258"/>
    <x v="20"/>
    <x v="11"/>
    <n v="-57.71"/>
    <s v="Mapfre seguro"/>
    <x v="1"/>
  </r>
  <r>
    <x v="258"/>
    <x v="17"/>
    <x v="1"/>
    <n v="0.2"/>
    <m/>
    <x v="1"/>
  </r>
  <r>
    <x v="258"/>
    <x v="21"/>
    <x v="1"/>
    <n v="47.39"/>
    <m/>
    <x v="1"/>
  </r>
  <r>
    <x v="258"/>
    <x v="35"/>
    <x v="1"/>
    <n v="43.42"/>
    <m/>
    <x v="1"/>
  </r>
  <r>
    <x v="258"/>
    <x v="20"/>
    <x v="30"/>
    <n v="100"/>
    <s v="Arred trastero"/>
    <x v="2"/>
  </r>
  <r>
    <x v="258"/>
    <x v="7"/>
    <x v="2"/>
    <n v="-2.16"/>
    <s v="Forn"/>
    <x v="2"/>
  </r>
  <r>
    <x v="258"/>
    <x v="5"/>
    <x v="29"/>
    <n v="-2.5"/>
    <s v="Pila xino"/>
    <x v="2"/>
  </r>
  <r>
    <x v="258"/>
    <x v="33"/>
    <x v="1"/>
    <n v="0.35"/>
    <s v="Intereses"/>
    <x v="0"/>
  </r>
  <r>
    <x v="258"/>
    <x v="26"/>
    <x v="3"/>
    <n v="800"/>
    <s v="Octubre"/>
    <x v="0"/>
  </r>
  <r>
    <x v="258"/>
    <x v="27"/>
    <x v="7"/>
    <n v="-750.61"/>
    <s v="Traspaso"/>
    <x v="0"/>
  </r>
  <r>
    <x v="258"/>
    <x v="26"/>
    <x v="7"/>
    <n v="750.61"/>
    <s v="Traspaso"/>
    <x v="0"/>
  </r>
  <r>
    <x v="258"/>
    <x v="26"/>
    <x v="7"/>
    <n v="-1025.29"/>
    <s v="Traspaso"/>
    <x v="0"/>
  </r>
  <r>
    <x v="258"/>
    <x v="27"/>
    <x v="7"/>
    <n v="1025.29"/>
    <s v="Traspaso"/>
    <x v="0"/>
  </r>
  <r>
    <x v="258"/>
    <x v="26"/>
    <x v="4"/>
    <n v="-1.3"/>
    <s v="Almuerzo"/>
    <x v="0"/>
  </r>
  <r>
    <x v="258"/>
    <x v="26"/>
    <x v="5"/>
    <n v="-100"/>
    <s v="Casa"/>
    <x v="2"/>
  </r>
  <r>
    <x v="258"/>
    <x v="30"/>
    <x v="7"/>
    <n v="-1000"/>
    <s v="Traspaso"/>
    <x v="0"/>
  </r>
  <r>
    <x v="258"/>
    <x v="12"/>
    <x v="7"/>
    <n v="1000"/>
    <s v="Traspaso"/>
    <x v="0"/>
  </r>
  <r>
    <x v="258"/>
    <x v="14"/>
    <x v="1"/>
    <n v="1.17"/>
    <s v="Intereses"/>
    <x v="0"/>
  </r>
  <r>
    <x v="259"/>
    <x v="26"/>
    <x v="4"/>
    <n v="-1.3"/>
    <s v="Almuerzo"/>
    <x v="0"/>
  </r>
  <r>
    <x v="259"/>
    <x v="12"/>
    <x v="7"/>
    <n v="-472.82"/>
    <s v="Traspaso"/>
    <x v="0"/>
  </r>
  <r>
    <x v="259"/>
    <x v="26"/>
    <x v="7"/>
    <n v="472.82"/>
    <s v="Traspaso"/>
    <x v="0"/>
  </r>
  <r>
    <x v="259"/>
    <x v="12"/>
    <x v="7"/>
    <n v="-500"/>
    <s v="Traspaso"/>
    <x v="0"/>
  </r>
  <r>
    <x v="259"/>
    <x v="38"/>
    <x v="7"/>
    <n v="500"/>
    <s v="Traspaso"/>
    <x v="0"/>
  </r>
  <r>
    <x v="259"/>
    <x v="26"/>
    <x v="7"/>
    <n v="-500"/>
    <s v="Traspaso"/>
    <x v="0"/>
  </r>
  <r>
    <x v="259"/>
    <x v="27"/>
    <x v="7"/>
    <n v="500"/>
    <s v="Traspaso"/>
    <x v="0"/>
  </r>
  <r>
    <x v="259"/>
    <x v="20"/>
    <x v="29"/>
    <n v="-10.48"/>
    <s v="Ocaso seguro"/>
    <x v="1"/>
  </r>
  <r>
    <x v="259"/>
    <x v="17"/>
    <x v="7"/>
    <n v="-500"/>
    <s v="Traspaso"/>
    <x v="1"/>
  </r>
  <r>
    <x v="259"/>
    <x v="50"/>
    <x v="7"/>
    <n v="500"/>
    <s v="Traspaso"/>
    <x v="1"/>
  </r>
  <r>
    <x v="259"/>
    <x v="20"/>
    <x v="7"/>
    <n v="-1000"/>
    <s v="Traspaso"/>
    <x v="1"/>
  </r>
  <r>
    <x v="259"/>
    <x v="17"/>
    <x v="7"/>
    <n v="1000"/>
    <s v="Traspaso"/>
    <x v="1"/>
  </r>
  <r>
    <x v="259"/>
    <x v="21"/>
    <x v="7"/>
    <n v="-70"/>
    <m/>
    <x v="1"/>
  </r>
  <r>
    <x v="259"/>
    <x v="32"/>
    <x v="7"/>
    <n v="70"/>
    <m/>
    <x v="1"/>
  </r>
  <r>
    <x v="259"/>
    <x v="21"/>
    <x v="7"/>
    <n v="-983.76"/>
    <m/>
    <x v="1"/>
  </r>
  <r>
    <x v="259"/>
    <x v="44"/>
    <x v="7"/>
    <n v="983.76"/>
    <m/>
    <x v="1"/>
  </r>
  <r>
    <x v="259"/>
    <x v="44"/>
    <x v="7"/>
    <n v="-1000"/>
    <m/>
    <x v="1"/>
  </r>
  <r>
    <x v="259"/>
    <x v="43"/>
    <x v="7"/>
    <n v="1000"/>
    <m/>
    <x v="1"/>
  </r>
  <r>
    <x v="259"/>
    <x v="26"/>
    <x v="7"/>
    <n v="-500"/>
    <s v="Traspaso"/>
    <x v="0"/>
  </r>
  <r>
    <x v="259"/>
    <x v="27"/>
    <x v="7"/>
    <n v="500"/>
    <s v="Traspaso"/>
    <x v="0"/>
  </r>
  <r>
    <x v="259"/>
    <x v="12"/>
    <x v="7"/>
    <n v="-400"/>
    <s v="Traspaso"/>
    <x v="0"/>
  </r>
  <r>
    <x v="259"/>
    <x v="26"/>
    <x v="7"/>
    <n v="400"/>
    <s v="Traspaso"/>
    <x v="0"/>
  </r>
  <r>
    <x v="259"/>
    <x v="14"/>
    <x v="7"/>
    <n v="-639.09"/>
    <s v="Traspaso"/>
    <x v="0"/>
  </r>
  <r>
    <x v="259"/>
    <x v="26"/>
    <x v="7"/>
    <n v="639.09"/>
    <s v="Traspaso"/>
    <x v="0"/>
  </r>
  <r>
    <x v="259"/>
    <x v="14"/>
    <x v="7"/>
    <n v="-162.08000000000001"/>
    <s v="Traspaso"/>
    <x v="0"/>
  </r>
  <r>
    <x v="259"/>
    <x v="13"/>
    <x v="7"/>
    <n v="162.08000000000001"/>
    <s v="Traspaso"/>
    <x v="0"/>
  </r>
  <r>
    <x v="259"/>
    <x v="13"/>
    <x v="24"/>
    <n v="-273.89"/>
    <s v="Sandero"/>
    <x v="2"/>
  </r>
  <r>
    <x v="260"/>
    <x v="26"/>
    <x v="4"/>
    <n v="-1.3"/>
    <s v="Almuerzo"/>
    <x v="0"/>
  </r>
  <r>
    <x v="260"/>
    <x v="26"/>
    <x v="10"/>
    <n v="-7.5"/>
    <s v="Pádel"/>
    <x v="0"/>
  </r>
  <r>
    <x v="260"/>
    <x v="13"/>
    <x v="7"/>
    <n v="-648.26"/>
    <s v="Traspaso"/>
    <x v="0"/>
  </r>
  <r>
    <x v="260"/>
    <x v="14"/>
    <x v="7"/>
    <n v="648.26"/>
    <s v="Traspaso"/>
    <x v="0"/>
  </r>
  <r>
    <x v="260"/>
    <x v="26"/>
    <x v="1"/>
    <n v="0.34"/>
    <s v="Intereses"/>
    <x v="0"/>
  </r>
  <r>
    <x v="260"/>
    <x v="13"/>
    <x v="8"/>
    <n v="548.26"/>
    <s v="Septiembre"/>
    <x v="0"/>
  </r>
  <r>
    <x v="260"/>
    <x v="36"/>
    <x v="7"/>
    <n v="-475"/>
    <s v="Traspaso"/>
    <x v="0"/>
  </r>
  <r>
    <x v="260"/>
    <x v="4"/>
    <x v="7"/>
    <n v="475"/>
    <s v="Traspaso"/>
    <x v="0"/>
  </r>
  <r>
    <x v="260"/>
    <x v="20"/>
    <x v="10"/>
    <n v="-74"/>
    <s v="Gym Aspresso"/>
    <x v="2"/>
  </r>
  <r>
    <x v="260"/>
    <x v="19"/>
    <x v="8"/>
    <n v="-548.26"/>
    <s v="Gastos septiembre"/>
    <x v="1"/>
  </r>
  <r>
    <x v="260"/>
    <x v="17"/>
    <x v="30"/>
    <n v="10"/>
    <s v="Libro Vinted"/>
    <x v="1"/>
  </r>
  <r>
    <x v="260"/>
    <x v="5"/>
    <x v="17"/>
    <n v="-20.96"/>
    <s v="Ropa interior Lidl"/>
    <x v="1"/>
  </r>
  <r>
    <x v="260"/>
    <x v="5"/>
    <x v="2"/>
    <n v="-10.61"/>
    <s v="Lidl"/>
    <x v="2"/>
  </r>
  <r>
    <x v="260"/>
    <x v="7"/>
    <x v="4"/>
    <n v="-8.4"/>
    <s v="Berenar Eva"/>
    <x v="1"/>
  </r>
  <r>
    <x v="261"/>
    <x v="7"/>
    <x v="9"/>
    <n v="320"/>
    <s v="Regal tío"/>
    <x v="1"/>
  </r>
  <r>
    <x v="261"/>
    <x v="7"/>
    <x v="4"/>
    <n v="-10.4"/>
    <s v="Berenar"/>
    <x v="2"/>
  </r>
  <r>
    <x v="261"/>
    <x v="26"/>
    <x v="7"/>
    <n v="-499.99"/>
    <s v="Traspaso"/>
    <x v="0"/>
  </r>
  <r>
    <x v="261"/>
    <x v="27"/>
    <x v="7"/>
    <n v="499.99"/>
    <s v="Traspaso"/>
    <x v="0"/>
  </r>
  <r>
    <x v="261"/>
    <x v="52"/>
    <x v="16"/>
    <n v="-67.010000000000005"/>
    <s v="Gasolina"/>
    <x v="2"/>
  </r>
  <r>
    <x v="261"/>
    <x v="26"/>
    <x v="2"/>
    <n v="-87.67"/>
    <s v="Mercadona"/>
    <x v="2"/>
  </r>
  <r>
    <x v="261"/>
    <x v="33"/>
    <x v="7"/>
    <n v="-173.85"/>
    <s v="Traspaso"/>
    <x v="0"/>
  </r>
  <r>
    <x v="261"/>
    <x v="12"/>
    <x v="7"/>
    <n v="173.85"/>
    <s v="Traspaso"/>
    <x v="0"/>
  </r>
  <r>
    <x v="262"/>
    <x v="26"/>
    <x v="7"/>
    <n v="-500"/>
    <s v="Traspaso"/>
    <x v="0"/>
  </r>
  <r>
    <x v="262"/>
    <x v="12"/>
    <x v="7"/>
    <n v="500"/>
    <s v="Traspaso"/>
    <x v="0"/>
  </r>
  <r>
    <x v="262"/>
    <x v="26"/>
    <x v="7"/>
    <n v="-200"/>
    <s v="Traspaso"/>
    <x v="0"/>
  </r>
  <r>
    <x v="262"/>
    <x v="27"/>
    <x v="7"/>
    <n v="200"/>
    <s v="Traspaso"/>
    <x v="0"/>
  </r>
  <r>
    <x v="263"/>
    <x v="26"/>
    <x v="4"/>
    <n v="-1.3"/>
    <s v="Almuerzo"/>
    <x v="0"/>
  </r>
  <r>
    <x v="263"/>
    <x v="12"/>
    <x v="7"/>
    <n v="-600"/>
    <s v="Traspaso"/>
    <x v="0"/>
  </r>
  <r>
    <x v="263"/>
    <x v="36"/>
    <x v="7"/>
    <n v="600"/>
    <s v="Traspaso"/>
    <x v="0"/>
  </r>
  <r>
    <x v="263"/>
    <x v="36"/>
    <x v="7"/>
    <n v="-700"/>
    <s v="Traspaso"/>
    <x v="0"/>
  </r>
  <r>
    <x v="263"/>
    <x v="37"/>
    <x v="7"/>
    <n v="700"/>
    <s v="Traspaso"/>
    <x v="0"/>
  </r>
  <r>
    <x v="263"/>
    <x v="13"/>
    <x v="7"/>
    <n v="-150"/>
    <s v="Traspaso"/>
    <x v="0"/>
  </r>
  <r>
    <x v="263"/>
    <x v="14"/>
    <x v="7"/>
    <n v="150"/>
    <s v="Traspaso"/>
    <x v="0"/>
  </r>
  <r>
    <x v="263"/>
    <x v="12"/>
    <x v="7"/>
    <n v="-250"/>
    <s v="Traspaso"/>
    <x v="0"/>
  </r>
  <r>
    <x v="263"/>
    <x v="14"/>
    <x v="7"/>
    <n v="250"/>
    <s v="Traspaso"/>
    <x v="0"/>
  </r>
  <r>
    <x v="263"/>
    <x v="26"/>
    <x v="5"/>
    <n v="-35"/>
    <s v="Garaje"/>
    <x v="0"/>
  </r>
  <r>
    <x v="263"/>
    <x v="26"/>
    <x v="28"/>
    <n v="-21"/>
    <s v="Impto Vehículo Sandero"/>
    <x v="2"/>
  </r>
  <r>
    <x v="263"/>
    <x v="52"/>
    <x v="7"/>
    <n v="-91.69"/>
    <s v="Traspaso"/>
    <x v="0"/>
  </r>
  <r>
    <x v="263"/>
    <x v="26"/>
    <x v="7"/>
    <n v="91.69"/>
    <s v="Traspaso"/>
    <x v="0"/>
  </r>
  <r>
    <x v="263"/>
    <x v="14"/>
    <x v="7"/>
    <n v="-600"/>
    <s v="Traspaso"/>
    <x v="0"/>
  </r>
  <r>
    <x v="263"/>
    <x v="12"/>
    <x v="7"/>
    <n v="600"/>
    <s v="Traspaso"/>
    <x v="0"/>
  </r>
  <r>
    <x v="263"/>
    <x v="20"/>
    <x v="5"/>
    <n v="-35"/>
    <s v="Cdad garaje Manises"/>
    <x v="2"/>
  </r>
  <r>
    <x v="263"/>
    <x v="20"/>
    <x v="13"/>
    <n v="-21"/>
    <s v="Garatge Ayto"/>
    <x v="1"/>
  </r>
  <r>
    <x v="263"/>
    <x v="20"/>
    <x v="28"/>
    <n v="-57"/>
    <s v="IVTM 2025"/>
    <x v="2"/>
  </r>
  <r>
    <x v="263"/>
    <x v="7"/>
    <x v="29"/>
    <n v="-36"/>
    <s v="Neteja Sonia"/>
    <x v="2"/>
  </r>
  <r>
    <x v="264"/>
    <x v="5"/>
    <x v="17"/>
    <n v="-21.9"/>
    <s v="Natura Outlet"/>
    <x v="1"/>
  </r>
  <r>
    <x v="264"/>
    <x v="7"/>
    <x v="11"/>
    <n v="-80"/>
    <s v="Psico Amparo"/>
    <x v="1"/>
  </r>
  <r>
    <x v="264"/>
    <x v="7"/>
    <x v="2"/>
    <n v="-2.64"/>
    <s v="Forn"/>
    <x v="1"/>
  </r>
  <r>
    <x v="264"/>
    <x v="6"/>
    <x v="4"/>
    <n v="-1.3"/>
    <s v="Almuerzo"/>
    <x v="0"/>
  </r>
  <r>
    <x v="264"/>
    <x v="6"/>
    <x v="14"/>
    <n v="-4"/>
    <s v="Eurojackpot"/>
    <x v="2"/>
  </r>
  <r>
    <x v="264"/>
    <x v="6"/>
    <x v="14"/>
    <n v="7.6"/>
    <s v="Eurojackpot"/>
    <x v="2"/>
  </r>
  <r>
    <x v="264"/>
    <x v="14"/>
    <x v="1"/>
    <n v="13.65"/>
    <s v="Intereses dividendo"/>
    <x v="0"/>
  </r>
  <r>
    <x v="264"/>
    <x v="14"/>
    <x v="1"/>
    <n v="16.03"/>
    <s v="Intereses dividendo"/>
    <x v="0"/>
  </r>
  <r>
    <x v="264"/>
    <x v="26"/>
    <x v="1"/>
    <n v="-0.06"/>
    <s v="Intereses"/>
    <x v="0"/>
  </r>
  <r>
    <x v="264"/>
    <x v="26"/>
    <x v="7"/>
    <n v="-1"/>
    <s v="Traspaso"/>
    <x v="0"/>
  </r>
  <r>
    <x v="264"/>
    <x v="51"/>
    <x v="7"/>
    <n v="1"/>
    <s v="Traspaso"/>
    <x v="0"/>
  </r>
  <r>
    <x v="264"/>
    <x v="14"/>
    <x v="7"/>
    <n v="-277.94"/>
    <s v="Traspaso"/>
    <x v="0"/>
  </r>
  <r>
    <x v="264"/>
    <x v="26"/>
    <x v="7"/>
    <n v="277.94"/>
    <s v="Traspaso"/>
    <x v="0"/>
  </r>
  <r>
    <x v="265"/>
    <x v="6"/>
    <x v="4"/>
    <n v="-1.3"/>
    <s v="Almuerzo"/>
    <x v="0"/>
  </r>
  <r>
    <x v="265"/>
    <x v="14"/>
    <x v="1"/>
    <n v="20.350000000000001"/>
    <s v="Intereses dividendo"/>
    <x v="0"/>
  </r>
  <r>
    <x v="265"/>
    <x v="51"/>
    <x v="7"/>
    <n v="-1526.24"/>
    <s v="Traspaso"/>
    <x v="0"/>
  </r>
  <r>
    <x v="265"/>
    <x v="37"/>
    <x v="7"/>
    <n v="1526.24"/>
    <s v="Traspaso"/>
    <x v="0"/>
  </r>
  <r>
    <x v="265"/>
    <x v="5"/>
    <x v="2"/>
    <n v="-12.41"/>
    <s v="Lidl"/>
    <x v="2"/>
  </r>
  <r>
    <x v="266"/>
    <x v="37"/>
    <x v="7"/>
    <n v="-664.86"/>
    <s v="Traspaso"/>
    <x v="0"/>
  </r>
  <r>
    <x v="266"/>
    <x v="25"/>
    <x v="7"/>
    <n v="664.86"/>
    <s v="Traspaso"/>
    <x v="0"/>
  </r>
  <r>
    <x v="266"/>
    <x v="17"/>
    <x v="7"/>
    <n v="-500"/>
    <s v="Traspaso"/>
    <x v="1"/>
  </r>
  <r>
    <x v="266"/>
    <x v="50"/>
    <x v="7"/>
    <n v="500"/>
    <s v="Traspaso"/>
    <x v="1"/>
  </r>
  <r>
    <x v="267"/>
    <x v="12"/>
    <x v="7"/>
    <n v="-495"/>
    <s v="Traspaso"/>
    <x v="0"/>
  </r>
  <r>
    <x v="267"/>
    <x v="51"/>
    <x v="7"/>
    <n v="495"/>
    <s v="Traspaso"/>
    <x v="0"/>
  </r>
  <r>
    <x v="267"/>
    <x v="20"/>
    <x v="1"/>
    <n v="992.49"/>
    <s v="Int Letras 12 meses 50000"/>
    <x v="1"/>
  </r>
  <r>
    <x v="267"/>
    <x v="20"/>
    <x v="18"/>
    <n v="-35"/>
    <s v="Lowi"/>
    <x v="2"/>
  </r>
  <r>
    <x v="267"/>
    <x v="20"/>
    <x v="7"/>
    <n v="-1000"/>
    <s v="Traspaso"/>
    <x v="1"/>
  </r>
  <r>
    <x v="267"/>
    <x v="21"/>
    <x v="7"/>
    <n v="1000"/>
    <s v="Traspaso"/>
    <x v="1"/>
  </r>
  <r>
    <x v="267"/>
    <x v="21"/>
    <x v="28"/>
    <n v="2688.4"/>
    <s v="Devol IRPF 2024 placas Dani"/>
    <x v="1"/>
  </r>
  <r>
    <x v="267"/>
    <x v="19"/>
    <x v="7"/>
    <n v="-1500"/>
    <s v="Traspaso"/>
    <x v="1"/>
  </r>
  <r>
    <x v="267"/>
    <x v="46"/>
    <x v="7"/>
    <n v="1500"/>
    <s v="Traspaso"/>
    <x v="1"/>
  </r>
  <r>
    <x v="267"/>
    <x v="7"/>
    <x v="21"/>
    <n v="-30"/>
    <s v="Depil Sophia SAB"/>
    <x v="1"/>
  </r>
  <r>
    <x v="267"/>
    <x v="26"/>
    <x v="10"/>
    <n v="-6"/>
    <s v="Pádel"/>
    <x v="0"/>
  </r>
  <r>
    <x v="267"/>
    <x v="53"/>
    <x v="1"/>
    <n v="29"/>
    <s v="Bonificación 1%"/>
    <x v="0"/>
  </r>
  <r>
    <x v="267"/>
    <x v="12"/>
    <x v="28"/>
    <n v="4544.37"/>
    <s v="Devolución IRPF"/>
    <x v="0"/>
  </r>
  <r>
    <x v="267"/>
    <x v="14"/>
    <x v="7"/>
    <n v="-800"/>
    <s v="Traspaso"/>
    <x v="0"/>
  </r>
  <r>
    <x v="267"/>
    <x v="54"/>
    <x v="7"/>
    <n v="800"/>
    <s v="Traspaso"/>
    <x v="0"/>
  </r>
  <r>
    <x v="267"/>
    <x v="9"/>
    <x v="7"/>
    <n v="-4000"/>
    <s v="Traspaso"/>
    <x v="0"/>
  </r>
  <r>
    <x v="267"/>
    <x v="10"/>
    <x v="7"/>
    <n v="4000"/>
    <s v="Traspaso"/>
    <x v="0"/>
  </r>
  <r>
    <x v="267"/>
    <x v="14"/>
    <x v="7"/>
    <n v="-1500"/>
    <s v="Traspaso"/>
    <x v="0"/>
  </r>
  <r>
    <x v="267"/>
    <x v="29"/>
    <x v="7"/>
    <n v="1500"/>
    <s v="Traspaso"/>
    <x v="0"/>
  </r>
  <r>
    <x v="267"/>
    <x v="10"/>
    <x v="7"/>
    <n v="-3996.02"/>
    <s v="Traspaso"/>
    <x v="0"/>
  </r>
  <r>
    <x v="267"/>
    <x v="14"/>
    <x v="7"/>
    <n v="3996.02"/>
    <s v="Traspaso"/>
    <x v="0"/>
  </r>
  <r>
    <x v="267"/>
    <x v="14"/>
    <x v="28"/>
    <n v="-2688.4"/>
    <s v="Devolución IRPF"/>
    <x v="0"/>
  </r>
  <r>
    <x v="267"/>
    <x v="14"/>
    <x v="7"/>
    <n v="-3001"/>
    <s v="Traspaso"/>
    <x v="0"/>
  </r>
  <r>
    <x v="267"/>
    <x v="53"/>
    <x v="7"/>
    <n v="3001"/>
    <s v="Traspaso"/>
    <x v="0"/>
  </r>
  <r>
    <x v="267"/>
    <x v="10"/>
    <x v="1"/>
    <n v="-6"/>
    <s v="Comisiones letras"/>
    <x v="0"/>
  </r>
  <r>
    <x v="267"/>
    <x v="12"/>
    <x v="7"/>
    <n v="-4000"/>
    <s v="Traspaso"/>
    <x v="0"/>
  </r>
  <r>
    <x v="267"/>
    <x v="14"/>
    <x v="7"/>
    <n v="4000"/>
    <s v="Traspaso"/>
    <x v="0"/>
  </r>
  <r>
    <x v="268"/>
    <x v="26"/>
    <x v="2"/>
    <n v="-113.64"/>
    <s v="Mercadona"/>
    <x v="0"/>
  </r>
  <r>
    <x v="269"/>
    <x v="12"/>
    <x v="7"/>
    <n v="-500"/>
    <s v="Traspaso"/>
    <x v="0"/>
  </r>
  <r>
    <x v="269"/>
    <x v="14"/>
    <x v="7"/>
    <n v="500"/>
    <s v="Traspaso"/>
    <x v="0"/>
  </r>
  <r>
    <x v="269"/>
    <x v="14"/>
    <x v="7"/>
    <n v="-901.94"/>
    <s v="Traspaso"/>
    <x v="0"/>
  </r>
  <r>
    <x v="269"/>
    <x v="1"/>
    <x v="7"/>
    <n v="901.94"/>
    <s v="Traspaso"/>
    <x v="0"/>
  </r>
  <r>
    <x v="270"/>
    <x v="26"/>
    <x v="4"/>
    <n v="-1.3"/>
    <s v="Almuerzo"/>
    <x v="0"/>
  </r>
  <r>
    <x v="270"/>
    <x v="1"/>
    <x v="7"/>
    <n v="-5027.08"/>
    <s v="Traspaso"/>
    <x v="0"/>
  </r>
  <r>
    <x v="270"/>
    <x v="14"/>
    <x v="7"/>
    <n v="5027.08"/>
    <s v="Traspaso"/>
    <x v="0"/>
  </r>
  <r>
    <x v="270"/>
    <x v="1"/>
    <x v="7"/>
    <n v="-4529.42"/>
    <s v="Traspaso"/>
    <x v="0"/>
  </r>
  <r>
    <x v="270"/>
    <x v="14"/>
    <x v="7"/>
    <n v="4529.42"/>
    <s v="Traspaso"/>
    <x v="0"/>
  </r>
  <r>
    <x v="270"/>
    <x v="14"/>
    <x v="7"/>
    <n v="-2000"/>
    <s v="Traspaso"/>
    <x v="0"/>
  </r>
  <r>
    <x v="270"/>
    <x v="37"/>
    <x v="7"/>
    <n v="2000"/>
    <s v="Traspaso"/>
    <x v="0"/>
  </r>
  <r>
    <x v="270"/>
    <x v="14"/>
    <x v="7"/>
    <n v="-4528.46"/>
    <s v="Traspaso"/>
    <x v="0"/>
  </r>
  <r>
    <x v="270"/>
    <x v="1"/>
    <x v="7"/>
    <n v="4528.46"/>
    <s v="Traspaso"/>
    <x v="0"/>
  </r>
  <r>
    <x v="270"/>
    <x v="14"/>
    <x v="7"/>
    <n v="-2501"/>
    <s v="Traspaso"/>
    <x v="0"/>
  </r>
  <r>
    <x v="270"/>
    <x v="1"/>
    <x v="7"/>
    <n v="2501"/>
    <s v="Traspaso"/>
    <x v="0"/>
  </r>
  <r>
    <x v="271"/>
    <x v="26"/>
    <x v="4"/>
    <n v="-1.3"/>
    <s v="Almuerzo"/>
    <x v="0"/>
  </r>
  <r>
    <x v="271"/>
    <x v="26"/>
    <x v="14"/>
    <n v="-4"/>
    <s v="Eurojackpot"/>
    <x v="0"/>
  </r>
  <r>
    <x v="271"/>
    <x v="26"/>
    <x v="11"/>
    <n v="-2.86"/>
    <s v="Tevetens, Afloyan y Besitran"/>
    <x v="0"/>
  </r>
  <r>
    <x v="271"/>
    <x v="29"/>
    <x v="7"/>
    <n v="-1501.07"/>
    <s v="Traspaso"/>
    <x v="0"/>
  </r>
  <r>
    <x v="271"/>
    <x v="14"/>
    <x v="7"/>
    <n v="1501.07"/>
    <s v="Traspaso"/>
    <x v="0"/>
  </r>
  <r>
    <x v="271"/>
    <x v="26"/>
    <x v="10"/>
    <n v="-7.5"/>
    <s v="Pádel"/>
    <x v="0"/>
  </r>
  <r>
    <x v="271"/>
    <x v="1"/>
    <x v="7"/>
    <n v="-854.15"/>
    <s v="Traspaso"/>
    <x v="0"/>
  </r>
  <r>
    <x v="271"/>
    <x v="14"/>
    <x v="7"/>
    <n v="854.15"/>
    <s v="Traspaso"/>
    <x v="0"/>
  </r>
  <r>
    <x v="271"/>
    <x v="14"/>
    <x v="7"/>
    <n v="-751.21"/>
    <s v="Traspaso"/>
    <x v="0"/>
  </r>
  <r>
    <x v="271"/>
    <x v="1"/>
    <x v="7"/>
    <n v="751.21"/>
    <s v="Traspaso"/>
    <x v="0"/>
  </r>
  <r>
    <x v="271"/>
    <x v="5"/>
    <x v="16"/>
    <n v="-45.27"/>
    <s v="Gasóleo"/>
    <x v="2"/>
  </r>
  <r>
    <x v="271"/>
    <x v="19"/>
    <x v="1"/>
    <n v="24.43"/>
    <s v="Int"/>
    <x v="1"/>
  </r>
  <r>
    <x v="272"/>
    <x v="7"/>
    <x v="9"/>
    <n v="50"/>
    <s v="Regal Tío"/>
    <x v="1"/>
  </r>
  <r>
    <x v="272"/>
    <x v="26"/>
    <x v="4"/>
    <n v="-1.3"/>
    <s v="Almuerzo"/>
    <x v="0"/>
  </r>
  <r>
    <x v="272"/>
    <x v="26"/>
    <x v="25"/>
    <n v="-13.46"/>
    <s v="Gas"/>
    <x v="2"/>
  </r>
  <r>
    <x v="272"/>
    <x v="12"/>
    <x v="1"/>
    <n v="1.1000000000000001"/>
    <s v="Intereses"/>
    <x v="0"/>
  </r>
  <r>
    <x v="272"/>
    <x v="14"/>
    <x v="7"/>
    <n v="-155.59"/>
    <s v="Traspaso"/>
    <x v="0"/>
  </r>
  <r>
    <x v="272"/>
    <x v="13"/>
    <x v="7"/>
    <n v="155.59"/>
    <s v="Traspaso"/>
    <x v="0"/>
  </r>
  <r>
    <x v="273"/>
    <x v="14"/>
    <x v="7"/>
    <n v="-250"/>
    <s v="Traspaso"/>
    <x v="0"/>
  </r>
  <r>
    <x v="273"/>
    <x v="1"/>
    <x v="7"/>
    <n v="250"/>
    <s v="Traspaso"/>
    <x v="0"/>
  </r>
  <r>
    <x v="273"/>
    <x v="14"/>
    <x v="7"/>
    <n v="-1000"/>
    <s v="Traspaso"/>
    <x v="0"/>
  </r>
  <r>
    <x v="273"/>
    <x v="1"/>
    <x v="7"/>
    <n v="1000"/>
    <s v="Traspaso"/>
    <x v="0"/>
  </r>
  <r>
    <x v="273"/>
    <x v="1"/>
    <x v="7"/>
    <n v="-769.4"/>
    <s v="Traspaso"/>
    <x v="0"/>
  </r>
  <r>
    <x v="273"/>
    <x v="14"/>
    <x v="7"/>
    <n v="769.4"/>
    <s v="Traspaso"/>
    <x v="0"/>
  </r>
  <r>
    <x v="273"/>
    <x v="1"/>
    <x v="7"/>
    <n v="-490.44"/>
    <s v="Traspaso"/>
    <x v="0"/>
  </r>
  <r>
    <x v="273"/>
    <x v="14"/>
    <x v="7"/>
    <n v="490.44"/>
    <s v="Traspaso"/>
    <x v="0"/>
  </r>
  <r>
    <x v="273"/>
    <x v="7"/>
    <x v="13"/>
    <n v="-4.5"/>
    <s v="Parking Fisio"/>
    <x v="1"/>
  </r>
  <r>
    <x v="273"/>
    <x v="17"/>
    <x v="4"/>
    <n v="-7.44"/>
    <s v="Libro Vinted"/>
    <x v="1"/>
  </r>
  <r>
    <x v="274"/>
    <x v="26"/>
    <x v="4"/>
    <n v="-1.3"/>
    <s v="Almuerzo"/>
    <x v="0"/>
  </r>
  <r>
    <x v="274"/>
    <x v="26"/>
    <x v="10"/>
    <n v="-7.5"/>
    <s v="Pádel"/>
    <x v="0"/>
  </r>
  <r>
    <x v="275"/>
    <x v="14"/>
    <x v="7"/>
    <n v="-509.92"/>
    <s v="Traspaso"/>
    <x v="0"/>
  </r>
  <r>
    <x v="275"/>
    <x v="26"/>
    <x v="7"/>
    <n v="509.92"/>
    <s v="Traspaso"/>
    <x v="0"/>
  </r>
  <r>
    <x v="275"/>
    <x v="14"/>
    <x v="7"/>
    <n v="-1000"/>
    <s v="Traspaso"/>
    <x v="0"/>
  </r>
  <r>
    <x v="275"/>
    <x v="37"/>
    <x v="7"/>
    <n v="1000"/>
    <s v="Traspaso"/>
    <x v="0"/>
  </r>
  <r>
    <x v="275"/>
    <x v="26"/>
    <x v="2"/>
    <n v="-131.04"/>
    <s v="Comida"/>
    <x v="2"/>
  </r>
  <r>
    <x v="275"/>
    <x v="7"/>
    <x v="4"/>
    <n v="-8.4"/>
    <s v="Berenar"/>
    <x v="2"/>
  </r>
  <r>
    <x v="275"/>
    <x v="5"/>
    <x v="2"/>
    <n v="-5.2"/>
    <s v="Pack Forn SAB"/>
    <x v="2"/>
  </r>
  <r>
    <x v="276"/>
    <x v="7"/>
    <x v="4"/>
    <n v="-12"/>
    <s v="Picaeta platja"/>
    <x v="2"/>
  </r>
  <r>
    <x v="277"/>
    <x v="7"/>
    <x v="29"/>
    <n v="-36"/>
    <s v="Neteja Sonia"/>
    <x v="2"/>
  </r>
  <r>
    <x v="277"/>
    <x v="6"/>
    <x v="4"/>
    <n v="-1.3"/>
    <s v="Almuerzo"/>
    <x v="0"/>
  </r>
  <r>
    <x v="278"/>
    <x v="6"/>
    <x v="4"/>
    <n v="-1.3"/>
    <s v="Almuerzo"/>
    <x v="0"/>
  </r>
  <r>
    <x v="278"/>
    <x v="26"/>
    <x v="14"/>
    <n v="-4"/>
    <s v="Eurojackpot"/>
    <x v="2"/>
  </r>
  <r>
    <x v="278"/>
    <x v="5"/>
    <x v="2"/>
    <n v="-30.99"/>
    <s v="Carrefour"/>
    <x v="2"/>
  </r>
  <r>
    <x v="279"/>
    <x v="35"/>
    <x v="9"/>
    <n v="-20"/>
    <s v="Décimo Ayto Paterna mama y Bruno"/>
    <x v="1"/>
  </r>
  <r>
    <x v="279"/>
    <x v="35"/>
    <x v="9"/>
    <n v="-20"/>
    <s v="Décimo Ayto Paterna tío"/>
    <x v="1"/>
  </r>
  <r>
    <x v="279"/>
    <x v="7"/>
    <x v="14"/>
    <n v="-40"/>
    <s v="Décimo Ayto Paterna nuestro y Javier"/>
    <x v="2"/>
  </r>
  <r>
    <x v="279"/>
    <x v="6"/>
    <x v="4"/>
    <n v="-1.3"/>
    <s v="Almuerzo"/>
    <x v="0"/>
  </r>
  <r>
    <x v="279"/>
    <x v="36"/>
    <x v="7"/>
    <n v="-100"/>
    <s v="Traspaso"/>
    <x v="0"/>
  </r>
  <r>
    <x v="279"/>
    <x v="33"/>
    <x v="7"/>
    <n v="100"/>
    <s v="Traspaso"/>
    <x v="0"/>
  </r>
  <r>
    <x v="279"/>
    <x v="33"/>
    <x v="14"/>
    <n v="-60"/>
    <s v="Lotería Navidad"/>
    <x v="2"/>
  </r>
  <r>
    <x v="279"/>
    <x v="14"/>
    <x v="1"/>
    <n v="24.7"/>
    <s v="Intereses"/>
    <x v="0"/>
  </r>
  <r>
    <x v="280"/>
    <x v="6"/>
    <x v="4"/>
    <n v="-2.1"/>
    <s v="Almuerzo"/>
    <x v="0"/>
  </r>
  <r>
    <x v="280"/>
    <x v="22"/>
    <x v="7"/>
    <n v="-5008.6400000000003"/>
    <s v="Traspaso"/>
    <x v="0"/>
  </r>
  <r>
    <x v="280"/>
    <x v="33"/>
    <x v="7"/>
    <n v="5008.6400000000003"/>
    <s v="Traspaso"/>
    <x v="0"/>
  </r>
  <r>
    <x v="280"/>
    <x v="33"/>
    <x v="7"/>
    <n v="-2000"/>
    <s v="Traspaso"/>
    <x v="0"/>
  </r>
  <r>
    <x v="280"/>
    <x v="12"/>
    <x v="7"/>
    <n v="2000"/>
    <s v="Traspaso"/>
    <x v="0"/>
  </r>
  <r>
    <x v="280"/>
    <x v="33"/>
    <x v="7"/>
    <n v="-2000"/>
    <s v="Traspaso"/>
    <x v="0"/>
  </r>
  <r>
    <x v="280"/>
    <x v="14"/>
    <x v="7"/>
    <n v="2000"/>
    <s v="Traspaso"/>
    <x v="0"/>
  </r>
  <r>
    <x v="280"/>
    <x v="26"/>
    <x v="10"/>
    <n v="-7.5"/>
    <s v="Pádel"/>
    <x v="0"/>
  </r>
  <r>
    <x v="280"/>
    <x v="7"/>
    <x v="11"/>
    <n v="-4.2300000000000004"/>
    <s v="Farmacia"/>
    <x v="1"/>
  </r>
  <r>
    <x v="280"/>
    <x v="7"/>
    <x v="2"/>
    <n v="-1.75"/>
    <s v="Melissa"/>
    <x v="1"/>
  </r>
  <r>
    <x v="280"/>
    <x v="7"/>
    <x v="9"/>
    <n v="500"/>
    <s v="Regal tío"/>
    <x v="1"/>
  </r>
  <r>
    <x v="281"/>
    <x v="32"/>
    <x v="9"/>
    <n v="200"/>
    <s v="Regal Dani"/>
    <x v="1"/>
  </r>
  <r>
    <x v="281"/>
    <x v="12"/>
    <x v="7"/>
    <n v="-74.319999999999993"/>
    <s v="Traspaso"/>
    <x v="0"/>
  </r>
  <r>
    <x v="281"/>
    <x v="36"/>
    <x v="7"/>
    <n v="74.319999999999993"/>
    <s v="Traspaso"/>
    <x v="0"/>
  </r>
  <r>
    <x v="282"/>
    <x v="14"/>
    <x v="9"/>
    <n v="-201"/>
    <s v="Norma Etf"/>
    <x v="0"/>
  </r>
  <r>
    <x v="282"/>
    <x v="13"/>
    <x v="10"/>
    <n v="-10.72"/>
    <s v="Varios pádel"/>
    <x v="0"/>
  </r>
  <r>
    <x v="282"/>
    <x v="13"/>
    <x v="14"/>
    <n v="-40"/>
    <s v="Cargar lotobolsa"/>
    <x v="2"/>
  </r>
  <r>
    <x v="282"/>
    <x v="12"/>
    <x v="7"/>
    <n v="-1000"/>
    <s v="Traspaso"/>
    <x v="0"/>
  </r>
  <r>
    <x v="282"/>
    <x v="37"/>
    <x v="7"/>
    <n v="1000"/>
    <s v="Traspaso"/>
    <x v="0"/>
  </r>
  <r>
    <x v="282"/>
    <x v="12"/>
    <x v="7"/>
    <n v="-500"/>
    <s v="Traspaso"/>
    <x v="0"/>
  </r>
  <r>
    <x v="282"/>
    <x v="54"/>
    <x v="7"/>
    <n v="500"/>
    <s v="Traspaso"/>
    <x v="0"/>
  </r>
  <r>
    <x v="283"/>
    <x v="44"/>
    <x v="1"/>
    <n v="0.09"/>
    <s v="Intereses"/>
    <x v="1"/>
  </r>
  <r>
    <x v="283"/>
    <x v="7"/>
    <x v="4"/>
    <n v="-353.5"/>
    <s v="Denia finde"/>
    <x v="2"/>
  </r>
  <r>
    <x v="283"/>
    <x v="19"/>
    <x v="7"/>
    <n v="-2000"/>
    <s v="Traspaso"/>
    <x v="1"/>
  </r>
  <r>
    <x v="283"/>
    <x v="55"/>
    <x v="7"/>
    <n v="2000"/>
    <s v="Traspaso Compra Oro"/>
    <x v="1"/>
  </r>
  <r>
    <x v="283"/>
    <x v="17"/>
    <x v="7"/>
    <n v="-500"/>
    <s v="Traspaso"/>
    <x v="1"/>
  </r>
  <r>
    <x v="283"/>
    <x v="19"/>
    <x v="7"/>
    <n v="500"/>
    <s v="Traspaso"/>
    <x v="1"/>
  </r>
  <r>
    <x v="283"/>
    <x v="26"/>
    <x v="10"/>
    <n v="-6"/>
    <s v="Pádel"/>
    <x v="0"/>
  </r>
  <r>
    <x v="283"/>
    <x v="33"/>
    <x v="7"/>
    <n v="-1000"/>
    <s v="Traspaso"/>
    <x v="0"/>
  </r>
  <r>
    <x v="283"/>
    <x v="29"/>
    <x v="7"/>
    <n v="1000"/>
    <s v="Traspaso"/>
    <x v="0"/>
  </r>
  <r>
    <x v="284"/>
    <x v="26"/>
    <x v="4"/>
    <n v="-1.3"/>
    <s v="Almuerzo"/>
    <x v="0"/>
  </r>
  <r>
    <x v="284"/>
    <x v="26"/>
    <x v="2"/>
    <n v="-99.48"/>
    <s v="Mercadona"/>
    <x v="2"/>
  </r>
  <r>
    <x v="284"/>
    <x v="5"/>
    <x v="2"/>
    <n v="-34.54"/>
    <s v="Lidl"/>
    <x v="2"/>
  </r>
  <r>
    <x v="285"/>
    <x v="26"/>
    <x v="4"/>
    <n v="-1.3"/>
    <s v="Almuerzo"/>
    <x v="0"/>
  </r>
  <r>
    <x v="285"/>
    <x v="26"/>
    <x v="14"/>
    <n v="-4"/>
    <s v="Eurojackpot"/>
    <x v="2"/>
  </r>
  <r>
    <x v="286"/>
    <x v="7"/>
    <x v="4"/>
    <n v="-3.9"/>
    <s v="Esmorzar"/>
    <x v="1"/>
  </r>
  <r>
    <x v="286"/>
    <x v="7"/>
    <x v="11"/>
    <n v="-80"/>
    <s v="Psico Empar"/>
    <x v="1"/>
  </r>
  <r>
    <x v="286"/>
    <x v="19"/>
    <x v="22"/>
    <n v="2501.64"/>
    <s v="Nómina"/>
    <x v="1"/>
  </r>
  <r>
    <x v="286"/>
    <x v="36"/>
    <x v="22"/>
    <n v="1981.78"/>
    <s v="Nómina"/>
    <x v="0"/>
  </r>
  <r>
    <x v="286"/>
    <x v="36"/>
    <x v="22"/>
    <n v="240.22"/>
    <s v="Nómina"/>
    <x v="0"/>
  </r>
  <r>
    <x v="286"/>
    <x v="26"/>
    <x v="4"/>
    <n v="-1.3"/>
    <s v="Almuerzo"/>
    <x v="0"/>
  </r>
  <r>
    <x v="287"/>
    <x v="5"/>
    <x v="16"/>
    <n v="-40.799999999999997"/>
    <s v="Gasóleo"/>
    <x v="2"/>
  </r>
  <r>
    <x v="287"/>
    <x v="5"/>
    <x v="2"/>
    <n v="-8.18"/>
    <s v="Carrefour"/>
    <x v="2"/>
  </r>
  <r>
    <x v="287"/>
    <x v="17"/>
    <x v="23"/>
    <n v="-52.6"/>
    <s v="Farma Vázquez"/>
    <x v="1"/>
  </r>
  <r>
    <x v="287"/>
    <x v="26"/>
    <x v="4"/>
    <n v="-1.3"/>
    <s v="Almuerzo"/>
    <x v="0"/>
  </r>
  <r>
    <x v="287"/>
    <x v="26"/>
    <x v="5"/>
    <n v="-35.880000000000003"/>
    <s v="Piso"/>
    <x v="0"/>
  </r>
  <r>
    <x v="287"/>
    <x v="36"/>
    <x v="7"/>
    <n v="-1000"/>
    <s v="Traspaso"/>
    <x v="0"/>
  </r>
  <r>
    <x v="287"/>
    <x v="26"/>
    <x v="7"/>
    <n v="1000"/>
    <s v="Traspaso"/>
    <x v="0"/>
  </r>
  <r>
    <x v="287"/>
    <x v="26"/>
    <x v="7"/>
    <n v="-300"/>
    <s v="Traspaso"/>
    <x v="0"/>
  </r>
  <r>
    <x v="287"/>
    <x v="27"/>
    <x v="7"/>
    <n v="300"/>
    <s v="Traspaso"/>
    <x v="0"/>
  </r>
  <r>
    <x v="287"/>
    <x v="12"/>
    <x v="7"/>
    <n v="-400"/>
    <s v="Traspaso"/>
    <x v="0"/>
  </r>
  <r>
    <x v="287"/>
    <x v="26"/>
    <x v="7"/>
    <n v="400"/>
    <s v="Traspaso"/>
    <x v="0"/>
  </r>
  <r>
    <x v="287"/>
    <x v="36"/>
    <x v="7"/>
    <n v="-828.1"/>
    <s v="Traspaso"/>
    <x v="0"/>
  </r>
  <r>
    <x v="287"/>
    <x v="26"/>
    <x v="7"/>
    <n v="828.1"/>
    <s v="Traspaso"/>
    <x v="0"/>
  </r>
  <r>
    <x v="287"/>
    <x v="26"/>
    <x v="16"/>
    <n v="-70"/>
    <s v="Gasolina"/>
    <x v="2"/>
  </r>
  <r>
    <x v="288"/>
    <x v="20"/>
    <x v="7"/>
    <n v="-190.34"/>
    <s v="Visa"/>
    <x v="1"/>
  </r>
  <r>
    <x v="288"/>
    <x v="5"/>
    <x v="7"/>
    <n v="190.34"/>
    <m/>
    <x v="1"/>
  </r>
  <r>
    <x v="288"/>
    <x v="19"/>
    <x v="7"/>
    <n v="-1000"/>
    <m/>
    <x v="1"/>
  </r>
  <r>
    <x v="288"/>
    <x v="20"/>
    <x v="7"/>
    <n v="1000"/>
    <m/>
    <x v="1"/>
  </r>
  <r>
    <x v="288"/>
    <x v="7"/>
    <x v="13"/>
    <n v="-2.75"/>
    <s v="Parking Fisio"/>
    <x v="1"/>
  </r>
  <r>
    <x v="288"/>
    <x v="17"/>
    <x v="30"/>
    <n v="8"/>
    <s v="Libro Wallapop El hombre en busca"/>
    <x v="2"/>
  </r>
  <r>
    <x v="288"/>
    <x v="5"/>
    <x v="2"/>
    <n v="-22.76"/>
    <s v="Lidl"/>
    <x v="2"/>
  </r>
  <r>
    <x v="288"/>
    <x v="5"/>
    <x v="9"/>
    <n v="-45.73"/>
    <s v="Regalos Lidl"/>
    <x v="1"/>
  </r>
  <r>
    <x v="288"/>
    <x v="26"/>
    <x v="7"/>
    <n v="-1300"/>
    <s v="Traspaso"/>
    <x v="0"/>
  </r>
  <r>
    <x v="288"/>
    <x v="4"/>
    <x v="7"/>
    <n v="1300"/>
    <s v="Traspaso"/>
    <x v="0"/>
  </r>
  <r>
    <x v="288"/>
    <x v="26"/>
    <x v="4"/>
    <n v="-1.3"/>
    <s v="Almuerzo"/>
    <x v="0"/>
  </r>
  <r>
    <x v="288"/>
    <x v="26"/>
    <x v="10"/>
    <n v="-7.5"/>
    <s v="Pádel"/>
    <x v="0"/>
  </r>
  <r>
    <x v="288"/>
    <x v="26"/>
    <x v="2"/>
    <n v="-50.59"/>
    <s v="Mercadona"/>
    <x v="2"/>
  </r>
  <r>
    <x v="288"/>
    <x v="20"/>
    <x v="30"/>
    <n v="100"/>
    <s v="Arrend trastero"/>
    <x v="2"/>
  </r>
  <r>
    <x v="289"/>
    <x v="26"/>
    <x v="10"/>
    <n v="-12"/>
    <s v="Pádel"/>
    <x v="0"/>
  </r>
  <r>
    <x v="289"/>
    <x v="33"/>
    <x v="1"/>
    <n v="0.15"/>
    <s v="Intereses"/>
    <x v="0"/>
  </r>
  <r>
    <x v="289"/>
    <x v="14"/>
    <x v="1"/>
    <n v="1.61"/>
    <s v="Intereses"/>
    <x v="0"/>
  </r>
  <r>
    <x v="289"/>
    <x v="7"/>
    <x v="4"/>
    <n v="-43"/>
    <s v="Sopar xino"/>
    <x v="2"/>
  </r>
  <r>
    <x v="289"/>
    <x v="17"/>
    <x v="1"/>
    <n v="0.25"/>
    <s v="Int"/>
    <x v="1"/>
  </r>
  <r>
    <x v="289"/>
    <x v="21"/>
    <x v="1"/>
    <n v="51.24"/>
    <s v="Int"/>
    <x v="1"/>
  </r>
  <r>
    <x v="289"/>
    <x v="35"/>
    <x v="1"/>
    <n v="44.56"/>
    <s v="Int"/>
    <x v="1"/>
  </r>
  <r>
    <x v="290"/>
    <x v="26"/>
    <x v="3"/>
    <n v="800"/>
    <s v="Noviembre"/>
    <x v="0"/>
  </r>
  <r>
    <x v="291"/>
    <x v="26"/>
    <x v="5"/>
    <n v="-100"/>
    <s v="Casa"/>
    <x v="2"/>
  </r>
  <r>
    <x v="291"/>
    <x v="26"/>
    <x v="4"/>
    <n v="-1.3"/>
    <s v="Almuerzo"/>
    <x v="0"/>
  </r>
  <r>
    <x v="291"/>
    <x v="20"/>
    <x v="29"/>
    <n v="-10.48"/>
    <s v="Ocaso Seguro"/>
    <x v="1"/>
  </r>
  <r>
    <x v="291"/>
    <x v="20"/>
    <x v="11"/>
    <n v="-57.71"/>
    <s v="Mapfre salud"/>
    <x v="1"/>
  </r>
  <r>
    <x v="291"/>
    <x v="20"/>
    <x v="7"/>
    <n v="-500"/>
    <s v="Traspaso"/>
    <x v="1"/>
  </r>
  <r>
    <x v="291"/>
    <x v="21"/>
    <x v="7"/>
    <n v="500"/>
    <s v="Traspaso"/>
    <x v="1"/>
  </r>
  <r>
    <x v="291"/>
    <x v="21"/>
    <x v="7"/>
    <n v="-70"/>
    <s v="Traspaso"/>
    <x v="1"/>
  </r>
  <r>
    <x v="291"/>
    <x v="32"/>
    <x v="7"/>
    <n v="70"/>
    <s v="Traspaso"/>
    <x v="1"/>
  </r>
  <r>
    <x v="291"/>
    <x v="21"/>
    <x v="30"/>
    <n v="0.12"/>
    <s v="Descuadre"/>
    <x v="1"/>
  </r>
  <r>
    <x v="291"/>
    <x v="7"/>
    <x v="29"/>
    <n v="-36"/>
    <s v="Neteja Sonia"/>
    <x v="2"/>
  </r>
  <r>
    <x v="291"/>
    <x v="20"/>
    <x v="8"/>
    <n v="-156.91"/>
    <s v="Gastos octubre"/>
    <x v="1"/>
  </r>
  <r>
    <x v="291"/>
    <x v="26"/>
    <x v="7"/>
    <n v="-507"/>
    <s v="Traspaso"/>
    <x v="0"/>
  </r>
  <r>
    <x v="291"/>
    <x v="37"/>
    <x v="7"/>
    <n v="507"/>
    <s v="Traspaso"/>
    <x v="0"/>
  </r>
  <r>
    <x v="291"/>
    <x v="14"/>
    <x v="7"/>
    <n v="-400"/>
    <s v="Traspaso"/>
    <x v="0"/>
  </r>
  <r>
    <x v="291"/>
    <x v="1"/>
    <x v="7"/>
    <n v="400"/>
    <s v="Traspaso"/>
    <x v="0"/>
  </r>
  <r>
    <x v="291"/>
    <x v="14"/>
    <x v="7"/>
    <n v="-1154"/>
    <s v="Traspaso"/>
    <x v="0"/>
  </r>
  <r>
    <x v="291"/>
    <x v="38"/>
    <x v="7"/>
    <n v="1154"/>
    <s v="Traspaso"/>
    <x v="0"/>
  </r>
  <r>
    <x v="291"/>
    <x v="36"/>
    <x v="7"/>
    <n v="-400"/>
    <s v="Traspaso"/>
    <x v="0"/>
  </r>
  <r>
    <x v="291"/>
    <x v="12"/>
    <x v="7"/>
    <n v="400"/>
    <s v="Traspaso"/>
    <x v="0"/>
  </r>
  <r>
    <x v="291"/>
    <x v="13"/>
    <x v="8"/>
    <n v="156.91"/>
    <s v="Octubre"/>
    <x v="0"/>
  </r>
  <r>
    <x v="292"/>
    <x v="14"/>
    <x v="1"/>
    <n v="5.7"/>
    <s v="Intereses"/>
    <x v="0"/>
  </r>
  <r>
    <x v="292"/>
    <x v="26"/>
    <x v="14"/>
    <n v="-4"/>
    <s v="Eurojackpot"/>
    <x v="2"/>
  </r>
  <r>
    <x v="292"/>
    <x v="6"/>
    <x v="14"/>
    <n v="-5"/>
    <s v="Lotería Pamesa"/>
    <x v="2"/>
  </r>
  <r>
    <x v="292"/>
    <x v="5"/>
    <x v="9"/>
    <n v="27.97"/>
    <s v="Devol Lidl"/>
    <x v="1"/>
  </r>
  <r>
    <x v="292"/>
    <x v="5"/>
    <x v="29"/>
    <n v="-8.99"/>
    <s v="Jersei Lidl tio"/>
    <x v="1"/>
  </r>
  <r>
    <x v="292"/>
    <x v="5"/>
    <x v="17"/>
    <n v="-12.99"/>
    <s v="Lidl xaqueta beig"/>
    <x v="1"/>
  </r>
  <r>
    <x v="292"/>
    <x v="5"/>
    <x v="2"/>
    <n v="-14.53"/>
    <s v="Lidl"/>
    <x v="2"/>
  </r>
  <r>
    <x v="293"/>
    <x v="20"/>
    <x v="13"/>
    <n v="-21"/>
    <s v="Parking Ayto"/>
    <x v="1"/>
  </r>
  <r>
    <x v="293"/>
    <x v="20"/>
    <x v="10"/>
    <n v="-74"/>
    <s v="Gym Aspresso"/>
    <x v="2"/>
  </r>
  <r>
    <x v="293"/>
    <x v="19"/>
    <x v="28"/>
    <n v="-1066.7"/>
    <s v="IRPF 2024 2_2"/>
    <x v="1"/>
  </r>
  <r>
    <x v="293"/>
    <x v="7"/>
    <x v="2"/>
    <n v="-9.35"/>
    <s v="Mercat fruta"/>
    <x v="2"/>
  </r>
  <r>
    <x v="293"/>
    <x v="5"/>
    <x v="17"/>
    <n v="-63.98"/>
    <s v="Springfield chaqueta y vestido"/>
    <x v="1"/>
  </r>
  <r>
    <x v="293"/>
    <x v="5"/>
    <x v="17"/>
    <n v="-42.31"/>
    <s v="Springfield chaqueta"/>
    <x v="1"/>
  </r>
  <r>
    <x v="293"/>
    <x v="26"/>
    <x v="7"/>
    <n v="-200"/>
    <s v="Traspaso"/>
    <x v="0"/>
  </r>
  <r>
    <x v="293"/>
    <x v="27"/>
    <x v="7"/>
    <n v="200"/>
    <s v="Traspaso"/>
    <x v="0"/>
  </r>
  <r>
    <x v="293"/>
    <x v="26"/>
    <x v="4"/>
    <n v="-1.3"/>
    <s v="Almuerzo"/>
    <x v="0"/>
  </r>
  <r>
    <x v="293"/>
    <x v="26"/>
    <x v="27"/>
    <n v="-101.13"/>
    <s v="Casa"/>
    <x v="2"/>
  </r>
  <r>
    <x v="294"/>
    <x v="26"/>
    <x v="4"/>
    <n v="-1.3"/>
    <s v="Almuerzo"/>
    <x v="0"/>
  </r>
  <r>
    <x v="294"/>
    <x v="26"/>
    <x v="1"/>
    <n v="0.49"/>
    <s v="Intereses"/>
    <x v="0"/>
  </r>
  <r>
    <x v="294"/>
    <x v="26"/>
    <x v="10"/>
    <n v="-6"/>
    <s v="pádel"/>
    <x v="0"/>
  </r>
  <r>
    <x v="294"/>
    <x v="7"/>
    <x v="21"/>
    <n v="-122"/>
    <s v="Pelu SAB Saray corte, mechas y tinte"/>
    <x v="1"/>
  </r>
  <r>
    <x v="294"/>
    <x v="7"/>
    <x v="9"/>
    <n v="300"/>
    <s v="Diners tio"/>
    <x v="1"/>
  </r>
  <r>
    <x v="294"/>
    <x v="5"/>
    <x v="2"/>
    <n v="-12.34"/>
    <s v="Carrefour"/>
    <x v="2"/>
  </r>
  <r>
    <x v="295"/>
    <x v="20"/>
    <x v="1"/>
    <n v="787.79"/>
    <s v="Int Letras"/>
    <x v="1"/>
  </r>
  <r>
    <x v="295"/>
    <x v="20"/>
    <x v="7"/>
    <n v="-800"/>
    <m/>
    <x v="1"/>
  </r>
  <r>
    <x v="295"/>
    <x v="21"/>
    <x v="7"/>
    <n v="800"/>
    <m/>
    <x v="1"/>
  </r>
  <r>
    <x v="295"/>
    <x v="5"/>
    <x v="2"/>
    <n v="-2.4900000000000002"/>
    <s v="Lidl"/>
    <x v="2"/>
  </r>
  <r>
    <x v="295"/>
    <x v="26"/>
    <x v="7"/>
    <n v="-200"/>
    <s v="Traspaso"/>
    <x v="0"/>
  </r>
  <r>
    <x v="295"/>
    <x v="27"/>
    <x v="7"/>
    <n v="200"/>
    <s v="Traspaso"/>
    <x v="0"/>
  </r>
  <r>
    <x v="295"/>
    <x v="26"/>
    <x v="4"/>
    <n v="-1.3"/>
    <s v="Almuerzo"/>
    <x v="0"/>
  </r>
  <r>
    <x v="295"/>
    <x v="9"/>
    <x v="1"/>
    <n v="-22.5"/>
    <s v="Comisión traspaso"/>
    <x v="0"/>
  </r>
  <r>
    <x v="295"/>
    <x v="9"/>
    <x v="7"/>
    <n v="-14977.5"/>
    <s v="Traspaso"/>
    <x v="0"/>
  </r>
  <r>
    <x v="295"/>
    <x v="10"/>
    <x v="7"/>
    <n v="14977.5"/>
    <s v="Traspaso"/>
    <x v="0"/>
  </r>
  <r>
    <x v="295"/>
    <x v="10"/>
    <x v="7"/>
    <n v="-6000"/>
    <s v="Traspaso"/>
    <x v="0"/>
  </r>
  <r>
    <x v="295"/>
    <x v="12"/>
    <x v="7"/>
    <n v="6000"/>
    <s v="Traspaso"/>
    <x v="0"/>
  </r>
  <r>
    <x v="295"/>
    <x v="10"/>
    <x v="7"/>
    <n v="-8977.5"/>
    <s v="Traspaso"/>
    <x v="0"/>
  </r>
  <r>
    <x v="295"/>
    <x v="14"/>
    <x v="7"/>
    <n v="8977.5"/>
    <s v="Traspaso"/>
    <x v="0"/>
  </r>
  <r>
    <x v="295"/>
    <x v="12"/>
    <x v="7"/>
    <n v="-500"/>
    <s v="Traspaso"/>
    <x v="0"/>
  </r>
  <r>
    <x v="295"/>
    <x v="26"/>
    <x v="7"/>
    <n v="500"/>
    <s v="Traspaso"/>
    <x v="0"/>
  </r>
  <r>
    <x v="296"/>
    <x v="7"/>
    <x v="4"/>
    <n v="-29.5"/>
    <s v="Esmorzar amigues"/>
    <x v="1"/>
  </r>
  <r>
    <x v="296"/>
    <x v="26"/>
    <x v="2"/>
    <n v="-128.15"/>
    <s v="Mercadona"/>
    <x v="2"/>
  </r>
  <r>
    <x v="297"/>
    <x v="26"/>
    <x v="12"/>
    <n v="-8.7100000000000009"/>
    <s v="Plantas huerto"/>
    <x v="2"/>
  </r>
  <r>
    <x v="298"/>
    <x v="14"/>
    <x v="7"/>
    <n v="-1000"/>
    <s v="Traspaso"/>
    <x v="0"/>
  </r>
  <r>
    <x v="298"/>
    <x v="23"/>
    <x v="7"/>
    <n v="1000"/>
    <s v="Traspaso"/>
    <x v="0"/>
  </r>
  <r>
    <x v="298"/>
    <x v="26"/>
    <x v="4"/>
    <n v="-1.3"/>
    <s v="Almuerzo"/>
    <x v="0"/>
  </r>
  <r>
    <x v="298"/>
    <x v="13"/>
    <x v="28"/>
    <n v="-116"/>
    <s v="Impto Basura"/>
    <x v="0"/>
  </r>
  <r>
    <x v="298"/>
    <x v="7"/>
    <x v="4"/>
    <n v="-2.6"/>
    <s v="Macha Latte"/>
    <x v="1"/>
  </r>
  <r>
    <x v="298"/>
    <x v="35"/>
    <x v="14"/>
    <n v="-10"/>
    <s v="Décimo ayto La Pobla"/>
    <x v="2"/>
  </r>
  <r>
    <x v="298"/>
    <x v="7"/>
    <x v="29"/>
    <n v="-1.9"/>
    <s v="Chino"/>
    <x v="2"/>
  </r>
  <r>
    <x v="299"/>
    <x v="35"/>
    <x v="14"/>
    <n v="-20"/>
    <s v="Fondo Lotería ayto"/>
    <x v="1"/>
  </r>
  <r>
    <x v="299"/>
    <x v="7"/>
    <x v="29"/>
    <n v="-112.5"/>
    <s v="Rev placas solares Nerosolar"/>
    <x v="2"/>
  </r>
  <r>
    <x v="299"/>
    <x v="26"/>
    <x v="4"/>
    <n v="-1.3"/>
    <s v="Almuerzo"/>
    <x v="0"/>
  </r>
  <r>
    <x v="299"/>
    <x v="26"/>
    <x v="14"/>
    <n v="-4"/>
    <s v="Eurojackpot"/>
    <x v="2"/>
  </r>
  <r>
    <x v="300"/>
    <x v="20"/>
    <x v="18"/>
    <n v="-35"/>
    <s v="Lowi"/>
    <x v="2"/>
  </r>
  <r>
    <x v="300"/>
    <x v="7"/>
    <x v="2"/>
    <n v="-10.199999999999999"/>
    <s v="Mercat fruta"/>
    <x v="2"/>
  </r>
  <r>
    <x v="300"/>
    <x v="7"/>
    <x v="11"/>
    <n v="-3.4"/>
    <s v="Brintellix"/>
    <x v="1"/>
  </r>
  <r>
    <x v="300"/>
    <x v="17"/>
    <x v="29"/>
    <n v="-150"/>
    <s v="Donación AECC"/>
    <x v="1"/>
  </r>
  <r>
    <x v="300"/>
    <x v="26"/>
    <x v="4"/>
    <n v="-1.3"/>
    <s v="Almuerzo"/>
    <x v="0"/>
  </r>
  <r>
    <x v="300"/>
    <x v="26"/>
    <x v="11"/>
    <n v="-3.72"/>
    <s v="Tevetens, afloyan y besitrans"/>
    <x v="0"/>
  </r>
  <r>
    <x v="300"/>
    <x v="12"/>
    <x v="7"/>
    <n v="-1000"/>
    <s v="Traspaso"/>
    <x v="0"/>
  </r>
  <r>
    <x v="300"/>
    <x v="13"/>
    <x v="7"/>
    <n v="1000"/>
    <s v="Traspaso"/>
    <x v="0"/>
  </r>
  <r>
    <x v="300"/>
    <x v="13"/>
    <x v="7"/>
    <n v="-995.78"/>
    <s v="Traspaso"/>
    <x v="0"/>
  </r>
  <r>
    <x v="300"/>
    <x v="56"/>
    <x v="7"/>
    <n v="995.78"/>
    <s v="Traspaso"/>
    <x v="0"/>
  </r>
  <r>
    <x v="300"/>
    <x v="14"/>
    <x v="7"/>
    <n v="-6000"/>
    <s v="Traspaso"/>
    <x v="0"/>
  </r>
  <r>
    <x v="300"/>
    <x v="56"/>
    <x v="7"/>
    <n v="6000"/>
    <s v="Traspaso"/>
    <x v="0"/>
  </r>
  <r>
    <x v="300"/>
    <x v="12"/>
    <x v="7"/>
    <n v="-3500"/>
    <s v="Traspaso"/>
    <x v="0"/>
  </r>
  <r>
    <x v="300"/>
    <x v="56"/>
    <x v="7"/>
    <n v="3500"/>
    <s v="Traspaso"/>
    <x v="0"/>
  </r>
  <r>
    <x v="301"/>
    <x v="26"/>
    <x v="4"/>
    <n v="-1.3"/>
    <s v="Almuerzo"/>
    <x v="0"/>
  </r>
  <r>
    <x v="301"/>
    <x v="12"/>
    <x v="7"/>
    <n v="-1100"/>
    <s v="Traspaso"/>
    <x v="0"/>
  </r>
  <r>
    <x v="301"/>
    <x v="14"/>
    <x v="7"/>
    <n v="1100"/>
    <s v="Traspaso"/>
    <x v="0"/>
  </r>
  <r>
    <x v="301"/>
    <x v="14"/>
    <x v="7"/>
    <n v="-2001"/>
    <s v="Traspaso"/>
    <x v="0"/>
  </r>
  <r>
    <x v="301"/>
    <x v="57"/>
    <x v="7"/>
    <n v="2001"/>
    <s v="Traspaso"/>
    <x v="0"/>
  </r>
  <r>
    <x v="301"/>
    <x v="26"/>
    <x v="10"/>
    <n v="-6"/>
    <s v="Pádel"/>
    <x v="0"/>
  </r>
  <r>
    <x v="301"/>
    <x v="14"/>
    <x v="7"/>
    <n v="-1000"/>
    <s v="Traspaso"/>
    <x v="0"/>
  </r>
  <r>
    <x v="301"/>
    <x v="37"/>
    <x v="7"/>
    <n v="1000"/>
    <s v="Traspaso"/>
    <x v="0"/>
  </r>
  <r>
    <x v="302"/>
    <x v="26"/>
    <x v="4"/>
    <n v="-7.5"/>
    <s v="Almuerzo"/>
    <x v="0"/>
  </r>
  <r>
    <x v="302"/>
    <x v="26"/>
    <x v="10"/>
    <n v="-7.5"/>
    <s v="Pádel"/>
    <x v="0"/>
  </r>
  <r>
    <x v="302"/>
    <x v="26"/>
    <x v="2"/>
    <n v="-116.68"/>
    <s v="Mercadona"/>
    <x v="2"/>
  </r>
  <r>
    <x v="302"/>
    <x v="12"/>
    <x v="1"/>
    <n v="0.72"/>
    <s v="Intereses"/>
    <x v="0"/>
  </r>
  <r>
    <x v="302"/>
    <x v="19"/>
    <x v="1"/>
    <n v="24.47"/>
    <s v="Intereses"/>
    <x v="1"/>
  </r>
  <r>
    <x v="302"/>
    <x v="7"/>
    <x v="13"/>
    <n v="-2.85"/>
    <s v="Parking Fisio"/>
    <x v="1"/>
  </r>
  <r>
    <x v="303"/>
    <x v="7"/>
    <x v="29"/>
    <n v="-17"/>
    <s v="Mercat medieval"/>
    <x v="2"/>
  </r>
  <r>
    <x v="304"/>
    <x v="26"/>
    <x v="10"/>
    <n v="-7.75"/>
    <s v="Pádel"/>
    <x v="0"/>
  </r>
  <r>
    <x v="304"/>
    <x v="7"/>
    <x v="2"/>
    <n v="-12.5"/>
    <s v="Dinar"/>
    <x v="2"/>
  </r>
  <r>
    <x v="305"/>
    <x v="7"/>
    <x v="29"/>
    <n v="-36"/>
    <s v="Neteja Sonia"/>
    <x v="2"/>
  </r>
  <r>
    <x v="305"/>
    <x v="13"/>
    <x v="17"/>
    <n v="-20.71"/>
    <s v="Zapatillas"/>
    <x v="0"/>
  </r>
  <r>
    <x v="306"/>
    <x v="26"/>
    <x v="4"/>
    <n v="-1.3"/>
    <s v="Almuerzo"/>
    <x v="0"/>
  </r>
  <r>
    <x v="306"/>
    <x v="26"/>
    <x v="14"/>
    <n v="-4"/>
    <s v="Eurojackpot"/>
    <x v="2"/>
  </r>
  <r>
    <x v="306"/>
    <x v="13"/>
    <x v="7"/>
    <n v="-49"/>
    <s v="Traspaso"/>
    <x v="0"/>
  </r>
  <r>
    <x v="306"/>
    <x v="8"/>
    <x v="7"/>
    <n v="49"/>
    <s v="Traspaso"/>
    <x v="0"/>
  </r>
  <r>
    <x v="306"/>
    <x v="8"/>
    <x v="1"/>
    <n v="-49"/>
    <s v="Ledger (cartera fría)"/>
    <x v="0"/>
  </r>
  <r>
    <x v="306"/>
    <x v="1"/>
    <x v="7"/>
    <n v="-6430"/>
    <s v="Traspaso"/>
    <x v="0"/>
  </r>
  <r>
    <x v="306"/>
    <x v="58"/>
    <x v="7"/>
    <n v="6430"/>
    <s v="Traspaso"/>
    <x v="0"/>
  </r>
  <r>
    <x v="306"/>
    <x v="7"/>
    <x v="9"/>
    <n v="-3.9"/>
    <s v="Caixeta regal Julia"/>
    <x v="1"/>
  </r>
  <r>
    <x v="306"/>
    <x v="7"/>
    <x v="2"/>
    <n v="-11"/>
    <s v="Taronges"/>
    <x v="2"/>
  </r>
  <r>
    <x v="306"/>
    <x v="5"/>
    <x v="2"/>
    <n v="-7.93"/>
    <s v="Carrefour"/>
    <x v="2"/>
  </r>
  <r>
    <x v="306"/>
    <x v="5"/>
    <x v="23"/>
    <n v="-20.14"/>
    <s v="Druni"/>
    <x v="1"/>
  </r>
  <r>
    <x v="307"/>
    <x v="7"/>
    <x v="9"/>
    <n v="500"/>
    <s v="Diners tio"/>
    <x v="1"/>
  </r>
  <r>
    <x v="307"/>
    <x v="7"/>
    <x v="12"/>
    <n v="-50"/>
    <s v="Antón encargo screens"/>
    <x v="2"/>
  </r>
  <r>
    <x v="307"/>
    <x v="56"/>
    <x v="4"/>
    <n v="-1.3"/>
    <s v="Almuerzo"/>
    <x v="0"/>
  </r>
  <r>
    <x v="308"/>
    <x v="56"/>
    <x v="4"/>
    <n v="-1.3"/>
    <s v="Almuerzo"/>
    <x v="0"/>
  </r>
  <r>
    <x v="308"/>
    <x v="56"/>
    <x v="10"/>
    <n v="-7.5"/>
    <s v="Pádel"/>
    <x v="0"/>
  </r>
  <r>
    <x v="308"/>
    <x v="7"/>
    <x v="11"/>
    <n v="-80"/>
    <s v="Psico Amparo"/>
    <x v="1"/>
  </r>
  <r>
    <x v="308"/>
    <x v="35"/>
    <x v="4"/>
    <n v="-35"/>
    <s v="Dinar Rec"/>
    <x v="1"/>
  </r>
  <r>
    <x v="308"/>
    <x v="5"/>
    <x v="2"/>
    <n v="-6.07"/>
    <s v="Lidl"/>
    <x v="2"/>
  </r>
  <r>
    <x v="308"/>
    <x v="5"/>
    <x v="29"/>
    <n v="8.99"/>
    <s v="devol suéter Lidl"/>
    <x v="1"/>
  </r>
  <r>
    <x v="309"/>
    <x v="35"/>
    <x v="2"/>
    <n v="-12.5"/>
    <s v="Polvorons"/>
    <x v="2"/>
  </r>
  <r>
    <x v="309"/>
    <x v="56"/>
    <x v="4"/>
    <n v="-1.3"/>
    <s v="Almuerzo"/>
    <x v="0"/>
  </r>
  <r>
    <x v="309"/>
    <x v="26"/>
    <x v="7"/>
    <n v="-472.52"/>
    <s v="Traspaso"/>
    <x v="0"/>
  </r>
  <r>
    <x v="309"/>
    <x v="27"/>
    <x v="7"/>
    <n v="472.52"/>
    <s v="Traspaso"/>
    <x v="0"/>
  </r>
  <r>
    <x v="309"/>
    <x v="23"/>
    <x v="7"/>
    <n v="-3916.38"/>
    <s v="Traspaso"/>
    <x v="0"/>
  </r>
  <r>
    <x v="309"/>
    <x v="13"/>
    <x v="7"/>
    <n v="3916.38"/>
    <s v="Traspaso"/>
    <x v="0"/>
  </r>
  <r>
    <x v="309"/>
    <x v="13"/>
    <x v="7"/>
    <n v="-2000"/>
    <s v="Traspaso"/>
    <x v="0"/>
  </r>
  <r>
    <x v="309"/>
    <x v="37"/>
    <x v="7"/>
    <n v="2000"/>
    <s v="Traspaso"/>
    <x v="0"/>
  </r>
  <r>
    <x v="309"/>
    <x v="13"/>
    <x v="7"/>
    <n v="-1800"/>
    <s v="Traspaso"/>
    <x v="0"/>
  </r>
  <r>
    <x v="309"/>
    <x v="38"/>
    <x v="7"/>
    <n v="1800"/>
    <s v="Traspaso"/>
    <x v="0"/>
  </r>
  <r>
    <x v="309"/>
    <x v="56"/>
    <x v="2"/>
    <n v="-101.3"/>
    <s v="Mercadona"/>
    <x v="2"/>
  </r>
  <r>
    <x v="310"/>
    <x v="5"/>
    <x v="16"/>
    <n v="-50.65"/>
    <s v="Gasóleo"/>
    <x v="2"/>
  </r>
  <r>
    <x v="310"/>
    <x v="7"/>
    <x v="9"/>
    <n v="50"/>
    <s v="Diners Mama"/>
    <x v="1"/>
  </r>
  <r>
    <x v="311"/>
    <x v="7"/>
    <x v="4"/>
    <n v="-37.5"/>
    <s v="Dinar Los Maños"/>
    <x v="2"/>
  </r>
  <r>
    <x v="312"/>
    <x v="5"/>
    <x v="2"/>
    <n v="-10.14"/>
    <s v="Lidl"/>
    <x v="2"/>
  </r>
  <r>
    <x v="312"/>
    <x v="5"/>
    <x v="9"/>
    <n v="-3.49"/>
    <s v="Puzzle Julia"/>
    <x v="1"/>
  </r>
  <r>
    <x v="312"/>
    <x v="7"/>
    <x v="29"/>
    <n v="-7.5"/>
    <s v="Piles botó"/>
    <x v="2"/>
  </r>
  <r>
    <x v="312"/>
    <x v="56"/>
    <x v="4"/>
    <n v="-1.3"/>
    <s v="Almuerzo"/>
    <x v="0"/>
  </r>
  <r>
    <x v="313"/>
    <x v="56"/>
    <x v="16"/>
    <n v="-70.010000000000005"/>
    <s v="Combustible"/>
    <x v="2"/>
  </r>
  <r>
    <x v="313"/>
    <x v="56"/>
    <x v="4"/>
    <n v="-1.3"/>
    <s v="Almuerzo"/>
    <x v="0"/>
  </r>
  <r>
    <x v="313"/>
    <x v="56"/>
    <x v="14"/>
    <n v="-4"/>
    <s v="Eurojackpot"/>
    <x v="2"/>
  </r>
  <r>
    <x v="313"/>
    <x v="7"/>
    <x v="21"/>
    <n v="-60"/>
    <s v="Pallardó"/>
    <x v="1"/>
  </r>
  <r>
    <x v="314"/>
    <x v="19"/>
    <x v="22"/>
    <n v="1936.61"/>
    <s v="Nómina"/>
    <x v="1"/>
  </r>
  <r>
    <x v="314"/>
    <x v="7"/>
    <x v="29"/>
    <n v="-4.99"/>
    <s v="Mantel Aldi"/>
    <x v="2"/>
  </r>
  <r>
    <x v="314"/>
    <x v="7"/>
    <x v="4"/>
    <n v="-8.2100000000000009"/>
    <s v="Puzzles Aldi"/>
    <x v="1"/>
  </r>
  <r>
    <x v="314"/>
    <x v="7"/>
    <x v="9"/>
    <n v="-4.99"/>
    <s v="Regal Mama Aldi"/>
    <x v="1"/>
  </r>
  <r>
    <x v="314"/>
    <x v="13"/>
    <x v="7"/>
    <n v="-800.12"/>
    <s v="Traspaso"/>
    <x v="0"/>
  </r>
  <r>
    <x v="314"/>
    <x v="14"/>
    <x v="7"/>
    <n v="800.12"/>
    <s v="Traspaso"/>
    <x v="0"/>
  </r>
  <r>
    <x v="314"/>
    <x v="36"/>
    <x v="7"/>
    <n v="-832.2"/>
    <s v="Traspaso"/>
    <x v="0"/>
  </r>
  <r>
    <x v="314"/>
    <x v="26"/>
    <x v="7"/>
    <n v="832.2"/>
    <s v="Traspaso"/>
    <x v="0"/>
  </r>
  <r>
    <x v="314"/>
    <x v="13"/>
    <x v="7"/>
    <n v="-932.2"/>
    <s v="Traspaso"/>
    <x v="0"/>
  </r>
  <r>
    <x v="314"/>
    <x v="36"/>
    <x v="7"/>
    <n v="932.2"/>
    <s v="Traspaso"/>
    <x v="0"/>
  </r>
  <r>
    <x v="314"/>
    <x v="56"/>
    <x v="7"/>
    <n v="-1785.65"/>
    <s v="Traspaso"/>
    <x v="0"/>
  </r>
  <r>
    <x v="314"/>
    <x v="13"/>
    <x v="7"/>
    <n v="1785.65"/>
    <s v="Traspaso"/>
    <x v="0"/>
  </r>
  <r>
    <x v="314"/>
    <x v="56"/>
    <x v="22"/>
    <n v="1981.78"/>
    <s v="Nómina"/>
    <x v="0"/>
  </r>
  <r>
    <x v="314"/>
    <x v="56"/>
    <x v="4"/>
    <n v="-1.3"/>
    <s v="Almuerzo"/>
    <x v="0"/>
  </r>
  <r>
    <x v="314"/>
    <x v="26"/>
    <x v="7"/>
    <n v="-1000"/>
    <s v="Traspaso"/>
    <x v="0"/>
  </r>
  <r>
    <x v="314"/>
    <x v="27"/>
    <x v="7"/>
    <n v="1000"/>
    <s v="Traspaso"/>
    <x v="0"/>
  </r>
  <r>
    <x v="315"/>
    <x v="56"/>
    <x v="4"/>
    <n v="-1.3"/>
    <s v="Almuerzo"/>
    <x v="0"/>
  </r>
  <r>
    <x v="315"/>
    <x v="56"/>
    <x v="10"/>
    <n v="-6"/>
    <s v="Pádel"/>
    <x v="0"/>
  </r>
  <r>
    <x v="315"/>
    <x v="20"/>
    <x v="7"/>
    <n v="-340.73"/>
    <s v="Traspaso"/>
    <x v="1"/>
  </r>
  <r>
    <x v="315"/>
    <x v="5"/>
    <x v="7"/>
    <n v="340.73"/>
    <s v="Traspaso"/>
    <x v="1"/>
  </r>
  <r>
    <x v="315"/>
    <x v="19"/>
    <x v="7"/>
    <n v="-1000"/>
    <s v="Traspaso"/>
    <x v="1"/>
  </r>
  <r>
    <x v="315"/>
    <x v="20"/>
    <x v="7"/>
    <n v="1000"/>
    <s v="Traspaso"/>
    <x v="1"/>
  </r>
  <r>
    <x v="315"/>
    <x v="5"/>
    <x v="2"/>
    <n v="-9.08"/>
    <s v="Lidl"/>
    <x v="2"/>
  </r>
  <r>
    <x v="316"/>
    <x v="5"/>
    <x v="4"/>
    <n v="-33"/>
    <s v="Sopar Villatoya"/>
    <x v="2"/>
  </r>
  <r>
    <x v="316"/>
    <x v="5"/>
    <x v="16"/>
    <n v="-37.770000000000003"/>
    <s v="Gasóleo"/>
    <x v="2"/>
  </r>
  <r>
    <x v="316"/>
    <x v="5"/>
    <x v="9"/>
    <n v="-139.1"/>
    <s v="Regal Bruno i Julia Nadal"/>
    <x v="1"/>
  </r>
  <r>
    <x v="316"/>
    <x v="5"/>
    <x v="4"/>
    <n v="-210.04"/>
    <s v="Cabanyes Villatoya"/>
    <x v="2"/>
  </r>
  <r>
    <x v="316"/>
    <x v="13"/>
    <x v="14"/>
    <n v="-60"/>
    <s v="Cargar Lotobolsa"/>
    <x v="2"/>
  </r>
  <r>
    <x v="316"/>
    <x v="13"/>
    <x v="1"/>
    <n v="-20"/>
    <s v="Comisión"/>
    <x v="0"/>
  </r>
  <r>
    <x v="316"/>
    <x v="56"/>
    <x v="11"/>
    <n v="-8.34"/>
    <s v="Medicamentos"/>
    <x v="0"/>
  </r>
  <r>
    <x v="316"/>
    <x v="13"/>
    <x v="12"/>
    <n v="-14.44"/>
    <s v="Base con ruedas"/>
    <x v="2"/>
  </r>
  <r>
    <x v="317"/>
    <x v="20"/>
    <x v="30"/>
    <n v="100"/>
    <s v="Arrend trastero"/>
    <x v="2"/>
  </r>
  <r>
    <x v="317"/>
    <x v="7"/>
    <x v="4"/>
    <n v="-60"/>
    <s v="dinar Jorquera"/>
    <x v="2"/>
  </r>
  <r>
    <x v="318"/>
    <x v="20"/>
    <x v="11"/>
    <n v="-57.71"/>
    <s v="Mapfre salud"/>
    <x v="1"/>
  </r>
  <r>
    <x v="318"/>
    <x v="7"/>
    <x v="4"/>
    <n v="-10.4"/>
    <s v="Esmorzar Requena"/>
    <x v="2"/>
  </r>
  <r>
    <x v="318"/>
    <x v="17"/>
    <x v="1"/>
    <n v="0.1"/>
    <m/>
    <x v="1"/>
  </r>
  <r>
    <x v="318"/>
    <x v="21"/>
    <x v="1"/>
    <n v="52.42"/>
    <s v="Int"/>
    <x v="1"/>
  </r>
  <r>
    <x v="318"/>
    <x v="35"/>
    <x v="1"/>
    <n v="43.11"/>
    <s v="Int"/>
    <x v="1"/>
  </r>
  <r>
    <x v="318"/>
    <x v="13"/>
    <x v="7"/>
    <n v="-205.56"/>
    <s v="Traspaso"/>
    <x v="0"/>
  </r>
  <r>
    <x v="318"/>
    <x v="14"/>
    <x v="7"/>
    <n v="205.56"/>
    <s v="Traspaso"/>
    <x v="0"/>
  </r>
  <r>
    <x v="318"/>
    <x v="33"/>
    <x v="1"/>
    <n v="0.06"/>
    <s v="Intereses"/>
    <x v="0"/>
  </r>
  <r>
    <x v="318"/>
    <x v="14"/>
    <x v="1"/>
    <n v="3.33"/>
    <s v="Intereses"/>
    <x v="0"/>
  </r>
  <r>
    <x v="318"/>
    <x v="56"/>
    <x v="2"/>
    <n v="-78.150000000000006"/>
    <s v="Comida"/>
    <x v="2"/>
  </r>
  <r>
    <x v="318"/>
    <x v="26"/>
    <x v="3"/>
    <n v="800"/>
    <s v="Diciembre"/>
    <x v="0"/>
  </r>
  <r>
    <x v="318"/>
    <x v="56"/>
    <x v="5"/>
    <n v="-35.880000000000003"/>
    <s v="Piso"/>
    <x v="0"/>
  </r>
  <r>
    <x v="319"/>
    <x v="56"/>
    <x v="4"/>
    <n v="-1.3"/>
    <s v="Almuerzo"/>
    <x v="0"/>
  </r>
  <r>
    <x v="319"/>
    <x v="56"/>
    <x v="14"/>
    <n v="-4"/>
    <s v="Eurojackpot"/>
    <x v="2"/>
  </r>
  <r>
    <x v="319"/>
    <x v="56"/>
    <x v="12"/>
    <n v="-10.039999999999999"/>
    <s v="Memoria USB"/>
    <x v="0"/>
  </r>
  <r>
    <x v="319"/>
    <x v="14"/>
    <x v="7"/>
    <n v="-99.91"/>
    <s v="Traspaso"/>
    <x v="0"/>
  </r>
  <r>
    <x v="319"/>
    <x v="58"/>
    <x v="7"/>
    <n v="99.91"/>
    <s v="Traspaso"/>
    <x v="0"/>
  </r>
  <r>
    <x v="319"/>
    <x v="14"/>
    <x v="7"/>
    <n v="-100"/>
    <s v="Traspaso"/>
    <x v="0"/>
  </r>
  <r>
    <x v="319"/>
    <x v="1"/>
    <x v="7"/>
    <n v="100"/>
    <s v="Traspaso"/>
    <x v="0"/>
  </r>
  <r>
    <x v="319"/>
    <x v="56"/>
    <x v="5"/>
    <n v="-100"/>
    <s v="Casa"/>
    <x v="2"/>
  </r>
  <r>
    <x v="319"/>
    <x v="21"/>
    <x v="7"/>
    <n v="-70"/>
    <s v="Traspaso"/>
    <x v="1"/>
  </r>
  <r>
    <x v="319"/>
    <x v="32"/>
    <x v="7"/>
    <n v="70"/>
    <s v="Traspaso"/>
    <x v="1"/>
  </r>
  <r>
    <x v="319"/>
    <x v="20"/>
    <x v="29"/>
    <n v="-10.48"/>
    <s v="Ocaso seguro"/>
    <x v="1"/>
  </r>
  <r>
    <x v="319"/>
    <x v="7"/>
    <x v="29"/>
    <n v="-36"/>
    <s v="Neteja Sonia"/>
    <x v="2"/>
  </r>
  <r>
    <x v="319"/>
    <x v="17"/>
    <x v="30"/>
    <n v="2"/>
    <s v="Venta Wallapop planchador"/>
    <x v="1"/>
  </r>
  <r>
    <x v="320"/>
    <x v="20"/>
    <x v="10"/>
    <n v="-74"/>
    <s v="Gym Aspresso"/>
    <x v="2"/>
  </r>
  <r>
    <x v="320"/>
    <x v="7"/>
    <x v="2"/>
    <n v="-6"/>
    <s v="Taronges"/>
    <x v="2"/>
  </r>
  <r>
    <x v="320"/>
    <x v="7"/>
    <x v="2"/>
    <n v="-10.32"/>
    <s v="Mercat"/>
    <x v="2"/>
  </r>
  <r>
    <x v="320"/>
    <x v="7"/>
    <x v="17"/>
    <n v="-14"/>
    <s v="Suéter gris Mercat Rosario"/>
    <x v="1"/>
  </r>
  <r>
    <x v="320"/>
    <x v="7"/>
    <x v="9"/>
    <n v="500"/>
    <s v="Diners tio"/>
    <x v="1"/>
  </r>
  <r>
    <x v="320"/>
    <x v="19"/>
    <x v="4"/>
    <n v="-170"/>
    <s v="Reserva Retiro Beniarbeig"/>
    <x v="1"/>
  </r>
  <r>
    <x v="320"/>
    <x v="56"/>
    <x v="4"/>
    <n v="-1.3"/>
    <s v="Almuerzo"/>
    <x v="0"/>
  </r>
  <r>
    <x v="320"/>
    <x v="26"/>
    <x v="1"/>
    <n v="0.47"/>
    <s v="Intereses"/>
    <x v="0"/>
  </r>
  <r>
    <x v="320"/>
    <x v="36"/>
    <x v="8"/>
    <n v="-76.78"/>
    <s v="Noviembre"/>
    <x v="0"/>
  </r>
  <r>
    <x v="321"/>
    <x v="56"/>
    <x v="4"/>
    <n v="-1.3"/>
    <s v="Almuerzo"/>
    <x v="0"/>
  </r>
  <r>
    <x v="321"/>
    <x v="26"/>
    <x v="7"/>
    <n v="-175"/>
    <s v="Traspaso"/>
    <x v="0"/>
  </r>
  <r>
    <x v="321"/>
    <x v="36"/>
    <x v="7"/>
    <n v="175"/>
    <s v="Traspaso"/>
    <x v="0"/>
  </r>
  <r>
    <x v="321"/>
    <x v="7"/>
    <x v="21"/>
    <n v="-25"/>
    <s v="Depil láser brazos Pallardó"/>
    <x v="1"/>
  </r>
  <r>
    <x v="321"/>
    <x v="7"/>
    <x v="21"/>
    <n v="-280"/>
    <s v="Bono Indiba Pallardó 4 sesiones"/>
    <x v="1"/>
  </r>
  <r>
    <x v="322"/>
    <x v="21"/>
    <x v="8"/>
    <n v="76.78"/>
    <s v="Gastos noviembre"/>
    <x v="1"/>
  </r>
  <r>
    <x v="322"/>
    <x v="20"/>
    <x v="13"/>
    <n v="-21"/>
    <s v="Parking Ayto"/>
    <x v="1"/>
  </r>
  <r>
    <x v="322"/>
    <x v="20"/>
    <x v="12"/>
    <n v="-246.52"/>
    <s v="Screens Antón 2_2"/>
    <x v="2"/>
  </r>
  <r>
    <x v="322"/>
    <x v="5"/>
    <x v="2"/>
    <n v="-13.41"/>
    <s v="Carrefour"/>
    <x v="2"/>
  </r>
  <r>
    <x v="322"/>
    <x v="5"/>
    <x v="9"/>
    <n v="-29.99"/>
    <s v="Baliza tío"/>
    <x v="1"/>
  </r>
  <r>
    <x v="322"/>
    <x v="5"/>
    <x v="13"/>
    <n v="-59.98"/>
    <s v="Balizas"/>
    <x v="2"/>
  </r>
  <r>
    <x v="322"/>
    <x v="56"/>
    <x v="4"/>
    <n v="-1.3"/>
    <s v="Almuerzo"/>
    <x v="0"/>
  </r>
  <r>
    <x v="322"/>
    <x v="56"/>
    <x v="12"/>
    <n v="-11.62"/>
    <s v="Radio linterna"/>
    <x v="2"/>
  </r>
  <r>
    <x v="322"/>
    <x v="36"/>
    <x v="1"/>
    <n v="-2.67"/>
    <s v="Cancelación cta Santander"/>
    <x v="0"/>
  </r>
  <r>
    <x v="323"/>
    <x v="35"/>
    <x v="29"/>
    <n v="-5"/>
    <s v="Flors Tina"/>
    <x v="1"/>
  </r>
  <r>
    <x v="323"/>
    <x v="7"/>
    <x v="4"/>
    <n v="-76.5"/>
    <s v="Dinar Javier"/>
    <x v="2"/>
  </r>
  <r>
    <x v="323"/>
    <x v="56"/>
    <x v="2"/>
    <n v="-102.28"/>
    <s v="Mercadona"/>
    <x v="2"/>
  </r>
  <r>
    <x v="324"/>
    <x v="14"/>
    <x v="7"/>
    <n v="-1000"/>
    <s v="Traspaso"/>
    <x v="0"/>
  </r>
  <r>
    <x v="324"/>
    <x v="23"/>
    <x v="7"/>
    <n v="1000"/>
    <s v="Traspaso"/>
    <x v="0"/>
  </r>
  <r>
    <x v="324"/>
    <x v="37"/>
    <x v="7"/>
    <n v="-14888"/>
    <s v="Traspaso"/>
    <x v="0"/>
  </r>
  <r>
    <x v="324"/>
    <x v="59"/>
    <x v="7"/>
    <n v="14888"/>
    <s v="Traspaso"/>
    <x v="0"/>
  </r>
  <r>
    <x v="324"/>
    <x v="56"/>
    <x v="12"/>
    <n v="-7.47"/>
    <s v="Plantas"/>
    <x v="2"/>
  </r>
  <r>
    <x v="324"/>
    <x v="24"/>
    <x v="7"/>
    <n v="-2130"/>
    <s v="Traspaso"/>
    <x v="0"/>
  </r>
  <r>
    <x v="324"/>
    <x v="59"/>
    <x v="7"/>
    <n v="2130"/>
    <s v="Traspaso"/>
    <x v="0"/>
  </r>
  <r>
    <x v="325"/>
    <x v="5"/>
    <x v="2"/>
    <n v="-7.32"/>
    <s v="Lidl"/>
    <x v="2"/>
  </r>
  <r>
    <x v="325"/>
    <x v="7"/>
    <x v="9"/>
    <n v="-9.9499999999999993"/>
    <s v="Placa habitació Julia"/>
    <x v="1"/>
  </r>
  <r>
    <x v="325"/>
    <x v="17"/>
    <x v="30"/>
    <n v="10"/>
    <s v="Vinted llibre Stradivarius"/>
    <x v="1"/>
  </r>
  <r>
    <x v="326"/>
    <x v="5"/>
    <x v="2"/>
    <n v="-5.81"/>
    <s v="Carrefour"/>
    <x v="2"/>
  </r>
  <r>
    <x v="326"/>
    <x v="17"/>
    <x v="30"/>
    <n v="40"/>
    <s v="Wallapop Gorro Burberrys"/>
    <x v="1"/>
  </r>
  <r>
    <x v="326"/>
    <x v="14"/>
    <x v="7"/>
    <n v="-100"/>
    <s v="Traspaso"/>
    <x v="0"/>
  </r>
  <r>
    <x v="326"/>
    <x v="1"/>
    <x v="7"/>
    <n v="100"/>
    <s v="Traspaso"/>
    <x v="0"/>
  </r>
  <r>
    <x v="326"/>
    <x v="14"/>
    <x v="7"/>
    <n v="-100"/>
    <s v="Traspaso"/>
    <x v="0"/>
  </r>
  <r>
    <x v="326"/>
    <x v="58"/>
    <x v="7"/>
    <n v="100"/>
    <s v="Traspaso"/>
    <x v="0"/>
  </r>
  <r>
    <x v="326"/>
    <x v="26"/>
    <x v="7"/>
    <n v="-200"/>
    <s v="Traspaso"/>
    <x v="0"/>
  </r>
  <r>
    <x v="326"/>
    <x v="27"/>
    <x v="7"/>
    <n v="200"/>
    <s v="Traspaso"/>
    <x v="0"/>
  </r>
  <r>
    <x v="326"/>
    <x v="56"/>
    <x v="14"/>
    <n v="-4"/>
    <s v="Eurojackpot"/>
    <x v="2"/>
  </r>
  <r>
    <x v="327"/>
    <x v="56"/>
    <x v="5"/>
    <n v="-110.07"/>
    <s v="Piso"/>
    <x v="0"/>
  </r>
  <r>
    <x v="327"/>
    <x v="56"/>
    <x v="12"/>
    <n v="-20.97"/>
    <s v="Varios Vivienda"/>
    <x v="2"/>
  </r>
  <r>
    <x v="327"/>
    <x v="12"/>
    <x v="7"/>
    <n v="-300.72000000000003"/>
    <s v="Traspaso"/>
    <x v="0"/>
  </r>
  <r>
    <x v="327"/>
    <x v="56"/>
    <x v="7"/>
    <n v="300.72000000000003"/>
    <s v="Traspaso"/>
    <x v="0"/>
  </r>
  <r>
    <x v="327"/>
    <x v="56"/>
    <x v="4"/>
    <n v="-1.3"/>
    <s v="Almuerzo"/>
    <x v="0"/>
  </r>
  <r>
    <x v="328"/>
    <x v="56"/>
    <x v="4"/>
    <n v="-1.3"/>
    <s v="Almuerzo"/>
    <x v="0"/>
  </r>
  <r>
    <x v="328"/>
    <x v="56"/>
    <x v="10"/>
    <n v="-6"/>
    <s v="Pádel"/>
    <x v="0"/>
  </r>
  <r>
    <x v="328"/>
    <x v="7"/>
    <x v="23"/>
    <n v="-90"/>
    <s v="Cremas Pallardó"/>
    <x v="1"/>
  </r>
  <r>
    <x v="328"/>
    <x v="20"/>
    <x v="29"/>
    <n v="-151.25"/>
    <s v="Tramitación ayudas placas Jordi"/>
    <x v="2"/>
  </r>
  <r>
    <x v="329"/>
    <x v="56"/>
    <x v="4"/>
    <n v="-1.3"/>
    <s v="Almuerzo"/>
    <x v="0"/>
  </r>
  <r>
    <x v="329"/>
    <x v="26"/>
    <x v="25"/>
    <n v="-76.5"/>
    <s v="Gas"/>
    <x v="2"/>
  </r>
  <r>
    <x v="329"/>
    <x v="12"/>
    <x v="1"/>
    <n v="1.8"/>
    <s v="Intereses"/>
    <x v="0"/>
  </r>
  <r>
    <x v="329"/>
    <x v="26"/>
    <x v="7"/>
    <n v="-105"/>
    <s v="Traspaso"/>
    <x v="0"/>
  </r>
  <r>
    <x v="329"/>
    <x v="54"/>
    <x v="7"/>
    <n v="105"/>
    <s v="Traspaso"/>
    <x v="0"/>
  </r>
  <r>
    <x v="329"/>
    <x v="26"/>
    <x v="7"/>
    <n v="-100"/>
    <s v="Traspaso"/>
    <x v="0"/>
  </r>
  <r>
    <x v="329"/>
    <x v="54"/>
    <x v="7"/>
    <n v="100"/>
    <s v="Traspaso"/>
    <x v="0"/>
  </r>
  <r>
    <x v="329"/>
    <x v="19"/>
    <x v="1"/>
    <n v="21.79"/>
    <s v="Intereses"/>
    <x v="1"/>
  </r>
  <r>
    <x v="329"/>
    <x v="20"/>
    <x v="18"/>
    <n v="-35.1"/>
    <s v="Lowi"/>
    <x v="2"/>
  </r>
  <r>
    <x v="329"/>
    <x v="7"/>
    <x v="11"/>
    <n v="-3.41"/>
    <s v="Brintellix"/>
    <x v="1"/>
  </r>
  <r>
    <x v="329"/>
    <x v="5"/>
    <x v="16"/>
    <n v="-33.549999999999997"/>
    <s v="Gasóleo"/>
    <x v="2"/>
  </r>
  <r>
    <x v="329"/>
    <x v="5"/>
    <x v="2"/>
    <n v="-13.04"/>
    <s v="Lidl"/>
    <x v="2"/>
  </r>
  <r>
    <x v="329"/>
    <x v="5"/>
    <x v="29"/>
    <n v="-19.98"/>
    <s v="Lidl bases plantas"/>
    <x v="2"/>
  </r>
  <r>
    <x v="329"/>
    <x v="7"/>
    <x v="11"/>
    <n v="-70"/>
    <s v="Nutricionista"/>
    <x v="1"/>
  </r>
  <r>
    <x v="330"/>
    <x v="56"/>
    <x v="2"/>
    <n v="-86.75"/>
    <s v="Mercadona"/>
    <x v="2"/>
  </r>
  <r>
    <x v="331"/>
    <x v="5"/>
    <x v="2"/>
    <n v="-6.69"/>
    <s v="Lidl"/>
    <x v="2"/>
  </r>
  <r>
    <x v="331"/>
    <x v="7"/>
    <x v="12"/>
    <n v="-150"/>
    <s v="Cambio cisterna"/>
    <x v="2"/>
  </r>
  <r>
    <x v="331"/>
    <x v="20"/>
    <x v="29"/>
    <n v="-347.94"/>
    <s v="Tramitación ayudas placas Jordi 2_2"/>
    <x v="2"/>
  </r>
  <r>
    <x v="331"/>
    <x v="26"/>
    <x v="7"/>
    <n v="-105"/>
    <s v="Traspaso"/>
    <x v="0"/>
  </r>
  <r>
    <x v="331"/>
    <x v="51"/>
    <x v="7"/>
    <n v="105"/>
    <s v="Traspaso"/>
    <x v="0"/>
  </r>
  <r>
    <x v="332"/>
    <x v="19"/>
    <x v="7"/>
    <n v="-800"/>
    <s v="Traspaso"/>
    <x v="1"/>
  </r>
  <r>
    <x v="332"/>
    <x v="20"/>
    <x v="7"/>
    <n v="800"/>
    <s v="Traspaso"/>
    <x v="1"/>
  </r>
  <r>
    <x v="332"/>
    <x v="7"/>
    <x v="29"/>
    <n v="-5"/>
    <s v="Taxi"/>
    <x v="1"/>
  </r>
  <r>
    <x v="332"/>
    <x v="35"/>
    <x v="11"/>
    <n v="-80"/>
    <s v="Psico Empar"/>
    <x v="1"/>
  </r>
  <r>
    <x v="332"/>
    <x v="7"/>
    <x v="2"/>
    <n v="-2.5"/>
    <s v="Café"/>
    <x v="1"/>
  </r>
  <r>
    <x v="332"/>
    <x v="56"/>
    <x v="14"/>
    <n v="-4"/>
    <s v="Eurojackpot"/>
    <x v="0"/>
  </r>
  <r>
    <x v="332"/>
    <x v="56"/>
    <x v="4"/>
    <n v="-1.3"/>
    <s v="Almuerzo"/>
    <x v="0"/>
  </r>
  <r>
    <x v="333"/>
    <x v="56"/>
    <x v="4"/>
    <n v="-1.3"/>
    <s v="Almuerzo"/>
    <x v="0"/>
  </r>
  <r>
    <x v="333"/>
    <x v="7"/>
    <x v="29"/>
    <n v="-36"/>
    <s v="Neteja Sonia"/>
    <x v="2"/>
  </r>
  <r>
    <x v="333"/>
    <x v="35"/>
    <x v="9"/>
    <n v="-12"/>
    <s v="Paperetes Ayto"/>
    <x v="1"/>
  </r>
  <r>
    <x v="333"/>
    <x v="35"/>
    <x v="14"/>
    <n v="-20"/>
    <s v="Dècim Gespa"/>
    <x v="2"/>
  </r>
  <r>
    <x v="334"/>
    <x v="5"/>
    <x v="2"/>
    <n v="-12.78"/>
    <s v="Lidl"/>
    <x v="2"/>
  </r>
  <r>
    <x v="334"/>
    <x v="7"/>
    <x v="2"/>
    <n v="-6"/>
    <s v="Taronges"/>
    <x v="2"/>
  </r>
  <r>
    <x v="334"/>
    <x v="7"/>
    <x v="9"/>
    <n v="500"/>
    <s v="Diners tio"/>
    <x v="1"/>
  </r>
  <r>
    <x v="334"/>
    <x v="7"/>
    <x v="4"/>
    <n v="-20"/>
    <s v="1ª Clase japonés"/>
    <x v="1"/>
  </r>
  <r>
    <x v="334"/>
    <x v="56"/>
    <x v="4"/>
    <n v="-1.3"/>
    <s v="Almuerzo"/>
    <x v="0"/>
  </r>
  <r>
    <x v="334"/>
    <x v="56"/>
    <x v="10"/>
    <n v="-6"/>
    <s v="Pádel"/>
    <x v="0"/>
  </r>
  <r>
    <x v="335"/>
    <x v="35"/>
    <x v="14"/>
    <n v="-5"/>
    <s v="Lot Nadal MJBR"/>
    <x v="1"/>
  </r>
  <r>
    <x v="335"/>
    <x v="19"/>
    <x v="22"/>
    <n v="4053.26"/>
    <s v="Nómina"/>
    <x v="1"/>
  </r>
  <r>
    <x v="335"/>
    <x v="5"/>
    <x v="4"/>
    <n v="-6.99"/>
    <s v="Lidl manualidades"/>
    <x v="1"/>
  </r>
  <r>
    <x v="335"/>
    <x v="5"/>
    <x v="29"/>
    <n v="-8.98"/>
    <s v="Lidl"/>
    <x v="2"/>
  </r>
  <r>
    <x v="335"/>
    <x v="56"/>
    <x v="2"/>
    <n v="-83.44"/>
    <s v="Mercadona"/>
    <x v="2"/>
  </r>
  <r>
    <x v="335"/>
    <x v="56"/>
    <x v="4"/>
    <n v="-1.3"/>
    <s v="Almuerzo"/>
    <x v="0"/>
  </r>
  <r>
    <x v="335"/>
    <x v="56"/>
    <x v="11"/>
    <n v="-2.0099999999999998"/>
    <s v="Tevetens y Besitrans"/>
    <x v="0"/>
  </r>
  <r>
    <x v="335"/>
    <x v="56"/>
    <x v="9"/>
    <n v="-60"/>
    <s v="Botellas personalizados"/>
    <x v="0"/>
  </r>
  <r>
    <x v="335"/>
    <x v="33"/>
    <x v="7"/>
    <n v="-45"/>
    <s v="Traspaso"/>
    <x v="0"/>
  </r>
  <r>
    <x v="335"/>
    <x v="56"/>
    <x v="7"/>
    <n v="45"/>
    <s v="Traspaso"/>
    <x v="0"/>
  </r>
  <r>
    <x v="335"/>
    <x v="36"/>
    <x v="7"/>
    <n v="-200"/>
    <s v="Traspaso"/>
    <x v="0"/>
  </r>
  <r>
    <x v="335"/>
    <x v="56"/>
    <x v="7"/>
    <n v="200"/>
    <s v="Traspaso"/>
    <x v="0"/>
  </r>
  <r>
    <x v="336"/>
    <x v="19"/>
    <x v="7"/>
    <n v="-2000"/>
    <s v="Traspaso"/>
    <x v="1"/>
  </r>
  <r>
    <x v="336"/>
    <x v="21"/>
    <x v="7"/>
    <n v="2000"/>
    <s v="Traspaso"/>
    <x v="1"/>
  </r>
  <r>
    <x v="336"/>
    <x v="7"/>
    <x v="11"/>
    <n v="-19"/>
    <s v="B complex vitamina C Terranova Herbasana"/>
    <x v="1"/>
  </r>
  <r>
    <x v="336"/>
    <x v="17"/>
    <x v="12"/>
    <n v="-19.989999999999998"/>
    <s v="Perchero Amazon"/>
    <x v="2"/>
  </r>
  <r>
    <x v="337"/>
    <x v="7"/>
    <x v="4"/>
    <n v="-11"/>
    <s v="Esmorzar Helena"/>
    <x v="1"/>
  </r>
  <r>
    <x v="337"/>
    <x v="7"/>
    <x v="9"/>
    <n v="-53"/>
    <s v="Colonies Mercadona"/>
    <x v="1"/>
  </r>
  <r>
    <x v="337"/>
    <x v="56"/>
    <x v="4"/>
    <n v="-1.3"/>
    <s v="Almuerzo"/>
    <x v="0"/>
  </r>
  <r>
    <x v="337"/>
    <x v="56"/>
    <x v="29"/>
    <n v="-21.32"/>
    <s v="Chorraditas"/>
    <x v="0"/>
  </r>
  <r>
    <x v="337"/>
    <x v="56"/>
    <x v="10"/>
    <n v="-7.5"/>
    <s v="Pádel"/>
    <x v="0"/>
  </r>
  <r>
    <x v="338"/>
    <x v="56"/>
    <x v="4"/>
    <n v="-7.5"/>
    <s v="Almuerzo"/>
    <x v="0"/>
  </r>
  <r>
    <x v="338"/>
    <x v="56"/>
    <x v="14"/>
    <n v="-4"/>
    <s v="Eurojackpot"/>
    <x v="2"/>
  </r>
  <r>
    <x v="338"/>
    <x v="56"/>
    <x v="22"/>
    <n v="4010.07"/>
    <s v="Diciembre"/>
    <x v="0"/>
  </r>
  <r>
    <x v="338"/>
    <x v="56"/>
    <x v="7"/>
    <n v="-2825.85"/>
    <s v="Traspaso"/>
    <x v="0"/>
  </r>
  <r>
    <x v="338"/>
    <x v="36"/>
    <x v="7"/>
    <n v="2825.85"/>
    <s v="Traspaso"/>
    <x v="0"/>
  </r>
  <r>
    <x v="338"/>
    <x v="56"/>
    <x v="16"/>
    <n v="-72"/>
    <s v="Gasolina"/>
    <x v="2"/>
  </r>
  <r>
    <x v="338"/>
    <x v="17"/>
    <x v="30"/>
    <n v="11"/>
    <s v="Vinted puzzles"/>
    <x v="1"/>
  </r>
  <r>
    <x v="339"/>
    <x v="20"/>
    <x v="17"/>
    <n v="43.45"/>
    <s v="Springfield pago Dani"/>
    <x v="1"/>
  </r>
  <r>
    <x v="339"/>
    <x v="7"/>
    <x v="4"/>
    <n v="-7.5"/>
    <s v="Encuadernación libro japonés"/>
    <x v="1"/>
  </r>
  <r>
    <x v="339"/>
    <x v="56"/>
    <x v="9"/>
    <n v="-148.66"/>
    <s v="Regalos Navidad"/>
    <x v="0"/>
  </r>
  <r>
    <x v="339"/>
    <x v="14"/>
    <x v="1"/>
    <n v="19.079999999999998"/>
    <s v="Intereses ibonds"/>
    <x v="0"/>
  </r>
  <r>
    <x v="340"/>
    <x v="54"/>
    <x v="1"/>
    <n v="-445"/>
    <s v="Regularización"/>
    <x v="0"/>
  </r>
  <r>
    <x v="340"/>
    <x v="25"/>
    <x v="1"/>
    <n v="-236.86"/>
    <s v="Regularización"/>
    <x v="0"/>
  </r>
  <r>
    <x v="340"/>
    <x v="51"/>
    <x v="1"/>
    <n v="-626.76"/>
    <s v="Regularización"/>
    <x v="0"/>
  </r>
  <r>
    <x v="340"/>
    <x v="24"/>
    <x v="1"/>
    <n v="-181.4"/>
    <s v="Regularización"/>
    <x v="0"/>
  </r>
  <r>
    <x v="340"/>
    <x v="29"/>
    <x v="1"/>
    <n v="-1287.0899999999999"/>
    <s v="Regularización"/>
    <x v="0"/>
  </r>
  <r>
    <x v="340"/>
    <x v="49"/>
    <x v="1"/>
    <n v="-847.85"/>
    <s v="Regularización"/>
    <x v="0"/>
  </r>
  <r>
    <x v="340"/>
    <x v="28"/>
    <x v="1"/>
    <n v="-344.44"/>
    <s v="Regularización"/>
    <x v="0"/>
  </r>
  <r>
    <x v="340"/>
    <x v="59"/>
    <x v="1"/>
    <n v="-513"/>
    <s v="Regularización"/>
    <x v="0"/>
  </r>
  <r>
    <x v="340"/>
    <x v="22"/>
    <x v="1"/>
    <n v="90.52"/>
    <s v="Regularización"/>
    <x v="0"/>
  </r>
  <r>
    <x v="340"/>
    <x v="38"/>
    <x v="1"/>
    <n v="554.19000000000005"/>
    <s v="Regularización"/>
    <x v="0"/>
  </r>
  <r>
    <x v="340"/>
    <x v="39"/>
    <x v="1"/>
    <n v="99.87"/>
    <s v="Regularización"/>
    <x v="0"/>
  </r>
  <r>
    <x v="340"/>
    <x v="23"/>
    <x v="1"/>
    <n v="549.39"/>
    <s v="Regularización"/>
    <x v="0"/>
  </r>
  <r>
    <x v="340"/>
    <x v="37"/>
    <x v="1"/>
    <n v="-3257.62"/>
    <s v="Regularización"/>
    <x v="0"/>
  </r>
  <r>
    <x v="340"/>
    <x v="40"/>
    <x v="1"/>
    <n v="236.27"/>
    <s v="Regularización"/>
    <x v="0"/>
  </r>
  <r>
    <x v="340"/>
    <x v="27"/>
    <x v="1"/>
    <n v="304.3"/>
    <s v="Regularización"/>
    <x v="0"/>
  </r>
  <r>
    <x v="340"/>
    <x v="0"/>
    <x v="1"/>
    <n v="8358.94"/>
    <s v="Regularización"/>
    <x v="0"/>
  </r>
  <r>
    <x v="340"/>
    <x v="11"/>
    <x v="1"/>
    <n v="278.98"/>
    <s v="Regularización"/>
    <x v="0"/>
  </r>
  <r>
    <x v="340"/>
    <x v="1"/>
    <x v="1"/>
    <n v="1013.17"/>
    <s v="Regularización"/>
    <x v="0"/>
  </r>
  <r>
    <x v="340"/>
    <x v="58"/>
    <x v="1"/>
    <n v="-1698.91"/>
    <s v="Regularización"/>
    <x v="0"/>
  </r>
  <r>
    <x v="340"/>
    <x v="53"/>
    <x v="1"/>
    <n v="23.96"/>
    <s v="Regularización"/>
    <x v="0"/>
  </r>
  <r>
    <x v="340"/>
    <x v="31"/>
    <x v="1"/>
    <n v="65.45"/>
    <s v="Regularización"/>
    <x v="0"/>
  </r>
  <r>
    <x v="340"/>
    <x v="57"/>
    <x v="1"/>
    <n v="12.47"/>
    <s v="Regularización"/>
    <x v="0"/>
  </r>
  <r>
    <x v="340"/>
    <x v="34"/>
    <x v="1"/>
    <n v="-318"/>
    <s v="Regularización"/>
    <x v="0"/>
  </r>
  <r>
    <x v="340"/>
    <x v="7"/>
    <x v="9"/>
    <n v="100"/>
    <s v="Estrena Mama"/>
    <x v="1"/>
  </r>
  <r>
    <x v="341"/>
    <x v="33"/>
    <x v="9"/>
    <n v="500"/>
    <s v="Regalos"/>
    <x v="0"/>
  </r>
  <r>
    <x v="341"/>
    <x v="6"/>
    <x v="9"/>
    <n v="50"/>
    <s v="Regalos"/>
    <x v="0"/>
  </r>
  <r>
    <x v="341"/>
    <x v="33"/>
    <x v="7"/>
    <n v="-500"/>
    <s v="Traspaso"/>
    <x v="0"/>
  </r>
  <r>
    <x v="341"/>
    <x v="51"/>
    <x v="7"/>
    <n v="500"/>
    <s v="Traspaso"/>
    <x v="0"/>
  </r>
  <r>
    <x v="341"/>
    <x v="56"/>
    <x v="10"/>
    <n v="-7.5"/>
    <s v="Pádel"/>
    <x v="0"/>
  </r>
  <r>
    <x v="341"/>
    <x v="56"/>
    <x v="7"/>
    <n v="-898.84"/>
    <s v="Traspaso"/>
    <x v="0"/>
  </r>
  <r>
    <x v="341"/>
    <x v="12"/>
    <x v="7"/>
    <n v="898.84"/>
    <s v="Traspaso"/>
    <x v="0"/>
  </r>
  <r>
    <x v="342"/>
    <x v="36"/>
    <x v="7"/>
    <n v="-921.4"/>
    <s v="Traspaso"/>
    <x v="0"/>
  </r>
  <r>
    <x v="342"/>
    <x v="26"/>
    <x v="7"/>
    <n v="921.4"/>
    <s v="Traspaso"/>
    <x v="0"/>
  </r>
  <r>
    <x v="342"/>
    <x v="36"/>
    <x v="7"/>
    <n v="-1000"/>
    <s v="Traspaso"/>
    <x v="0"/>
  </r>
  <r>
    <x v="342"/>
    <x v="14"/>
    <x v="7"/>
    <n v="1000"/>
    <s v="Traspaso"/>
    <x v="0"/>
  </r>
  <r>
    <x v="342"/>
    <x v="56"/>
    <x v="2"/>
    <n v="-129.61000000000001"/>
    <s v="Mercadona"/>
    <x v="2"/>
  </r>
  <r>
    <x v="342"/>
    <x v="36"/>
    <x v="7"/>
    <n v="-500"/>
    <s v="Traspaso"/>
    <x v="0"/>
  </r>
  <r>
    <x v="342"/>
    <x v="56"/>
    <x v="7"/>
    <n v="500"/>
    <s v="Traspaso"/>
    <x v="0"/>
  </r>
  <r>
    <x v="343"/>
    <x v="26"/>
    <x v="7"/>
    <n v="-300"/>
    <s v="Traspaso"/>
    <x v="0"/>
  </r>
  <r>
    <x v="343"/>
    <x v="54"/>
    <x v="7"/>
    <n v="300"/>
    <s v="Traspaso"/>
    <x v="0"/>
  </r>
  <r>
    <x v="343"/>
    <x v="26"/>
    <x v="7"/>
    <n v="-192.57"/>
    <s v="Traspaso"/>
    <x v="0"/>
  </r>
  <r>
    <x v="343"/>
    <x v="27"/>
    <x v="7"/>
    <n v="192.57"/>
    <s v="Traspaso"/>
    <x v="0"/>
  </r>
  <r>
    <x v="343"/>
    <x v="56"/>
    <x v="29"/>
    <n v="-3.25"/>
    <s v="Varios Temu"/>
    <x v="0"/>
  </r>
  <r>
    <x v="343"/>
    <x v="56"/>
    <x v="10"/>
    <n v="-6"/>
    <s v="Pádel"/>
    <x v="0"/>
  </r>
  <r>
    <x v="343"/>
    <x v="7"/>
    <x v="2"/>
    <n v="-25"/>
    <s v="Esmorzar i taronges"/>
    <x v="2"/>
  </r>
  <r>
    <x v="344"/>
    <x v="7"/>
    <x v="29"/>
    <n v="-36"/>
    <s v="Neteja Sonia"/>
    <x v="2"/>
  </r>
  <r>
    <x v="344"/>
    <x v="26"/>
    <x v="1"/>
    <n v="20.25"/>
    <s v="Intereses plan amigo"/>
    <x v="0"/>
  </r>
  <r>
    <x v="344"/>
    <x v="56"/>
    <x v="2"/>
    <n v="-60.93"/>
    <s v="Carrefour"/>
    <x v="2"/>
  </r>
  <r>
    <x v="344"/>
    <x v="56"/>
    <x v="2"/>
    <n v="-18.489999999999998"/>
    <s v="Mercadona"/>
    <x v="2"/>
  </r>
  <r>
    <x v="344"/>
    <x v="29"/>
    <x v="7"/>
    <n v="-685.9"/>
    <s v="Traspaso"/>
    <x v="0"/>
  </r>
  <r>
    <x v="344"/>
    <x v="14"/>
    <x v="7"/>
    <n v="685.9"/>
    <s v="Traspaso"/>
    <x v="0"/>
  </r>
  <r>
    <x v="345"/>
    <x v="7"/>
    <x v="4"/>
    <n v="-14"/>
    <s v="Esmorzar gym"/>
    <x v="2"/>
  </r>
  <r>
    <x v="345"/>
    <x v="17"/>
    <x v="11"/>
    <n v="-55.6"/>
    <s v="Okfarma Griffonia y Hylogel"/>
    <x v="1"/>
  </r>
  <r>
    <x v="345"/>
    <x v="17"/>
    <x v="29"/>
    <n v="-3.99"/>
    <s v="Regularización Amazon"/>
    <x v="1"/>
  </r>
  <r>
    <x v="345"/>
    <x v="35"/>
    <x v="7"/>
    <n v="-500"/>
    <s v="Traspaso"/>
    <x v="1"/>
  </r>
  <r>
    <x v="345"/>
    <x v="44"/>
    <x v="7"/>
    <n v="500"/>
    <s v="Traspaso"/>
    <x v="1"/>
  </r>
  <r>
    <x v="345"/>
    <x v="44"/>
    <x v="7"/>
    <n v="-500.09"/>
    <s v="Traspaso"/>
    <x v="1"/>
  </r>
  <r>
    <x v="345"/>
    <x v="43"/>
    <x v="7"/>
    <n v="500.09"/>
    <s v="Traspaso"/>
    <x v="1"/>
  </r>
  <r>
    <x v="345"/>
    <x v="56"/>
    <x v="10"/>
    <n v="-7.5"/>
    <s v="Pádel"/>
    <x v="0"/>
  </r>
  <r>
    <x v="345"/>
    <x v="56"/>
    <x v="29"/>
    <n v="-77.67"/>
    <s v="Varios Temu"/>
    <x v="0"/>
  </r>
  <r>
    <x v="345"/>
    <x v="11"/>
    <x v="7"/>
    <n v="-2927.11"/>
    <s v="Traspaso"/>
    <x v="0"/>
  </r>
  <r>
    <x v="345"/>
    <x v="14"/>
    <x v="7"/>
    <n v="2927.11"/>
    <s v="Traspaso"/>
    <x v="0"/>
  </r>
  <r>
    <x v="346"/>
    <x v="56"/>
    <x v="5"/>
    <n v="-39.47"/>
    <s v="Piso"/>
    <x v="0"/>
  </r>
  <r>
    <x v="346"/>
    <x v="49"/>
    <x v="7"/>
    <n v="-2796.51"/>
    <s v="Traspaso"/>
    <x v="0"/>
  </r>
  <r>
    <x v="346"/>
    <x v="59"/>
    <x v="7"/>
    <n v="2796.51"/>
    <s v="Traspaso"/>
    <x v="0"/>
  </r>
  <r>
    <x v="346"/>
    <x v="26"/>
    <x v="7"/>
    <n v="-120.25"/>
    <s v="Traspaso"/>
    <x v="0"/>
  </r>
  <r>
    <x v="346"/>
    <x v="27"/>
    <x v="7"/>
    <n v="120.25"/>
    <s v="Traspaso"/>
    <x v="0"/>
  </r>
  <r>
    <x v="346"/>
    <x v="20"/>
    <x v="7"/>
    <n v="-721.77"/>
    <s v="Traspaso"/>
    <x v="1"/>
  </r>
  <r>
    <x v="346"/>
    <x v="5"/>
    <x v="7"/>
    <n v="721.77"/>
    <s v="Traspaso"/>
    <x v="1"/>
  </r>
  <r>
    <x v="346"/>
    <x v="19"/>
    <x v="7"/>
    <n v="-1000"/>
    <s v="Traspaso"/>
    <x v="1"/>
  </r>
  <r>
    <x v="346"/>
    <x v="20"/>
    <x v="7"/>
    <n v="1000"/>
    <s v="Traspaso"/>
    <x v="1"/>
  </r>
  <r>
    <x v="346"/>
    <x v="17"/>
    <x v="9"/>
    <n v="-14.29"/>
    <s v="Pijama Women Secret tio"/>
    <x v="1"/>
  </r>
  <r>
    <x v="346"/>
    <x v="17"/>
    <x v="17"/>
    <n v="-26.76"/>
    <s v="Pijamas Women Secret"/>
    <x v="1"/>
  </r>
  <r>
    <x v="347"/>
    <x v="20"/>
    <x v="7"/>
    <n v="-700"/>
    <s v="Traspaso"/>
    <x v="1"/>
  </r>
  <r>
    <x v="347"/>
    <x v="21"/>
    <x v="7"/>
    <n v="700"/>
    <s v="Traspaso"/>
    <x v="1"/>
  </r>
  <r>
    <x v="347"/>
    <x v="17"/>
    <x v="1"/>
    <n v="0.06"/>
    <s v="Intereses"/>
    <x v="1"/>
  </r>
  <r>
    <x v="347"/>
    <x v="35"/>
    <x v="1"/>
    <n v="44.44"/>
    <s v="Intereses"/>
    <x v="1"/>
  </r>
  <r>
    <x v="347"/>
    <x v="21"/>
    <x v="1"/>
    <n v="55.57"/>
    <s v="Intereses"/>
    <x v="1"/>
  </r>
  <r>
    <x v="347"/>
    <x v="7"/>
    <x v="14"/>
    <n v="10"/>
    <s v="Lot Nadal"/>
    <x v="1"/>
  </r>
  <r>
    <x v="347"/>
    <x v="33"/>
    <x v="1"/>
    <n v="0.04"/>
    <s v="Intereses"/>
    <x v="0"/>
  </r>
  <r>
    <x v="347"/>
    <x v="14"/>
    <x v="1"/>
    <n v="1.56"/>
    <s v="Intereses"/>
    <x v="0"/>
  </r>
  <r>
    <x v="347"/>
    <x v="26"/>
    <x v="3"/>
    <n v="800"/>
    <s v="Enero"/>
    <x v="0"/>
  </r>
  <r>
    <x v="347"/>
    <x v="60"/>
    <x v="1"/>
    <n v="22"/>
    <s v="Intereses"/>
    <x v="0"/>
  </r>
  <r>
    <x v="348"/>
    <x v="36"/>
    <x v="14"/>
    <n v="-20"/>
    <s v="Cargar lotobolsa"/>
    <x v="2"/>
  </r>
  <r>
    <x v="348"/>
    <x v="26"/>
    <x v="7"/>
    <n v="-300"/>
    <s v="Traspaso"/>
    <x v="0"/>
  </r>
  <r>
    <x v="348"/>
    <x v="36"/>
    <x v="7"/>
    <n v="300"/>
    <s v="Traspaso"/>
    <x v="0"/>
  </r>
  <r>
    <x v="348"/>
    <x v="14"/>
    <x v="7"/>
    <n v="-3750"/>
    <s v="Traspaso"/>
    <x v="0"/>
  </r>
  <r>
    <x v="348"/>
    <x v="1"/>
    <x v="7"/>
    <n v="3750"/>
    <s v="Traspaso"/>
    <x v="0"/>
  </r>
  <r>
    <x v="348"/>
    <x v="14"/>
    <x v="8"/>
    <n v="-311.17"/>
    <s v="Diciembre"/>
    <x v="0"/>
  </r>
  <r>
    <x v="348"/>
    <x v="29"/>
    <x v="7"/>
    <n v="-695"/>
    <s v="Traspaso"/>
    <x v="0"/>
  </r>
  <r>
    <x v="348"/>
    <x v="59"/>
    <x v="7"/>
    <n v="695"/>
    <s v="Traspaso"/>
    <x v="0"/>
  </r>
  <r>
    <x v="348"/>
    <x v="20"/>
    <x v="11"/>
    <n v="-65.75"/>
    <s v="Mapfre salud"/>
    <x v="1"/>
  </r>
  <r>
    <x v="348"/>
    <x v="20"/>
    <x v="29"/>
    <n v="-11.29"/>
    <s v="Ocaso seguro"/>
    <x v="1"/>
  </r>
  <r>
    <x v="348"/>
    <x v="20"/>
    <x v="30"/>
    <n v="100"/>
    <s v="Arrend trastero"/>
    <x v="2"/>
  </r>
  <r>
    <x v="348"/>
    <x v="21"/>
    <x v="8"/>
    <n v="311.17"/>
    <s v="Gastos diciembre"/>
    <x v="1"/>
  </r>
  <r>
    <x v="348"/>
    <x v="5"/>
    <x v="2"/>
    <n v="-3.15"/>
    <s v="Lidl"/>
    <x v="2"/>
  </r>
  <r>
    <x v="348"/>
    <x v="7"/>
    <x v="4"/>
    <n v="-5.7"/>
    <s v="Esmorzar gym"/>
    <x v="1"/>
  </r>
  <r>
    <x v="348"/>
    <x v="21"/>
    <x v="7"/>
    <n v="-70"/>
    <m/>
    <x v="1"/>
  </r>
  <r>
    <x v="348"/>
    <x v="32"/>
    <x v="7"/>
    <n v="70"/>
    <m/>
    <x v="1"/>
  </r>
  <r>
    <x v="349"/>
    <x v="51"/>
    <x v="7"/>
    <n v="-293.66000000000003"/>
    <s v="Traspaso"/>
    <x v="0"/>
  </r>
  <r>
    <x v="349"/>
    <x v="60"/>
    <x v="7"/>
    <n v="293.66000000000003"/>
    <s v="Traspaso"/>
    <x v="0"/>
  </r>
  <r>
    <x v="349"/>
    <x v="60"/>
    <x v="7"/>
    <n v="-293.66000000000003"/>
    <s v="Traspaso"/>
    <x v="0"/>
  </r>
  <r>
    <x v="349"/>
    <x v="59"/>
    <x v="7"/>
    <n v="293.66000000000003"/>
    <s v="Traspaso"/>
    <x v="0"/>
  </r>
  <r>
    <x v="349"/>
    <x v="56"/>
    <x v="2"/>
    <n v="-69.11"/>
    <s v="Mercadona"/>
    <x v="2"/>
  </r>
  <r>
    <x v="349"/>
    <x v="54"/>
    <x v="7"/>
    <n v="-519.24"/>
    <s v="Traspaso"/>
    <x v="0"/>
  </r>
  <r>
    <x v="349"/>
    <x v="59"/>
    <x v="7"/>
    <n v="519.24"/>
    <s v="Traspaso"/>
    <x v="0"/>
  </r>
  <r>
    <x v="350"/>
    <x v="56"/>
    <x v="10"/>
    <n v="-6"/>
    <s v="Pádel"/>
    <x v="0"/>
  </r>
  <r>
    <x v="350"/>
    <x v="7"/>
    <x v="4"/>
    <n v="-10.7"/>
    <s v="Esmorzar gym"/>
    <x v="2"/>
  </r>
  <r>
    <x v="351"/>
    <x v="20"/>
    <x v="13"/>
    <n v="-21"/>
    <s v="Parking Ayto"/>
    <x v="1"/>
  </r>
  <r>
    <x v="351"/>
    <x v="20"/>
    <x v="5"/>
    <n v="-35"/>
    <s v="1er trim garaje Manises"/>
    <x v="2"/>
  </r>
  <r>
    <x v="351"/>
    <x v="7"/>
    <x v="4"/>
    <n v="-13.3"/>
    <s v="Esmorzar Pili"/>
    <x v="1"/>
  </r>
  <r>
    <x v="351"/>
    <x v="20"/>
    <x v="10"/>
    <n v="-74"/>
    <s v="Gym Aspresso"/>
    <x v="2"/>
  </r>
  <r>
    <x v="351"/>
    <x v="17"/>
    <x v="31"/>
    <n v="-56.15"/>
    <s v="ITV Kadjar"/>
    <x v="2"/>
  </r>
  <r>
    <x v="351"/>
    <x v="56"/>
    <x v="5"/>
    <n v="-38.72"/>
    <s v="Piso"/>
    <x v="0"/>
  </r>
  <r>
    <x v="351"/>
    <x v="56"/>
    <x v="5"/>
    <n v="-35"/>
    <s v="Garaje"/>
    <x v="0"/>
  </r>
  <r>
    <x v="351"/>
    <x v="36"/>
    <x v="7"/>
    <n v="-175"/>
    <s v="Traspaso"/>
    <x v="0"/>
  </r>
  <r>
    <x v="351"/>
    <x v="38"/>
    <x v="7"/>
    <n v="175"/>
    <s v="Traspaso"/>
    <x v="0"/>
  </r>
  <r>
    <x v="351"/>
    <x v="36"/>
    <x v="7"/>
    <n v="-125"/>
    <s v="Traspaso"/>
    <x v="0"/>
  </r>
  <r>
    <x v="351"/>
    <x v="39"/>
    <x v="7"/>
    <n v="125"/>
    <s v="Traspaso"/>
    <x v="0"/>
  </r>
  <r>
    <x v="351"/>
    <x v="36"/>
    <x v="7"/>
    <n v="-300"/>
    <s v="Traspaso"/>
    <x v="0"/>
  </r>
  <r>
    <x v="351"/>
    <x v="51"/>
    <x v="7"/>
    <n v="300"/>
    <s v="Traspaso"/>
    <x v="0"/>
  </r>
  <r>
    <x v="351"/>
    <x v="51"/>
    <x v="7"/>
    <n v="-400"/>
    <s v="Traspaso"/>
    <x v="0"/>
  </r>
  <r>
    <x v="351"/>
    <x v="59"/>
    <x v="7"/>
    <n v="400"/>
    <s v="Traspaso"/>
    <x v="0"/>
  </r>
  <r>
    <x v="351"/>
    <x v="56"/>
    <x v="14"/>
    <n v="-4"/>
    <s v="Eurojackpot"/>
    <x v="2"/>
  </r>
  <r>
    <x v="351"/>
    <x v="54"/>
    <x v="7"/>
    <n v="-840.76"/>
    <s v="Traspaso"/>
    <x v="0"/>
  </r>
  <r>
    <x v="351"/>
    <x v="59"/>
    <x v="7"/>
    <n v="840.76"/>
    <s v="Traspaso"/>
    <x v="0"/>
  </r>
  <r>
    <x v="351"/>
    <x v="60"/>
    <x v="7"/>
    <n v="-21.7"/>
    <s v="Traspaso"/>
    <x v="0"/>
  </r>
  <r>
    <x v="351"/>
    <x v="59"/>
    <x v="7"/>
    <n v="21.7"/>
    <s v="Traspaso"/>
    <x v="0"/>
  </r>
  <r>
    <x v="351"/>
    <x v="25"/>
    <x v="7"/>
    <n v="-428.8"/>
    <s v="Traspaso"/>
    <x v="0"/>
  </r>
  <r>
    <x v="351"/>
    <x v="59"/>
    <x v="7"/>
    <n v="428.8"/>
    <s v="Traspaso"/>
    <x v="0"/>
  </r>
  <r>
    <x v="352"/>
    <x v="11"/>
    <x v="1"/>
    <n v="1.1299999999999999"/>
    <s v="Cancelación fondo"/>
    <x v="0"/>
  </r>
  <r>
    <x v="352"/>
    <x v="11"/>
    <x v="7"/>
    <n v="-553"/>
    <s v="Traspaso"/>
    <x v="0"/>
  </r>
  <r>
    <x v="352"/>
    <x v="14"/>
    <x v="7"/>
    <n v="553"/>
    <s v="Traspaso"/>
    <x v="0"/>
  </r>
  <r>
    <x v="352"/>
    <x v="14"/>
    <x v="7"/>
    <n v="-501"/>
    <s v="Traspaso"/>
    <x v="0"/>
  </r>
  <r>
    <x v="352"/>
    <x v="1"/>
    <x v="7"/>
    <n v="501"/>
    <s v="Traspaso"/>
    <x v="0"/>
  </r>
  <r>
    <x v="352"/>
    <x v="26"/>
    <x v="1"/>
    <n v="0.34"/>
    <s v="Intereses"/>
    <x v="0"/>
  </r>
  <r>
    <x v="352"/>
    <x v="7"/>
    <x v="2"/>
    <n v="-25"/>
    <s v="Roscón Horno San Antonio"/>
    <x v="2"/>
  </r>
  <r>
    <x v="353"/>
    <x v="7"/>
    <x v="4"/>
    <n v="-3.45"/>
    <s v="Esmorzar"/>
    <x v="1"/>
  </r>
  <r>
    <x v="353"/>
    <x v="5"/>
    <x v="31"/>
    <n v="-415.42"/>
    <s v="Kadjar Rev y pre ITV"/>
    <x v="2"/>
  </r>
  <r>
    <x v="353"/>
    <x v="37"/>
    <x v="4"/>
    <n v="-1.3"/>
    <s v="Almuerzo"/>
    <x v="0"/>
  </r>
  <r>
    <x v="353"/>
    <x v="12"/>
    <x v="7"/>
    <n v="-100.64"/>
    <s v="Traspaso"/>
    <x v="0"/>
  </r>
  <r>
    <x v="353"/>
    <x v="37"/>
    <x v="7"/>
    <n v="100.64"/>
    <s v="Traspaso"/>
    <x v="0"/>
  </r>
  <r>
    <x v="353"/>
    <x v="56"/>
    <x v="5"/>
    <n v="-150"/>
    <s v="Piso"/>
    <x v="2"/>
  </r>
  <r>
    <x v="353"/>
    <x v="24"/>
    <x v="7"/>
    <n v="-35"/>
    <s v="Traspaso"/>
    <x v="2"/>
  </r>
  <r>
    <x v="353"/>
    <x v="59"/>
    <x v="7"/>
    <n v="35"/>
    <s v="Traspaso"/>
    <x v="2"/>
  </r>
  <r>
    <x v="353"/>
    <x v="40"/>
    <x v="7"/>
    <n v="-57.53"/>
    <s v="Traspaso"/>
    <x v="0"/>
  </r>
  <r>
    <x v="353"/>
    <x v="33"/>
    <x v="7"/>
    <n v="57.53"/>
    <s v="Traspaso"/>
    <x v="0"/>
  </r>
  <r>
    <x v="353"/>
    <x v="37"/>
    <x v="7"/>
    <n v="-30.64"/>
    <s v="Traspaso"/>
    <x v="0"/>
  </r>
  <r>
    <x v="353"/>
    <x v="26"/>
    <x v="7"/>
    <n v="30.64"/>
    <s v="Traspaso"/>
    <x v="0"/>
  </r>
  <r>
    <x v="353"/>
    <x v="33"/>
    <x v="7"/>
    <n v="-61.42"/>
    <s v="Traspaso"/>
    <x v="0"/>
  </r>
  <r>
    <x v="353"/>
    <x v="37"/>
    <x v="7"/>
    <n v="61.42"/>
    <s v="Traspaso"/>
    <x v="0"/>
  </r>
  <r>
    <x v="354"/>
    <x v="37"/>
    <x v="4"/>
    <n v="-1.4"/>
    <s v="Almuerzo"/>
    <x v="0"/>
  </r>
  <r>
    <x v="354"/>
    <x v="26"/>
    <x v="7"/>
    <n v="-700"/>
    <s v="Traspaso"/>
    <x v="0"/>
  </r>
  <r>
    <x v="354"/>
    <x v="51"/>
    <x v="7"/>
    <n v="700"/>
    <s v="Traspaso"/>
    <x v="0"/>
  </r>
  <r>
    <x v="354"/>
    <x v="12"/>
    <x v="7"/>
    <n v="-800"/>
    <s v="Traspaso"/>
    <x v="0"/>
  </r>
  <r>
    <x v="354"/>
    <x v="37"/>
    <x v="7"/>
    <n v="800"/>
    <s v="Traspaso"/>
    <x v="0"/>
  </r>
  <r>
    <x v="354"/>
    <x v="7"/>
    <x v="2"/>
    <n v="-6"/>
    <s v="Taronges"/>
    <x v="2"/>
  </r>
  <r>
    <x v="354"/>
    <x v="19"/>
    <x v="7"/>
    <n v="-125"/>
    <m/>
    <x v="1"/>
  </r>
  <r>
    <x v="354"/>
    <x v="46"/>
    <x v="7"/>
    <n v="125"/>
    <m/>
    <x v="1"/>
  </r>
  <r>
    <x v="354"/>
    <x v="5"/>
    <x v="16"/>
    <n v="-47.8"/>
    <s v="Gasoil"/>
    <x v="2"/>
  </r>
  <r>
    <x v="354"/>
    <x v="7"/>
    <x v="4"/>
    <n v="-20"/>
    <s v="Clase japonés"/>
    <x v="1"/>
  </r>
  <r>
    <x v="355"/>
    <x v="7"/>
    <x v="14"/>
    <n v="40"/>
    <s v="Loteria Niño"/>
    <x v="2"/>
  </r>
  <r>
    <x v="355"/>
    <x v="7"/>
    <x v="9"/>
    <n v="105"/>
    <s v="Diners tío"/>
    <x v="1"/>
  </r>
  <r>
    <x v="355"/>
    <x v="7"/>
    <x v="9"/>
    <n v="250"/>
    <s v="Diners tío"/>
    <x v="1"/>
  </r>
  <r>
    <x v="355"/>
    <x v="17"/>
    <x v="17"/>
    <n v="-21.53"/>
    <s v="Chaqueta Springfield online"/>
    <x v="1"/>
  </r>
  <r>
    <x v="355"/>
    <x v="7"/>
    <x v="11"/>
    <n v="-7.1"/>
    <s v="Farma"/>
    <x v="1"/>
  </r>
  <r>
    <x v="355"/>
    <x v="37"/>
    <x v="4"/>
    <n v="-1.4"/>
    <s v="Almuerzo"/>
    <x v="0"/>
  </r>
  <r>
    <x v="355"/>
    <x v="26"/>
    <x v="7"/>
    <n v="-230.98"/>
    <s v="Traspaso"/>
    <x v="0"/>
  </r>
  <r>
    <x v="355"/>
    <x v="27"/>
    <x v="7"/>
    <n v="230.98"/>
    <s v="Traspaso"/>
    <x v="0"/>
  </r>
  <r>
    <x v="356"/>
    <x v="37"/>
    <x v="2"/>
    <n v="-84.5"/>
    <s v="Comida"/>
    <x v="2"/>
  </r>
  <r>
    <x v="356"/>
    <x v="7"/>
    <x v="2"/>
    <n v="-11.7"/>
    <s v="Mercat fruita"/>
    <x v="2"/>
  </r>
  <r>
    <x v="357"/>
    <x v="7"/>
    <x v="7"/>
    <n v="-39"/>
    <m/>
    <x v="1"/>
  </r>
  <r>
    <x v="357"/>
    <x v="20"/>
    <x v="7"/>
    <n v="39"/>
    <m/>
    <x v="1"/>
  </r>
  <r>
    <x v="357"/>
    <x v="7"/>
    <x v="4"/>
    <n v="-10.7"/>
    <s v="Esmorzar gym"/>
    <x v="2"/>
  </r>
  <r>
    <x v="357"/>
    <x v="10"/>
    <x v="7"/>
    <n v="-2"/>
    <s v="Traspaso"/>
    <x v="0"/>
  </r>
  <r>
    <x v="357"/>
    <x v="8"/>
    <x v="7"/>
    <n v="2"/>
    <s v="Traspaso"/>
    <x v="0"/>
  </r>
  <r>
    <x v="357"/>
    <x v="8"/>
    <x v="7"/>
    <n v="-3"/>
    <s v="Traspaso"/>
    <x v="0"/>
  </r>
  <r>
    <x v="357"/>
    <x v="12"/>
    <x v="7"/>
    <n v="3"/>
    <s v="Traspaso"/>
    <x v="0"/>
  </r>
  <r>
    <x v="357"/>
    <x v="52"/>
    <x v="7"/>
    <n v="-300"/>
    <s v="Traspaso"/>
    <x v="0"/>
  </r>
  <r>
    <x v="357"/>
    <x v="12"/>
    <x v="7"/>
    <n v="300"/>
    <s v="Traspaso"/>
    <x v="0"/>
  </r>
  <r>
    <x v="357"/>
    <x v="37"/>
    <x v="7"/>
    <n v="-871.06"/>
    <s v="Traspaso"/>
    <x v="0"/>
  </r>
  <r>
    <x v="357"/>
    <x v="59"/>
    <x v="7"/>
    <n v="871.06"/>
    <s v="Traspaso"/>
    <x v="0"/>
  </r>
  <r>
    <x v="357"/>
    <x v="12"/>
    <x v="7"/>
    <n v="-303"/>
    <s v="Traspaso"/>
    <x v="0"/>
  </r>
  <r>
    <x v="357"/>
    <x v="37"/>
    <x v="7"/>
    <n v="303"/>
    <s v="Traspaso"/>
    <x v="0"/>
  </r>
  <r>
    <x v="357"/>
    <x v="25"/>
    <x v="7"/>
    <n v="-2.2000000000000002"/>
    <s v="Traspaso"/>
    <x v="0"/>
  </r>
  <r>
    <x v="357"/>
    <x v="60"/>
    <x v="7"/>
    <n v="2.2000000000000002"/>
    <s v="Traspaso"/>
    <x v="0"/>
  </r>
  <r>
    <x v="357"/>
    <x v="37"/>
    <x v="10"/>
    <n v="-6"/>
    <s v="Pádel"/>
    <x v="0"/>
  </r>
  <r>
    <x v="358"/>
    <x v="37"/>
    <x v="4"/>
    <n v="-1.4"/>
    <s v="Almuerzo"/>
    <x v="0"/>
  </r>
  <r>
    <x v="358"/>
    <x v="23"/>
    <x v="7"/>
    <n v="-31.44"/>
    <s v="Traspaso"/>
    <x v="0"/>
  </r>
  <r>
    <x v="358"/>
    <x v="12"/>
    <x v="7"/>
    <n v="31.44"/>
    <s v="Traspaso"/>
    <x v="0"/>
  </r>
  <r>
    <x v="358"/>
    <x v="56"/>
    <x v="7"/>
    <n v="-2500"/>
    <s v="Traspaso"/>
    <x v="0"/>
  </r>
  <r>
    <x v="358"/>
    <x v="23"/>
    <x v="7"/>
    <n v="2500"/>
    <s v="Traspaso"/>
    <x v="0"/>
  </r>
  <r>
    <x v="358"/>
    <x v="56"/>
    <x v="7"/>
    <n v="-2500"/>
    <s v="Traspaso"/>
    <x v="0"/>
  </r>
  <r>
    <x v="358"/>
    <x v="51"/>
    <x v="7"/>
    <n v="2500"/>
    <s v="Traspaso"/>
    <x v="0"/>
  </r>
  <r>
    <x v="358"/>
    <x v="51"/>
    <x v="7"/>
    <n v="-3084.34"/>
    <s v="Traspaso"/>
    <x v="0"/>
  </r>
  <r>
    <x v="358"/>
    <x v="59"/>
    <x v="7"/>
    <n v="3084.34"/>
    <s v="Traspaso"/>
    <x v="0"/>
  </r>
  <r>
    <x v="359"/>
    <x v="37"/>
    <x v="14"/>
    <n v="-4"/>
    <s v="Eurojackpot"/>
    <x v="0"/>
  </r>
  <r>
    <x v="359"/>
    <x v="37"/>
    <x v="4"/>
    <n v="-1.4"/>
    <s v="Almuerzo"/>
    <x v="0"/>
  </r>
  <r>
    <x v="359"/>
    <x v="37"/>
    <x v="10"/>
    <n v="-7.5"/>
    <s v="Pádel"/>
    <x v="0"/>
  </r>
  <r>
    <x v="359"/>
    <x v="7"/>
    <x v="4"/>
    <n v="-11"/>
    <s v="Esmorzar platja"/>
    <x v="1"/>
  </r>
  <r>
    <x v="359"/>
    <x v="7"/>
    <x v="17"/>
    <n v="-7.97"/>
    <s v="Pantaló verd Springfield"/>
    <x v="1"/>
  </r>
  <r>
    <x v="359"/>
    <x v="7"/>
    <x v="9"/>
    <n v="-18.329999999999998"/>
    <s v="Springfield Mama cumple"/>
    <x v="1"/>
  </r>
  <r>
    <x v="359"/>
    <x v="5"/>
    <x v="2"/>
    <n v="-3.18"/>
    <s v="Carrefour"/>
    <x v="2"/>
  </r>
  <r>
    <x v="360"/>
    <x v="37"/>
    <x v="4"/>
    <n v="-1.4"/>
    <s v="Almuerzo"/>
    <x v="0"/>
  </r>
  <r>
    <x v="360"/>
    <x v="20"/>
    <x v="18"/>
    <n v="-35"/>
    <s v="Lowi"/>
    <x v="2"/>
  </r>
  <r>
    <x v="360"/>
    <x v="7"/>
    <x v="2"/>
    <n v="-6"/>
    <s v="Taronges"/>
    <x v="2"/>
  </r>
  <r>
    <x v="360"/>
    <x v="5"/>
    <x v="17"/>
    <n v="43.99"/>
    <s v="Devol chaqueta Springfield"/>
    <x v="1"/>
  </r>
  <r>
    <x v="360"/>
    <x v="12"/>
    <x v="1"/>
    <n v="0.38"/>
    <s v="Intereses"/>
    <x v="0"/>
  </r>
  <r>
    <x v="361"/>
    <x v="56"/>
    <x v="2"/>
    <n v="-43.8"/>
    <s v="Nochebuena"/>
    <x v="2"/>
  </r>
  <r>
    <x v="361"/>
    <x v="37"/>
    <x v="4"/>
    <n v="-1.4"/>
    <s v="Almuerzo"/>
    <x v="0"/>
  </r>
  <r>
    <x v="361"/>
    <x v="34"/>
    <x v="1"/>
    <n v="86.990000000000123"/>
    <s v="Intereses"/>
    <x v="0"/>
  </r>
  <r>
    <x v="361"/>
    <x v="34"/>
    <x v="7"/>
    <n v="-1059.4100000000001"/>
    <s v="Traspaso"/>
    <x v="0"/>
  </r>
  <r>
    <x v="361"/>
    <x v="56"/>
    <x v="7"/>
    <n v="1059.4100000000001"/>
    <s v="Traspaso"/>
    <x v="0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  <r>
    <x v="361"/>
    <x v="61"/>
    <x v="32"/>
    <m/>
    <n v="0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Resumen" cacheId="2116" applyNumberFormats="0" applyBorderFormats="0" applyFontFormats="0" applyPatternFormats="0" applyAlignmentFormats="0" applyWidthHeightFormats="0" dataCaption="Values" updatedVersion="8" itemPrintTitles="1" indent="0" compact="0" compactData="0">
  <location ref="A5:AG22" firstHeaderRow="1" firstDataRow="2" firstDataCol="2" rowPageCount="2" colPageCount="1"/>
  <pivotFields count="7">
    <pivotField axis="axisRow" compact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Page" compact="0" outline="0" showAll="0">
      <items count="63">
        <item x="61"/>
        <item x="2"/>
        <item x="3"/>
        <item x="15"/>
        <item x="18"/>
        <item x="33"/>
        <item x="35"/>
        <item x="41"/>
        <item x="47"/>
        <item x="32"/>
        <item x="39"/>
        <item x="49"/>
        <item x="48"/>
        <item x="50"/>
        <item x="51"/>
        <item x="52"/>
        <item x="53"/>
        <item x="54"/>
        <item x="55"/>
        <item x="0"/>
        <item x="22"/>
        <item x="56"/>
        <item x="57"/>
        <item x="58"/>
        <item x="60"/>
        <item x="59"/>
        <item x="11"/>
        <item x="13"/>
        <item x="4"/>
        <item x="42"/>
        <item x="8"/>
        <item x="37"/>
        <item x="12"/>
        <item x="24"/>
        <item x="28"/>
        <item x="26"/>
        <item x="14"/>
        <item x="7"/>
        <item x="46"/>
        <item x="16"/>
        <item x="21"/>
        <item x="25"/>
        <item x="6"/>
        <item x="38"/>
        <item x="9"/>
        <item x="44"/>
        <item x="17"/>
        <item x="20"/>
        <item x="36"/>
        <item x="30"/>
        <item x="29"/>
        <item x="31"/>
        <item x="23"/>
        <item x="40"/>
        <item x="27"/>
        <item x="34"/>
        <item x="10"/>
        <item x="1"/>
        <item x="45"/>
        <item x="43"/>
        <item x="19"/>
        <item x="5"/>
        <item t="default"/>
      </items>
    </pivotField>
    <pivotField axis="axisCol" compact="0" outline="0" showAll="0" defaultSubtotal="0">
      <items count="33">
        <item h="1" x="32"/>
        <item x="11"/>
        <item x="31"/>
        <item x="27"/>
        <item x="16"/>
        <item x="8"/>
        <item x="9"/>
        <item x="23"/>
        <item x="3"/>
        <item x="2"/>
        <item x="5"/>
        <item x="10"/>
        <item x="25"/>
        <item x="28"/>
        <item h="1" x="0"/>
        <item x="1"/>
        <item x="14"/>
        <item x="19"/>
        <item x="18"/>
        <item x="22"/>
        <item x="4"/>
        <item x="6"/>
        <item x="20"/>
        <item x="29"/>
        <item x="30"/>
        <item x="21"/>
        <item x="15"/>
        <item x="24"/>
        <item h="1" x="7"/>
        <item x="26"/>
        <item x="13"/>
        <item x="12"/>
        <item x="17"/>
      </items>
    </pivotField>
    <pivotField dataField="1" compact="0" outline="0" showAll="0"/>
    <pivotField compact="0" showAll="0"/>
    <pivotField axis="axisPage" compact="0" outline="0" showAll="0" defaultSubtotal="0">
      <items count="4">
        <item x="2"/>
        <item x="3"/>
        <item x="0"/>
        <item x="1"/>
      </items>
    </pivotField>
    <pivotField axis="axisRow" compact="0" showAll="0" defaultSubtotal="0">
      <items count="4">
        <item x="1"/>
        <item x="2"/>
        <item x="0"/>
        <item x="3"/>
      </items>
    </pivotField>
  </pivotFields>
  <rowFields count="2">
    <field x="6"/>
    <field x="0"/>
  </rowFields>
  <rowItems count="16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1"/>
    </i>
    <i r="1">
      <x v="1"/>
    </i>
    <i t="grand">
      <x/>
    </i>
  </rowItems>
  <colFields count="1">
    <field x="2"/>
  </colFields>
  <colItems count="31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9"/>
    </i>
    <i>
      <x v="30"/>
    </i>
    <i>
      <x v="31"/>
    </i>
    <i>
      <x v="32"/>
    </i>
    <i t="grand">
      <x/>
    </i>
  </colItems>
  <pageFields count="2">
    <pageField fld="5" hier="-1"/>
    <pageField fld="1" hier="-1"/>
  </pageFields>
  <dataFields count="1">
    <dataField name="Suma - IMPORTE" fld="3" baseField="0" baseItem="0" numFmtId="164"/>
  </dataFields>
  <pivotTableStyleInfo name="PivotStyleLight17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nijdzg.github.io/aiDANaI/dani/ctas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E383"/>
  </sheetPr>
  <dimension ref="A1:J10806"/>
  <sheetViews>
    <sheetView tabSelected="1" topLeftCell="A62" zoomScaleNormal="100" workbookViewId="0">
      <pane ySplit="5" topLeftCell="A2759" activePane="bottomLeft" state="frozen"/>
      <selection pane="bottomLeft" activeCell="B2775" sqref="B2775"/>
      <selection activeCell="A62" sqref="A62"/>
    </sheetView>
  </sheetViews>
  <sheetFormatPr defaultColWidth="11.5703125" defaultRowHeight="14.25"/>
  <cols>
    <col min="1" max="1" width="15.5703125" style="1" customWidth="1"/>
    <col min="2" max="2" width="33.42578125" style="2" customWidth="1"/>
    <col min="3" max="3" width="20.85546875" style="2" customWidth="1"/>
    <col min="4" max="4" width="18.5703125" style="3" customWidth="1"/>
    <col min="5" max="5" width="43.5703125" style="2" customWidth="1"/>
    <col min="6" max="6" width="19.28515625" style="2" customWidth="1"/>
    <col min="7" max="7" width="12.85546875" style="2" customWidth="1"/>
    <col min="8" max="8" width="36.5703125" style="2" customWidth="1"/>
    <col min="9" max="16384" width="11.5703125" style="2"/>
  </cols>
  <sheetData>
    <row r="1" spans="1:6">
      <c r="A1" s="270">
        <f ca="1">TODAY()</f>
        <v>46048</v>
      </c>
      <c r="B1" s="4" t="str">
        <f>+Configuración!B14</f>
        <v>D-Bankinter</v>
      </c>
      <c r="C1" s="5"/>
      <c r="D1" s="6">
        <f>SUMIF(Movimientos!$B$67:$B$10793,B1,Movimientos!$D$67:$D$10793)</f>
        <v>4169.8600000000124</v>
      </c>
      <c r="E1" s="4"/>
      <c r="F1" s="7" t="s">
        <v>0</v>
      </c>
    </row>
    <row r="2" spans="1:6">
      <c r="A2" s="270"/>
      <c r="B2" s="8" t="str">
        <f>+Configuración!B15</f>
        <v>D-Bbva</v>
      </c>
      <c r="C2" s="9"/>
      <c r="D2" s="10">
        <f>SUMIF(Movimientos!$B$67:$B$10793,B2,Movimientos!$D$67:$D$10793)</f>
        <v>199.99999999999909</v>
      </c>
      <c r="E2" s="8"/>
      <c r="F2" s="11" t="s">
        <v>0</v>
      </c>
    </row>
    <row r="3" spans="1:6">
      <c r="A3" s="270"/>
      <c r="B3" s="8" t="str">
        <f>+Configuración!B16</f>
        <v>D-Binance</v>
      </c>
      <c r="C3" s="9"/>
      <c r="D3" s="10">
        <f>SUMIF(Movimientos!$B$67:$B$10793,B3,Movimientos!$D$67:$D$10793)</f>
        <v>0</v>
      </c>
      <c r="E3" s="8"/>
      <c r="F3" s="11" t="s">
        <v>0</v>
      </c>
    </row>
    <row r="4" spans="1:6">
      <c r="A4" s="270"/>
      <c r="B4" s="8" t="str">
        <f>+Configuración!B17</f>
        <v>D-Bit2me</v>
      </c>
      <c r="C4" s="9"/>
      <c r="D4" s="10">
        <f>SUMIF(Movimientos!$B$67:$B$10793,B4,Movimientos!$D$67:$D$10793)</f>
        <v>2.1582735598713043E-13</v>
      </c>
      <c r="E4" s="8"/>
      <c r="F4" s="11" t="s">
        <v>0</v>
      </c>
    </row>
    <row r="5" spans="1:6">
      <c r="A5" s="270"/>
      <c r="B5" s="8" t="str">
        <f>+Configuración!B18</f>
        <v>D-Bitvavo</v>
      </c>
      <c r="C5" s="9"/>
      <c r="D5" s="10">
        <f>SUMIF(Movimientos!$B$67:$B$10793,B5,Movimientos!$D$67:$D$10793)</f>
        <v>0</v>
      </c>
      <c r="E5" s="8"/>
      <c r="F5" s="11" t="s">
        <v>0</v>
      </c>
    </row>
    <row r="6" spans="1:6">
      <c r="A6" s="270"/>
      <c r="B6" s="8" t="str">
        <f>+Configuración!B19</f>
        <v>D-Civislend</v>
      </c>
      <c r="C6" s="9"/>
      <c r="D6" s="10">
        <f>SUMIF(Movimientos!$B$67:$B$10793,B6,Movimientos!$D$67:$D$10793)</f>
        <v>5300</v>
      </c>
      <c r="E6" s="8"/>
      <c r="F6" s="11" t="s">
        <v>0</v>
      </c>
    </row>
    <row r="7" spans="1:6">
      <c r="A7" s="270"/>
      <c r="B7" s="8" t="str">
        <f>+Configuración!B20</f>
        <v>D-Coinbase</v>
      </c>
      <c r="C7" s="9"/>
      <c r="D7" s="10">
        <f>SUMIF(Movimientos!$B$67:$B$10793,B7,Movimientos!$D$67:$D$10793)</f>
        <v>5.4001247917767614E-13</v>
      </c>
      <c r="E7" s="8"/>
      <c r="F7" s="11" t="s">
        <v>0</v>
      </c>
    </row>
    <row r="8" spans="1:6">
      <c r="A8" s="270"/>
      <c r="B8" s="8" t="str">
        <f>+Configuración!B21</f>
        <v>D-Criptan</v>
      </c>
      <c r="C8" s="9"/>
      <c r="D8" s="10">
        <f>SUMIF(Movimientos!$B$67:$B$10793,B8,Movimientos!$D$67:$D$10793)</f>
        <v>4230.4000000000005</v>
      </c>
      <c r="E8" s="8"/>
      <c r="F8" s="11" t="s">
        <v>0</v>
      </c>
    </row>
    <row r="9" spans="1:6">
      <c r="A9" s="270"/>
      <c r="B9" s="8" t="str">
        <f>+Configuración!B23</f>
        <v>D-Deblock</v>
      </c>
      <c r="C9" s="9"/>
      <c r="D9" s="10">
        <f>SUMIF(Movimientos!$B$67:$B$10793,B9,Movimientos!$D$67:$D$10793)</f>
        <v>0</v>
      </c>
      <c r="E9" s="8"/>
      <c r="F9" s="11" t="s">
        <v>0</v>
      </c>
    </row>
    <row r="10" spans="1:6">
      <c r="A10" s="270"/>
      <c r="B10" s="8" t="str">
        <f>+Configuración!B22</f>
        <v>D-Degiro</v>
      </c>
      <c r="C10" s="9"/>
      <c r="D10" s="10">
        <f>SUMIF(Movimientos!$B$67:$B$10793,B10,Movimientos!$D$67:$D$10793)</f>
        <v>911</v>
      </c>
      <c r="E10" s="12"/>
      <c r="F10" s="11" t="s">
        <v>0</v>
      </c>
    </row>
    <row r="11" spans="1:6">
      <c r="A11" s="270"/>
      <c r="B11" s="8" t="str">
        <f>+Configuración!B24</f>
        <v>D-Efectivo</v>
      </c>
      <c r="C11" s="9"/>
      <c r="D11" s="10">
        <f>SUMIF(Movimientos!$B$67:$B$10793,B11,Movimientos!$D$67:$D$10793)</f>
        <v>150</v>
      </c>
      <c r="E11" s="12"/>
      <c r="F11" s="11" t="s">
        <v>0</v>
      </c>
    </row>
    <row r="12" spans="1:6">
      <c r="A12" s="270"/>
      <c r="B12" s="8" t="str">
        <f>+Configuración!B25</f>
        <v>D-Freedom24</v>
      </c>
      <c r="C12" s="9"/>
      <c r="D12" s="10">
        <f>SUMIF(Movimientos!$B$67:$B$10793,B12,Movimientos!$D$67:$D$10793)</f>
        <v>5133.9999999999991</v>
      </c>
      <c r="E12" s="13"/>
      <c r="F12" s="11" t="s">
        <v>0</v>
      </c>
    </row>
    <row r="13" spans="1:6">
      <c r="A13" s="270"/>
      <c r="B13" s="8" t="str">
        <f>+Configuración!B26</f>
        <v>D-Hausera</v>
      </c>
      <c r="C13" s="9"/>
      <c r="D13" s="10">
        <f>SUMIF(Movimientos!$B$67:$B$10793,B13,Movimientos!$D$67:$D$10793)</f>
        <v>500</v>
      </c>
      <c r="E13" s="13"/>
      <c r="F13" s="11" t="s">
        <v>0</v>
      </c>
    </row>
    <row r="14" spans="1:6">
      <c r="A14" s="270"/>
      <c r="B14" s="8" t="str">
        <f>+Configuración!B27</f>
        <v>D-Housers</v>
      </c>
      <c r="C14" s="9"/>
      <c r="D14" s="10">
        <f>SUMIF(Movimientos!$B$67:$B$10793,B14,Movimientos!$D$67:$D$10793)</f>
        <v>1916</v>
      </c>
      <c r="E14" s="13"/>
      <c r="F14" s="11" t="s">
        <v>0</v>
      </c>
    </row>
    <row r="15" spans="1:6">
      <c r="A15" s="270"/>
      <c r="B15" s="8" t="str">
        <f>+Configuración!B28</f>
        <v>D-IndexaCapitalFondo</v>
      </c>
      <c r="C15" s="9"/>
      <c r="D15" s="10">
        <f>SUMIF(Movimientos!$B$67:$B$10793,B15,Movimientos!$D$67:$D$10793)</f>
        <v>9979.9100000000017</v>
      </c>
      <c r="E15" s="13"/>
      <c r="F15" s="11" t="s">
        <v>0</v>
      </c>
    </row>
    <row r="16" spans="1:6">
      <c r="A16" s="270"/>
      <c r="B16" s="8" t="str">
        <f>+Configuración!B29</f>
        <v>D-IndexaCapitalPensión</v>
      </c>
      <c r="C16" s="9"/>
      <c r="D16" s="10">
        <f>SUMIF(Movimientos!$B$67:$B$10793,B16,Movimientos!$D$67:$D$10793)</f>
        <v>1424.87</v>
      </c>
      <c r="E16" s="13"/>
      <c r="F16" s="11" t="s">
        <v>0</v>
      </c>
    </row>
    <row r="17" spans="1:6">
      <c r="A17" s="270"/>
      <c r="B17" s="8" t="str">
        <f>+Configuración!B30</f>
        <v>D-Ing</v>
      </c>
      <c r="C17" s="9"/>
      <c r="D17" s="10">
        <f>SUMIF(Movimientos!$B$67:$B$10793,B17,Movimientos!$D$67:$D$10793)</f>
        <v>0</v>
      </c>
      <c r="E17" s="14"/>
      <c r="F17" s="11" t="s">
        <v>0</v>
      </c>
    </row>
    <row r="18" spans="1:6">
      <c r="A18" s="270"/>
      <c r="B18" s="8" t="str">
        <f>+Configuración!B31</f>
        <v>D-Interactivebrokers</v>
      </c>
      <c r="C18" s="9"/>
      <c r="D18" s="10">
        <f>SUMIF(Movimientos!$B$67:$B$10793,B18,Movimientos!$D$67:$D$10793)</f>
        <v>6020.5599999999995</v>
      </c>
      <c r="E18" s="13"/>
      <c r="F18" s="11" t="s">
        <v>0</v>
      </c>
    </row>
    <row r="19" spans="1:6">
      <c r="A19" s="270"/>
      <c r="B19" s="8" t="str">
        <f>+Configuración!B32</f>
        <v>D-Kraken</v>
      </c>
      <c r="C19" s="9"/>
      <c r="D19" s="10">
        <f>SUMIF(Movimientos!$B$67:$B$10793,B19,Movimientos!$D$67:$D$10793)</f>
        <v>81.79999999999923</v>
      </c>
      <c r="E19" s="13"/>
      <c r="F19" s="11" t="s">
        <v>0</v>
      </c>
    </row>
    <row r="20" spans="1:6">
      <c r="A20" s="270"/>
      <c r="B20" s="8" t="str">
        <f>+Configuración!B33</f>
        <v>D-Ledger</v>
      </c>
      <c r="C20" s="9"/>
      <c r="D20" s="10">
        <f>SUMIF(Movimientos!$B$67:$B$10793,B20,Movimientos!$D$67:$D$10793)</f>
        <v>27541.070000000003</v>
      </c>
      <c r="E20" s="13"/>
      <c r="F20" s="11" t="s">
        <v>0</v>
      </c>
    </row>
    <row r="21" spans="1:6">
      <c r="A21" s="270"/>
      <c r="B21" s="8" t="str">
        <f>+Configuración!B34</f>
        <v>D-Letras</v>
      </c>
      <c r="C21" s="9"/>
      <c r="D21" s="10">
        <f>SUMIF(Movimientos!$B$67:$B$10793,B21,Movimientos!$D$67:$D$10793)</f>
        <v>0</v>
      </c>
      <c r="E21" s="12"/>
      <c r="F21" s="11" t="s">
        <v>0</v>
      </c>
    </row>
    <row r="22" spans="1:6">
      <c r="A22" s="270"/>
      <c r="B22" s="8" t="str">
        <f>+Configuración!B35</f>
        <v>D-Metamask</v>
      </c>
      <c r="C22" s="9"/>
      <c r="D22" s="10">
        <f>SUMIF(Movimientos!$B$67:$B$10793,B22,Movimientos!$D$67:$D$10793)</f>
        <v>2.5000000000000009</v>
      </c>
      <c r="E22" s="12"/>
      <c r="F22" s="11" t="s">
        <v>0</v>
      </c>
    </row>
    <row r="23" spans="1:6">
      <c r="A23" s="270"/>
      <c r="B23" s="8" t="str">
        <f>+Configuración!B36</f>
        <v>D-Mintos</v>
      </c>
      <c r="C23" s="9"/>
      <c r="D23" s="10">
        <f>SUMIF(Movimientos!$B$67:$B$10793,B23,Movimientos!$D$67:$D$10793)</f>
        <v>3178.74</v>
      </c>
      <c r="E23" s="12"/>
      <c r="F23" s="11" t="s">
        <v>0</v>
      </c>
    </row>
    <row r="24" spans="1:6">
      <c r="A24" s="270"/>
      <c r="B24" s="8" t="str">
        <f>+Configuración!B37</f>
        <v>D-Myinvestor</v>
      </c>
      <c r="C24" s="9"/>
      <c r="D24" s="10">
        <f>SUMIF(Movimientos!$B$67:$B$10793,B24,Movimientos!$D$67:$D$10793)</f>
        <v>187.09000000000106</v>
      </c>
      <c r="E24" s="12"/>
      <c r="F24" s="11" t="s">
        <v>0</v>
      </c>
    </row>
    <row r="25" spans="1:6">
      <c r="A25" s="270"/>
      <c r="B25" s="8" t="str">
        <f>+Configuración!B38</f>
        <v>D-MyinvestorFondo</v>
      </c>
      <c r="C25" s="9"/>
      <c r="D25" s="10">
        <f>SUMIF(Movimientos!$B$67:$B$10793,B25,Movimientos!$D$67:$D$10793)</f>
        <v>11904.52</v>
      </c>
      <c r="E25" s="12"/>
      <c r="F25" s="11" t="s">
        <v>0</v>
      </c>
    </row>
    <row r="26" spans="1:6">
      <c r="A26" s="270"/>
      <c r="B26" s="8" t="str">
        <f>+Configuración!B39</f>
        <v>D-MyinvestorPensión</v>
      </c>
      <c r="C26" s="9"/>
      <c r="D26" s="10">
        <f>SUMIF(Movimientos!$B$67:$B$10793,B26,Movimientos!$D$67:$D$10793)</f>
        <v>22858.940000000002</v>
      </c>
      <c r="E26" s="12"/>
      <c r="F26" s="11" t="s">
        <v>0</v>
      </c>
    </row>
    <row r="27" spans="1:6">
      <c r="A27" s="270"/>
      <c r="B27" s="8" t="str">
        <f>+Configuración!B40</f>
        <v>D-N26</v>
      </c>
      <c r="C27" s="9"/>
      <c r="D27" s="10">
        <f>SUMIF(Movimientos!$B$67:$B$10793,B27,Movimientos!$D$67:$D$10793)</f>
        <v>-4.0000000005093739E-3</v>
      </c>
      <c r="E27" s="12"/>
      <c r="F27" s="11" t="s">
        <v>0</v>
      </c>
    </row>
    <row r="28" spans="1:6">
      <c r="A28" s="270"/>
      <c r="B28" s="8" t="str">
        <f>+Configuración!B41</f>
        <v>D-N26Fondo</v>
      </c>
      <c r="C28" s="9"/>
      <c r="D28" s="10">
        <f>SUMIF(Movimientos!$B$67:$B$10793,B28,Movimientos!$D$67:$D$10793)</f>
        <v>2.2737367544323206E-13</v>
      </c>
      <c r="E28" s="12"/>
      <c r="F28" s="11" t="s">
        <v>0</v>
      </c>
    </row>
    <row r="29" spans="1:6">
      <c r="A29" s="270"/>
      <c r="B29" s="8" t="str">
        <f>+Configuración!B42</f>
        <v>D-Naranja</v>
      </c>
      <c r="C29" s="9"/>
      <c r="D29" s="10">
        <f>SUMIF(Movimientos!$B$67:$B$10793,B29,Movimientos!$D$67:$D$10793)</f>
        <v>3.637978807091713E-12</v>
      </c>
      <c r="E29" s="12"/>
      <c r="F29" s="11" t="s">
        <v>0</v>
      </c>
    </row>
    <row r="30" spans="1:6">
      <c r="A30" s="270"/>
      <c r="B30" s="8" t="str">
        <f>+Configuración!B43</f>
        <v>D-Openbank</v>
      </c>
      <c r="C30" s="9"/>
      <c r="D30" s="10">
        <f>SUMIF(Movimientos!$B$67:$B$10793,B30,Movimientos!$D$67:$D$10793)</f>
        <v>0</v>
      </c>
      <c r="E30" s="12"/>
      <c r="F30" s="11" t="s">
        <v>0</v>
      </c>
    </row>
    <row r="31" spans="1:6">
      <c r="A31" s="270"/>
      <c r="B31" s="8" t="str">
        <f>+Configuración!B44</f>
        <v>D-Revolut</v>
      </c>
      <c r="C31" s="9"/>
      <c r="D31" s="10">
        <f>SUMIF(Movimientos!$B$67:$B$10793,B31,Movimientos!$D$67:$D$10793)</f>
        <v>-1.1368683772161603E-13</v>
      </c>
      <c r="E31" s="8"/>
      <c r="F31" s="11" t="s">
        <v>0</v>
      </c>
    </row>
    <row r="32" spans="1:6">
      <c r="A32" s="270"/>
      <c r="B32" s="8" t="str">
        <f>+Configuración!B45</f>
        <v>D-Sabadell</v>
      </c>
      <c r="C32" s="9"/>
      <c r="D32" s="10">
        <f>SUMIF(Movimientos!$B$67:$B$10793,B32,Movimientos!$D$67:$D$10793)</f>
        <v>131.8200000000009</v>
      </c>
      <c r="E32" s="8"/>
      <c r="F32" s="11" t="s">
        <v>0</v>
      </c>
    </row>
    <row r="33" spans="1:7">
      <c r="A33" s="270"/>
      <c r="B33" s="8" t="str">
        <f>+Configuración!B46</f>
        <v>D-Santander</v>
      </c>
      <c r="C33" s="9"/>
      <c r="D33" s="10">
        <f>SUMIF(Movimientos!$B$67:$B$10793,B33,Movimientos!$D$67:$D$10793)</f>
        <v>9.0949470177292824E-13</v>
      </c>
      <c r="E33" s="15"/>
      <c r="F33" s="11" t="s">
        <v>0</v>
      </c>
    </row>
    <row r="34" spans="1:7">
      <c r="A34" s="270"/>
      <c r="B34" s="8" t="str">
        <f>+Configuración!B47</f>
        <v>D-Tarjeta</v>
      </c>
      <c r="C34" s="9"/>
      <c r="D34" s="10">
        <f>SUMIF(Movimientos!$B$67:$B$10793,B34,Movimientos!$D$67:$D$10793)</f>
        <v>-3.1832314562052488E-12</v>
      </c>
      <c r="E34" s="8"/>
      <c r="F34" s="11" t="s">
        <v>0</v>
      </c>
    </row>
    <row r="35" spans="1:7">
      <c r="A35" s="270"/>
      <c r="B35" s="8" t="str">
        <f>+Configuración!B48</f>
        <v>D-TradeRepublicCrypto</v>
      </c>
      <c r="C35" s="9"/>
      <c r="D35" s="10">
        <f>SUMIF(Movimientos!$B$67:$B$10793,B35,Movimientos!$D$67:$D$10793)</f>
        <v>4931</v>
      </c>
      <c r="E35" s="8"/>
      <c r="F35" s="11" t="s">
        <v>0</v>
      </c>
    </row>
    <row r="36" spans="1:7">
      <c r="A36" s="270"/>
      <c r="B36" s="8" t="str">
        <f>+Configuración!B49</f>
        <v>D-TradeRepublicFijo</v>
      </c>
      <c r="C36" s="9"/>
      <c r="D36" s="10">
        <f>SUMIF(Movimientos!$B$67:$B$10793,B36,Movimientos!$D$67:$D$10793)</f>
        <v>2013.47</v>
      </c>
      <c r="E36" s="8"/>
      <c r="F36" s="11" t="s">
        <v>0</v>
      </c>
    </row>
    <row r="37" spans="1:7">
      <c r="A37" s="270"/>
      <c r="B37" s="8" t="str">
        <f>+Configuración!B50</f>
        <v>D-TradeRepublicFondos</v>
      </c>
      <c r="C37" s="9"/>
      <c r="D37" s="10">
        <f>SUMIF(Movimientos!$B$67:$B$10793,B37,Movimientos!$D$67:$D$10793)</f>
        <v>12937.859999999995</v>
      </c>
      <c r="E37" s="8"/>
      <c r="F37" s="11" t="s">
        <v>0</v>
      </c>
      <c r="G37" s="16"/>
    </row>
    <row r="38" spans="1:7">
      <c r="A38" s="270"/>
      <c r="B38" s="8" t="str">
        <f>+Configuración!B51</f>
        <v>D-TradeRepublicPrivate</v>
      </c>
      <c r="C38" s="9"/>
      <c r="D38" s="10">
        <f>SUMIF(Movimientos!$B$67:$B$10793,B38,Movimientos!$D$67:$D$10793)</f>
        <v>16183.96</v>
      </c>
      <c r="E38" s="8"/>
      <c r="F38" s="11" t="s">
        <v>0</v>
      </c>
      <c r="G38" s="16"/>
    </row>
    <row r="39" spans="1:7">
      <c r="A39" s="270"/>
      <c r="B39" s="8" t="str">
        <f>+Configuración!B52</f>
        <v>D-TradeRepublic</v>
      </c>
      <c r="C39" s="9"/>
      <c r="D39" s="10">
        <f>SUMIF(Movimientos!$B$67:$B$10793,B39,Movimientos!$D$67:$D$10793)</f>
        <v>599.99999999999841</v>
      </c>
      <c r="E39" s="8"/>
      <c r="F39" s="11" t="s">
        <v>0</v>
      </c>
    </row>
    <row r="40" spans="1:7">
      <c r="A40" s="270"/>
      <c r="B40" s="8" t="str">
        <f>+Configuración!B53</f>
        <v>D-Urbanitae</v>
      </c>
      <c r="C40" s="9"/>
      <c r="D40" s="10">
        <f>SUMIF(Movimientos!$B$67:$B$10793,B40,Movimientos!$D$67:$D$10793)</f>
        <v>1625</v>
      </c>
      <c r="E40" s="8"/>
      <c r="F40" s="11" t="s">
        <v>0</v>
      </c>
    </row>
    <row r="41" spans="1:7">
      <c r="A41" s="270"/>
      <c r="B41" s="8" t="str">
        <f>+Configuración!B54</f>
        <v>N-Civislend</v>
      </c>
      <c r="C41" s="9"/>
      <c r="D41" s="10">
        <f>SUMIF(Movimientos!$B$67:$B$10793,B41,Movimientos!$D$67:$D$10793)</f>
        <v>3500</v>
      </c>
      <c r="E41" s="8"/>
      <c r="F41" s="11" t="s">
        <v>1</v>
      </c>
    </row>
    <row r="42" spans="1:7">
      <c r="A42" s="270"/>
      <c r="B42" s="8" t="str">
        <f>+Configuración!B55</f>
        <v>N-Criptan</v>
      </c>
      <c r="C42" s="9"/>
      <c r="D42" s="10">
        <f>SUMIF(Movimientos!$B$67:$B$10793,B42,Movimientos!$D$67:$D$10793)</f>
        <v>5000</v>
      </c>
      <c r="E42" s="8"/>
      <c r="F42" s="11" t="s">
        <v>1</v>
      </c>
    </row>
    <row r="43" spans="1:7">
      <c r="A43" s="270"/>
      <c r="B43" s="8" t="str">
        <f>+Configuración!B56</f>
        <v>N-Efectivo</v>
      </c>
      <c r="C43" s="9"/>
      <c r="D43" s="10">
        <f>SUMIF(Movimientos!$B$67:$B$10793,B43,Movimientos!$D$67:$D$10793)</f>
        <v>683.83999999999958</v>
      </c>
      <c r="E43" s="8"/>
      <c r="F43" s="11" t="s">
        <v>1</v>
      </c>
    </row>
    <row r="44" spans="1:7">
      <c r="A44" s="270"/>
      <c r="B44" s="8" t="str">
        <f>+Configuración!B58</f>
        <v>N-IndexaCapitalFondo</v>
      </c>
      <c r="C44" s="9"/>
      <c r="D44" s="10">
        <f>SUMIF(Movimientos!$B$67:$B$10793,B44,Movimientos!$D$67:$D$10793)</f>
        <v>1000</v>
      </c>
      <c r="E44" s="8"/>
      <c r="F44" s="11" t="s">
        <v>1</v>
      </c>
    </row>
    <row r="45" spans="1:7">
      <c r="A45" s="270"/>
      <c r="B45" s="8" t="str">
        <f>+Configuración!B57</f>
        <v>N-IndexaCapitalPensión</v>
      </c>
      <c r="C45" s="9"/>
      <c r="D45" s="10">
        <f>SUMIF(Movimientos!$B$67:$B$10793,B45,Movimientos!$D$67:$D$10793)</f>
        <v>10165</v>
      </c>
      <c r="E45" s="8"/>
      <c r="F45" s="11" t="s">
        <v>1</v>
      </c>
    </row>
    <row r="46" spans="1:7">
      <c r="A46" s="270"/>
      <c r="B46" s="8" t="str">
        <f>+Configuración!B59</f>
        <v>N-Ing</v>
      </c>
      <c r="C46" s="9"/>
      <c r="D46" s="10">
        <f>SUMIF(Movimientos!$B$67:$B$10793,B46,Movimientos!$D$67:$D$10793)</f>
        <v>0</v>
      </c>
      <c r="E46" s="8"/>
      <c r="F46" s="11" t="s">
        <v>1</v>
      </c>
    </row>
    <row r="47" spans="1:7">
      <c r="A47" s="270"/>
      <c r="B47" s="8" t="str">
        <f>+Configuración!B60</f>
        <v>N-Letras</v>
      </c>
      <c r="C47" s="9"/>
      <c r="D47" s="10">
        <f>SUMIF(Movimientos!$B$67:$B$10793,B47,Movimientos!$D$67:$D$10793)</f>
        <v>90000</v>
      </c>
      <c r="E47" s="8"/>
      <c r="F47" s="11" t="s">
        <v>1</v>
      </c>
    </row>
    <row r="48" spans="1:7">
      <c r="A48" s="270"/>
      <c r="B48" s="8" t="str">
        <f>+Configuración!B61</f>
        <v>N-Myinvestor</v>
      </c>
      <c r="C48" s="9"/>
      <c r="D48" s="10">
        <f>SUMIF(Movimientos!$B$67:$B$10793,B48,Movimientos!$D$67:$D$10793)</f>
        <v>0</v>
      </c>
      <c r="E48" s="8"/>
      <c r="F48" s="11" t="s">
        <v>1</v>
      </c>
    </row>
    <row r="49" spans="1:6">
      <c r="A49" s="270"/>
      <c r="B49" s="8" t="str">
        <f>+Configuración!B62</f>
        <v>N-MyinvestorFondo</v>
      </c>
      <c r="C49" s="9"/>
      <c r="D49" s="10">
        <f>SUMIF(Movimientos!$B$67:$B$10793,B49,Movimientos!$D$67:$D$10793)</f>
        <v>3500.09</v>
      </c>
      <c r="E49" s="8"/>
      <c r="F49" s="11" t="s">
        <v>1</v>
      </c>
    </row>
    <row r="50" spans="1:6">
      <c r="A50" s="270"/>
      <c r="B50" s="8" t="str">
        <f>+Configuración!B63</f>
        <v>N-Naranja</v>
      </c>
      <c r="C50" s="9"/>
      <c r="D50" s="10">
        <f>SUMIF(Movimientos!$B$67:$B$10793,B50,Movimientos!$D$67:$D$10793)</f>
        <v>382.53999999999951</v>
      </c>
      <c r="E50" s="12"/>
      <c r="F50" s="11" t="s">
        <v>1</v>
      </c>
    </row>
    <row r="51" spans="1:6">
      <c r="A51" s="270"/>
      <c r="B51" s="8" t="str">
        <f>+Configuración!B64</f>
        <v>N-N26</v>
      </c>
      <c r="C51" s="9"/>
      <c r="D51" s="10">
        <f>SUMIF(Movimientos!$B$67:$B$10793,B51,Movimientos!$D$67:$D$10793)</f>
        <v>31823.490000000009</v>
      </c>
      <c r="E51" s="12"/>
      <c r="F51" s="11" t="s">
        <v>1</v>
      </c>
    </row>
    <row r="52" spans="1:6">
      <c r="A52" s="270"/>
      <c r="B52" s="8" t="str">
        <f>+Configuración!B65</f>
        <v>N-Pensión</v>
      </c>
      <c r="C52" s="9"/>
      <c r="D52" s="10">
        <f>SUMIF(Movimientos!$B$67:$B$10793,B52,Movimientos!$D$67:$D$10793)</f>
        <v>0</v>
      </c>
      <c r="E52" s="12"/>
      <c r="F52" s="11" t="s">
        <v>1</v>
      </c>
    </row>
    <row r="53" spans="1:6">
      <c r="A53" s="270"/>
      <c r="B53" s="8" t="str">
        <f>+Configuración!B66</f>
        <v>N-Revolut</v>
      </c>
      <c r="C53" s="9"/>
      <c r="D53" s="10">
        <f>SUMIF(Movimientos!$B$67:$B$10793,B53,Movimientos!$D$67:$D$10793)</f>
        <v>0</v>
      </c>
      <c r="E53" s="12"/>
      <c r="F53" s="11" t="s">
        <v>1</v>
      </c>
    </row>
    <row r="54" spans="1:6">
      <c r="A54" s="270"/>
      <c r="B54" s="8" t="str">
        <f>+Configuración!B67</f>
        <v>N-RevolutFondo</v>
      </c>
      <c r="C54" s="9"/>
      <c r="D54" s="10">
        <f>SUMIF(Movimientos!$B$67:$B$10793,B54,Movimientos!$D$67:$D$10793)</f>
        <v>2000</v>
      </c>
      <c r="E54" s="12"/>
      <c r="F54" s="11" t="s">
        <v>1</v>
      </c>
    </row>
    <row r="55" spans="1:6">
      <c r="A55" s="270"/>
      <c r="B55" s="8" t="str">
        <f>+Configuración!B68</f>
        <v>N-Sabadell</v>
      </c>
      <c r="C55" s="9"/>
      <c r="D55" s="10">
        <f>SUMIF(Movimientos!$B$67:$B$10793,B55,Movimientos!$D$67:$D$10793)</f>
        <v>16993.94999999999</v>
      </c>
      <c r="E55" s="12"/>
      <c r="F55" s="11" t="s">
        <v>1</v>
      </c>
    </row>
    <row r="56" spans="1:6">
      <c r="A56" s="270"/>
      <c r="B56" s="8" t="str">
        <f>+Configuración!B69</f>
        <v>N-Santander</v>
      </c>
      <c r="C56" s="9"/>
      <c r="D56" s="10">
        <f>SUMIF(Movimientos!$B$67:$B$10793,B56,Movimientos!$D$67:$D$10793)</f>
        <v>1408.0099999999984</v>
      </c>
      <c r="E56" s="12"/>
      <c r="F56" s="11" t="s">
        <v>1</v>
      </c>
    </row>
    <row r="57" spans="1:6">
      <c r="A57" s="270"/>
      <c r="B57" s="8" t="str">
        <f>+Configuración!B70</f>
        <v>N-Tarjeta</v>
      </c>
      <c r="C57" s="9"/>
      <c r="D57" s="10">
        <f>SUMIF(Movimientos!$B$67:$B$10793,B57,Movimientos!$D$67:$D$10793)</f>
        <v>-412.66099999999989</v>
      </c>
      <c r="E57" s="12"/>
      <c r="F57" s="11" t="s">
        <v>1</v>
      </c>
    </row>
    <row r="58" spans="1:6">
      <c r="A58" s="270"/>
      <c r="B58" s="8" t="str">
        <f>+Configuración!B71</f>
        <v>N-TradeRepublic</v>
      </c>
      <c r="C58" s="9"/>
      <c r="D58" s="10">
        <f>SUMIF(Movimientos!$B$67:$B$10793,B58,Movimientos!$D$67:$D$10793)</f>
        <v>42614.339999999982</v>
      </c>
      <c r="E58" s="12"/>
      <c r="F58" s="11" t="s">
        <v>1</v>
      </c>
    </row>
    <row r="59" spans="1:6">
      <c r="A59" s="270"/>
      <c r="B59" s="8" t="str">
        <f>+Configuración!B72</f>
        <v>N-TradeRepublicFondo</v>
      </c>
      <c r="C59" s="9"/>
      <c r="D59" s="10">
        <f>SUMIF(Movimientos!$B$67:$B$10793,B59,Movimientos!$D$67:$D$10793)</f>
        <v>970</v>
      </c>
      <c r="E59" s="12"/>
      <c r="F59" s="11" t="s">
        <v>1</v>
      </c>
    </row>
    <row r="60" spans="1:6">
      <c r="A60" s="270"/>
      <c r="B60" s="9" t="str">
        <f>+Configuración!B73</f>
        <v>N-Urbanitae</v>
      </c>
      <c r="C60" s="9"/>
      <c r="D60" s="17">
        <f>SUMIF(Movimientos!$B$67:$B$10793,B60,Movimientos!$D$67:$D$10793)</f>
        <v>1500</v>
      </c>
      <c r="E60" s="12"/>
      <c r="F60" s="11" t="s">
        <v>1</v>
      </c>
    </row>
    <row r="61" spans="1:6" s="24" customFormat="1" ht="15">
      <c r="A61" s="18"/>
      <c r="B61" s="19" t="str">
        <f t="array" ref="B61">INDEX(B67:B10793,MAX(IF(B67:B10793&lt;&gt;"",ROW(B67:B10793)-ROW(B67)-1,0)))</f>
        <v>D-Bitvavo</v>
      </c>
      <c r="C61" s="20" t="s">
        <v>2</v>
      </c>
      <c r="D61" s="21">
        <f>SUMIF(Movimientos!$B$67:$B$10793,B61,Movimientos!$D$67:$D$10793)</f>
        <v>0</v>
      </c>
      <c r="E61" s="22"/>
      <c r="F61" s="23"/>
    </row>
    <row r="62" spans="1:6" s="24" customFormat="1" ht="15">
      <c r="A62" s="18"/>
      <c r="B62" s="19" t="str">
        <f t="array" ref="B62">INDEX(B67:B10793,MAX(IF(B67:B10793&lt;&gt;"",ROW(B67:B10793)-ROW(B67)+0,0)))</f>
        <v>D-Ledger</v>
      </c>
      <c r="C62" s="20" t="s">
        <v>2</v>
      </c>
      <c r="D62" s="21">
        <f>SUMIF(Movimientos!$B$67:$B$10793,B62,Movimientos!$D$67:$D$10793)</f>
        <v>27541.070000000003</v>
      </c>
      <c r="E62" s="22"/>
      <c r="F62" s="23"/>
    </row>
    <row r="63" spans="1:6" s="24" customFormat="1" ht="15">
      <c r="A63" s="18"/>
      <c r="B63" s="19" t="str">
        <f t="array" ref="B63">INDEX(B67:B10793,MAX(IF(B67:B10793&lt;&gt;"",ROW(B67:B10793)-ROW(B67)+1,0)))</f>
        <v>D-Kraken</v>
      </c>
      <c r="C63" s="20" t="s">
        <v>2</v>
      </c>
      <c r="D63" s="21">
        <f>SUMIF(Movimientos!$B$67:$B$10793,B63,Movimientos!$D$67:$D$10793)</f>
        <v>81.79999999999923</v>
      </c>
      <c r="E63" s="25"/>
      <c r="F63" s="23"/>
    </row>
    <row r="64" spans="1:6" s="24" customFormat="1" ht="15">
      <c r="A64" s="271">
        <f ca="1">TODAY()</f>
        <v>46048</v>
      </c>
      <c r="B64" s="272" t="s">
        <v>3</v>
      </c>
      <c r="C64" s="272"/>
      <c r="D64" s="273">
        <f>SUM(D1:D60)</f>
        <v>355242.96500000003</v>
      </c>
      <c r="E64" s="26" t="s">
        <v>0</v>
      </c>
      <c r="F64" s="27" t="s">
        <v>1</v>
      </c>
    </row>
    <row r="65" spans="1:6" s="24" customFormat="1" ht="15">
      <c r="A65" s="271"/>
      <c r="B65" s="272"/>
      <c r="C65" s="272"/>
      <c r="D65" s="273"/>
      <c r="E65" s="28">
        <f>SUM(D1:D40)</f>
        <v>144114.36600000004</v>
      </c>
      <c r="F65" s="29">
        <f>SUM(D43:D60)</f>
        <v>202628.59899999999</v>
      </c>
    </row>
    <row r="66" spans="1:6" ht="15">
      <c r="A66" s="30" t="s">
        <v>4</v>
      </c>
      <c r="B66" s="31" t="s">
        <v>5</v>
      </c>
      <c r="C66" s="31" t="s">
        <v>6</v>
      </c>
      <c r="D66" s="32" t="s">
        <v>7</v>
      </c>
      <c r="E66" s="33" t="s">
        <v>8</v>
      </c>
      <c r="F66" s="33" t="s">
        <v>9</v>
      </c>
    </row>
    <row r="67" spans="1:6">
      <c r="A67" s="34">
        <v>45658</v>
      </c>
      <c r="B67" s="8" t="s">
        <v>10</v>
      </c>
      <c r="C67" s="8" t="s">
        <v>11</v>
      </c>
      <c r="D67" s="10">
        <v>13500</v>
      </c>
      <c r="E67" s="8" t="s">
        <v>12</v>
      </c>
      <c r="F67" s="11" t="s">
        <v>0</v>
      </c>
    </row>
    <row r="68" spans="1:6">
      <c r="A68" s="34">
        <v>45658</v>
      </c>
      <c r="B68" s="8" t="s">
        <v>13</v>
      </c>
      <c r="C68" s="8" t="s">
        <v>11</v>
      </c>
      <c r="D68" s="10">
        <v>2100</v>
      </c>
      <c r="E68" s="8" t="s">
        <v>12</v>
      </c>
      <c r="F68" s="11" t="s">
        <v>0</v>
      </c>
    </row>
    <row r="69" spans="1:6">
      <c r="A69" s="34">
        <v>45658</v>
      </c>
      <c r="B69" s="8" t="s">
        <v>14</v>
      </c>
      <c r="C69" s="8" t="s">
        <v>11</v>
      </c>
      <c r="D69" s="10">
        <v>8540</v>
      </c>
      <c r="E69" s="8" t="s">
        <v>12</v>
      </c>
      <c r="F69" s="11" t="s">
        <v>1</v>
      </c>
    </row>
    <row r="70" spans="1:6">
      <c r="A70" s="34">
        <v>45658</v>
      </c>
      <c r="B70" s="8" t="s">
        <v>15</v>
      </c>
      <c r="C70" s="8" t="s">
        <v>11</v>
      </c>
      <c r="D70" s="10">
        <v>0</v>
      </c>
      <c r="E70" s="8" t="s">
        <v>12</v>
      </c>
      <c r="F70" s="11" t="s">
        <v>1</v>
      </c>
    </row>
    <row r="71" spans="1:6">
      <c r="A71" s="34">
        <v>45658</v>
      </c>
      <c r="B71" s="8" t="s">
        <v>16</v>
      </c>
      <c r="C71" s="8" t="s">
        <v>11</v>
      </c>
      <c r="D71" s="10">
        <v>-697.85</v>
      </c>
      <c r="E71" s="8" t="s">
        <v>12</v>
      </c>
      <c r="F71" s="11" t="s">
        <v>0</v>
      </c>
    </row>
    <row r="72" spans="1:6">
      <c r="A72" s="34">
        <v>45658</v>
      </c>
      <c r="B72" s="8" t="s">
        <v>17</v>
      </c>
      <c r="C72" s="8" t="s">
        <v>11</v>
      </c>
      <c r="D72" s="10">
        <v>-222.9</v>
      </c>
      <c r="E72" s="8" t="s">
        <v>12</v>
      </c>
      <c r="F72" s="11" t="s">
        <v>1</v>
      </c>
    </row>
    <row r="73" spans="1:6">
      <c r="A73" s="34">
        <v>45658</v>
      </c>
      <c r="B73" s="8" t="s">
        <v>18</v>
      </c>
      <c r="C73" s="8" t="s">
        <v>11</v>
      </c>
      <c r="D73" s="10">
        <v>51.7</v>
      </c>
      <c r="E73" s="8" t="s">
        <v>12</v>
      </c>
      <c r="F73" s="11" t="s">
        <v>0</v>
      </c>
    </row>
    <row r="74" spans="1:6">
      <c r="A74" s="34">
        <v>45658</v>
      </c>
      <c r="B74" s="8" t="s">
        <v>19</v>
      </c>
      <c r="C74" s="8" t="s">
        <v>11</v>
      </c>
      <c r="D74" s="10">
        <v>141.43</v>
      </c>
      <c r="E74" s="8" t="s">
        <v>12</v>
      </c>
      <c r="F74" s="11" t="s">
        <v>1</v>
      </c>
    </row>
    <row r="75" spans="1:6">
      <c r="A75" s="34">
        <v>45658</v>
      </c>
      <c r="B75" s="8" t="s">
        <v>20</v>
      </c>
      <c r="C75" s="8" t="s">
        <v>11</v>
      </c>
      <c r="D75" s="10">
        <v>58.18</v>
      </c>
      <c r="E75" s="8" t="s">
        <v>12</v>
      </c>
      <c r="F75" s="11" t="s">
        <v>0</v>
      </c>
    </row>
    <row r="76" spans="1:6">
      <c r="A76" s="34">
        <v>45658</v>
      </c>
      <c r="B76" s="8" t="s">
        <v>21</v>
      </c>
      <c r="C76" s="8" t="s">
        <v>11</v>
      </c>
      <c r="D76" s="10">
        <v>50000</v>
      </c>
      <c r="E76" s="8" t="s">
        <v>12</v>
      </c>
      <c r="F76" s="11" t="s">
        <v>0</v>
      </c>
    </row>
    <row r="77" spans="1:6">
      <c r="A77" s="34">
        <v>45658</v>
      </c>
      <c r="B77" s="8" t="s">
        <v>22</v>
      </c>
      <c r="C77" s="8" t="s">
        <v>11</v>
      </c>
      <c r="D77" s="10">
        <v>22066.9</v>
      </c>
      <c r="E77" s="8" t="s">
        <v>12</v>
      </c>
      <c r="F77" s="11" t="s">
        <v>0</v>
      </c>
    </row>
    <row r="78" spans="1:6">
      <c r="A78" s="34">
        <v>45658</v>
      </c>
      <c r="B78" s="8" t="s">
        <v>23</v>
      </c>
      <c r="C78" s="8" t="s">
        <v>11</v>
      </c>
      <c r="D78" s="10">
        <v>300</v>
      </c>
      <c r="E78" s="8" t="s">
        <v>12</v>
      </c>
      <c r="F78" s="11" t="s">
        <v>0</v>
      </c>
    </row>
    <row r="79" spans="1:6">
      <c r="A79" s="34">
        <v>45658</v>
      </c>
      <c r="B79" s="8" t="s">
        <v>24</v>
      </c>
      <c r="C79" s="8" t="s">
        <v>11</v>
      </c>
      <c r="D79" s="10">
        <v>1908.93</v>
      </c>
      <c r="E79" s="8" t="s">
        <v>12</v>
      </c>
      <c r="F79" s="11" t="s">
        <v>0</v>
      </c>
    </row>
    <row r="80" spans="1:6">
      <c r="A80" s="34">
        <v>45658</v>
      </c>
      <c r="B80" s="8" t="s">
        <v>25</v>
      </c>
      <c r="C80" s="8" t="s">
        <v>11</v>
      </c>
      <c r="D80" s="10">
        <v>903.8</v>
      </c>
      <c r="E80" s="8" t="s">
        <v>12</v>
      </c>
      <c r="F80" s="11" t="s">
        <v>0</v>
      </c>
    </row>
    <row r="81" spans="1:6">
      <c r="A81" s="34">
        <v>45658</v>
      </c>
      <c r="B81" s="8" t="s">
        <v>26</v>
      </c>
      <c r="C81" s="8" t="s">
        <v>11</v>
      </c>
      <c r="D81" s="10">
        <v>31734.01</v>
      </c>
      <c r="E81" s="8" t="s">
        <v>12</v>
      </c>
      <c r="F81" s="11" t="s">
        <v>0</v>
      </c>
    </row>
    <row r="82" spans="1:6">
      <c r="A82" s="34">
        <f>+A81</f>
        <v>45658</v>
      </c>
      <c r="B82" s="8" t="s">
        <v>27</v>
      </c>
      <c r="C82" s="8" t="s">
        <v>11</v>
      </c>
      <c r="D82" s="10">
        <v>0</v>
      </c>
      <c r="E82" s="8" t="s">
        <v>12</v>
      </c>
      <c r="F82" s="11" t="s">
        <v>1</v>
      </c>
    </row>
    <row r="83" spans="1:6">
      <c r="A83" s="34">
        <f>+A82</f>
        <v>45658</v>
      </c>
      <c r="B83" s="8" t="s">
        <v>28</v>
      </c>
      <c r="C83" s="8" t="s">
        <v>11</v>
      </c>
      <c r="D83" s="10">
        <v>122000</v>
      </c>
      <c r="E83" s="8" t="s">
        <v>12</v>
      </c>
      <c r="F83" s="11" t="s">
        <v>1</v>
      </c>
    </row>
    <row r="84" spans="1:6">
      <c r="A84" s="34">
        <f>+A83</f>
        <v>45658</v>
      </c>
      <c r="B84" s="8" t="s">
        <v>29</v>
      </c>
      <c r="C84" s="8" t="s">
        <v>11</v>
      </c>
      <c r="D84" s="10">
        <v>2538.27</v>
      </c>
      <c r="E84" s="8" t="s">
        <v>12</v>
      </c>
      <c r="F84" s="11" t="s">
        <v>1</v>
      </c>
    </row>
    <row r="85" spans="1:6">
      <c r="A85" s="34">
        <f>+A84</f>
        <v>45658</v>
      </c>
      <c r="B85" s="8" t="s">
        <v>30</v>
      </c>
      <c r="C85" s="8" t="s">
        <v>11</v>
      </c>
      <c r="D85" s="10">
        <v>0</v>
      </c>
      <c r="E85" s="8" t="s">
        <v>12</v>
      </c>
      <c r="F85" s="11" t="s">
        <v>1</v>
      </c>
    </row>
    <row r="86" spans="1:6">
      <c r="A86" s="34">
        <f>+A85</f>
        <v>45658</v>
      </c>
      <c r="B86" s="8" t="s">
        <v>31</v>
      </c>
      <c r="C86" s="8" t="s">
        <v>11</v>
      </c>
      <c r="D86" s="10">
        <v>32737.62</v>
      </c>
      <c r="E86" s="8" t="s">
        <v>12</v>
      </c>
      <c r="F86" s="11" t="s">
        <v>1</v>
      </c>
    </row>
    <row r="87" spans="1:6">
      <c r="A87" s="34">
        <f>+A86</f>
        <v>45658</v>
      </c>
      <c r="B87" s="8" t="s">
        <v>32</v>
      </c>
      <c r="C87" s="8" t="s">
        <v>11</v>
      </c>
      <c r="D87" s="10">
        <v>1959.48</v>
      </c>
      <c r="E87" s="8" t="s">
        <v>12</v>
      </c>
      <c r="F87" s="11" t="s">
        <v>1</v>
      </c>
    </row>
    <row r="88" spans="1:6">
      <c r="A88" s="35">
        <f>+A87</f>
        <v>45658</v>
      </c>
      <c r="B88" s="36" t="s">
        <v>33</v>
      </c>
      <c r="C88" s="36" t="s">
        <v>11</v>
      </c>
      <c r="D88" s="37">
        <v>22834.75</v>
      </c>
      <c r="E88" s="36" t="s">
        <v>12</v>
      </c>
      <c r="F88" s="38" t="s">
        <v>1</v>
      </c>
    </row>
    <row r="89" spans="1:6">
      <c r="A89" s="39">
        <v>45658</v>
      </c>
      <c r="B89" s="40" t="s">
        <v>22</v>
      </c>
      <c r="C89" s="40" t="s">
        <v>34</v>
      </c>
      <c r="D89" s="41">
        <v>1.74</v>
      </c>
      <c r="E89" s="40" t="s">
        <v>35</v>
      </c>
      <c r="F89" s="42" t="s">
        <v>0</v>
      </c>
    </row>
    <row r="90" spans="1:6">
      <c r="A90" s="39">
        <v>45658</v>
      </c>
      <c r="B90" s="40" t="s">
        <v>26</v>
      </c>
      <c r="C90" s="40" t="s">
        <v>34</v>
      </c>
      <c r="D90" s="41">
        <v>68.17</v>
      </c>
      <c r="E90" s="40" t="s">
        <v>35</v>
      </c>
      <c r="F90" s="42" t="s">
        <v>0</v>
      </c>
    </row>
    <row r="91" spans="1:6">
      <c r="A91" s="39">
        <v>45658</v>
      </c>
      <c r="B91" s="40" t="s">
        <v>16</v>
      </c>
      <c r="C91" s="40" t="s">
        <v>36</v>
      </c>
      <c r="D91" s="41">
        <v>-79.459999999999994</v>
      </c>
      <c r="E91" s="40" t="s">
        <v>37</v>
      </c>
      <c r="F91" s="42" t="s">
        <v>38</v>
      </c>
    </row>
    <row r="92" spans="1:6">
      <c r="A92" s="39">
        <v>45659</v>
      </c>
      <c r="B92" s="40" t="s">
        <v>25</v>
      </c>
      <c r="C92" s="40" t="s">
        <v>39</v>
      </c>
      <c r="D92" s="41">
        <v>800</v>
      </c>
      <c r="E92" s="40" t="s">
        <v>40</v>
      </c>
      <c r="F92" s="42" t="s">
        <v>0</v>
      </c>
    </row>
    <row r="93" spans="1:6">
      <c r="A93" s="39">
        <v>45659</v>
      </c>
      <c r="B93" s="40" t="s">
        <v>16</v>
      </c>
      <c r="C93" s="40" t="s">
        <v>41</v>
      </c>
      <c r="D93" s="41">
        <v>-1.2</v>
      </c>
      <c r="E93" s="40" t="s">
        <v>42</v>
      </c>
      <c r="F93" s="42" t="s">
        <v>0</v>
      </c>
    </row>
    <row r="94" spans="1:6">
      <c r="A94" s="39">
        <f>A93</f>
        <v>45659</v>
      </c>
      <c r="B94" s="40" t="s">
        <v>25</v>
      </c>
      <c r="C94" s="40" t="s">
        <v>43</v>
      </c>
      <c r="D94" s="41">
        <v>-60</v>
      </c>
      <c r="E94" s="40" t="str">
        <f>C94</f>
        <v>Comunidad</v>
      </c>
      <c r="F94" s="42" t="s">
        <v>38</v>
      </c>
    </row>
    <row r="95" spans="1:6">
      <c r="A95" s="39">
        <f>A94</f>
        <v>45659</v>
      </c>
      <c r="B95" s="40" t="s">
        <v>16</v>
      </c>
      <c r="C95" s="40" t="s">
        <v>44</v>
      </c>
      <c r="D95" s="41">
        <f>-39.88-25.08</f>
        <v>-64.960000000000008</v>
      </c>
      <c r="E95" s="43" t="s">
        <v>45</v>
      </c>
      <c r="F95" s="42" t="s">
        <v>0</v>
      </c>
    </row>
    <row r="96" spans="1:6">
      <c r="A96" s="39">
        <f>A95</f>
        <v>45659</v>
      </c>
      <c r="B96" s="40" t="s">
        <v>25</v>
      </c>
      <c r="C96" s="40" t="s">
        <v>46</v>
      </c>
      <c r="D96" s="41">
        <v>-700</v>
      </c>
      <c r="E96" s="43" t="str">
        <f>C96</f>
        <v>Traspaso</v>
      </c>
      <c r="F96" s="42" t="s">
        <v>0</v>
      </c>
    </row>
    <row r="97" spans="1:6">
      <c r="A97" s="39">
        <f>A96</f>
        <v>45659</v>
      </c>
      <c r="B97" s="40" t="s">
        <v>23</v>
      </c>
      <c r="C97" s="40" t="s">
        <v>46</v>
      </c>
      <c r="D97" s="41">
        <v>700</v>
      </c>
      <c r="E97" s="43" t="str">
        <f>C97</f>
        <v>Traspaso</v>
      </c>
      <c r="F97" s="42" t="s">
        <v>0</v>
      </c>
    </row>
    <row r="98" spans="1:6">
      <c r="A98" s="39">
        <v>45659</v>
      </c>
      <c r="B98" s="40" t="s">
        <v>26</v>
      </c>
      <c r="C98" s="40" t="s">
        <v>46</v>
      </c>
      <c r="D98" s="41">
        <v>-1000</v>
      </c>
      <c r="E98" s="43" t="str">
        <f>C98</f>
        <v>Traspaso</v>
      </c>
      <c r="F98" s="42" t="s">
        <v>0</v>
      </c>
    </row>
    <row r="99" spans="1:6">
      <c r="A99" s="39">
        <v>45659</v>
      </c>
      <c r="B99" s="40" t="s">
        <v>13</v>
      </c>
      <c r="C99" s="40" t="s">
        <v>46</v>
      </c>
      <c r="D99" s="41">
        <v>1000</v>
      </c>
      <c r="E99" s="43" t="str">
        <f>C99</f>
        <v>Traspaso</v>
      </c>
      <c r="F99" s="42" t="s">
        <v>0</v>
      </c>
    </row>
    <row r="100" spans="1:6">
      <c r="A100" s="39">
        <v>45660</v>
      </c>
      <c r="B100" s="40" t="s">
        <v>16</v>
      </c>
      <c r="C100" s="40" t="s">
        <v>41</v>
      </c>
      <c r="D100" s="41">
        <v>-1.2</v>
      </c>
      <c r="E100" s="40" t="s">
        <v>42</v>
      </c>
      <c r="F100" s="42" t="s">
        <v>0</v>
      </c>
    </row>
    <row r="101" spans="1:6">
      <c r="A101" s="39">
        <f>A100</f>
        <v>45660</v>
      </c>
      <c r="B101" s="40" t="s">
        <v>25</v>
      </c>
      <c r="C101" s="40" t="s">
        <v>47</v>
      </c>
      <c r="D101" s="41">
        <v>242.87</v>
      </c>
      <c r="E101" s="43" t="s">
        <v>48</v>
      </c>
      <c r="F101" s="42" t="s">
        <v>0</v>
      </c>
    </row>
    <row r="102" spans="1:6">
      <c r="A102" s="39">
        <v>45658</v>
      </c>
      <c r="B102" s="40" t="s">
        <v>29</v>
      </c>
      <c r="C102" s="40" t="s">
        <v>34</v>
      </c>
      <c r="D102" s="41">
        <v>1.68</v>
      </c>
      <c r="E102" s="43" t="s">
        <v>49</v>
      </c>
      <c r="F102" s="42" t="s">
        <v>1</v>
      </c>
    </row>
    <row r="103" spans="1:6">
      <c r="A103" s="39">
        <f>A102</f>
        <v>45658</v>
      </c>
      <c r="B103" s="40" t="s">
        <v>33</v>
      </c>
      <c r="C103" s="40" t="s">
        <v>34</v>
      </c>
      <c r="D103" s="41">
        <v>57.46</v>
      </c>
      <c r="E103" s="43" t="s">
        <v>49</v>
      </c>
      <c r="F103" s="42" t="s">
        <v>1</v>
      </c>
    </row>
    <row r="104" spans="1:6">
      <c r="A104" s="39">
        <f>A103</f>
        <v>45658</v>
      </c>
      <c r="B104" s="40" t="s">
        <v>19</v>
      </c>
      <c r="C104" s="40" t="s">
        <v>50</v>
      </c>
      <c r="D104" s="41">
        <v>50</v>
      </c>
      <c r="E104" s="43" t="s">
        <v>51</v>
      </c>
      <c r="F104" s="42" t="s">
        <v>1</v>
      </c>
    </row>
    <row r="105" spans="1:6">
      <c r="A105" s="39">
        <v>45659</v>
      </c>
      <c r="B105" s="40" t="s">
        <v>32</v>
      </c>
      <c r="C105" s="40" t="s">
        <v>52</v>
      </c>
      <c r="D105" s="41">
        <v>-60.9</v>
      </c>
      <c r="E105" s="43" t="s">
        <v>53</v>
      </c>
      <c r="F105" s="42" t="s">
        <v>1</v>
      </c>
    </row>
    <row r="106" spans="1:6">
      <c r="A106" s="39">
        <f>A105</f>
        <v>45659</v>
      </c>
      <c r="B106" s="40" t="s">
        <v>32</v>
      </c>
      <c r="C106" s="40" t="s">
        <v>54</v>
      </c>
      <c r="D106" s="41">
        <v>-58.88</v>
      </c>
      <c r="E106" s="43" t="s">
        <v>55</v>
      </c>
      <c r="F106" s="42" t="s">
        <v>1</v>
      </c>
    </row>
    <row r="107" spans="1:6">
      <c r="A107" s="39">
        <f>A106</f>
        <v>45659</v>
      </c>
      <c r="B107" s="40" t="s">
        <v>29</v>
      </c>
      <c r="C107" s="40" t="s">
        <v>41</v>
      </c>
      <c r="D107" s="41">
        <v>-56.5</v>
      </c>
      <c r="E107" s="43" t="s">
        <v>56</v>
      </c>
      <c r="F107" s="42" t="s">
        <v>38</v>
      </c>
    </row>
    <row r="108" spans="1:6">
      <c r="A108" s="39">
        <v>45660</v>
      </c>
      <c r="B108" s="40" t="s">
        <v>32</v>
      </c>
      <c r="C108" s="40" t="s">
        <v>47</v>
      </c>
      <c r="D108" s="41">
        <v>-242.87</v>
      </c>
      <c r="E108" s="43" t="s">
        <v>57</v>
      </c>
      <c r="F108" s="42" t="s">
        <v>1</v>
      </c>
    </row>
    <row r="109" spans="1:6">
      <c r="A109" s="39">
        <f>A108</f>
        <v>45660</v>
      </c>
      <c r="B109" s="40" t="s">
        <v>16</v>
      </c>
      <c r="C109" s="40" t="s">
        <v>58</v>
      </c>
      <c r="D109" s="41">
        <v>-40.97</v>
      </c>
      <c r="E109" s="43" t="s">
        <v>59</v>
      </c>
      <c r="F109" s="42" t="s">
        <v>38</v>
      </c>
    </row>
    <row r="110" spans="1:6">
      <c r="A110" s="39">
        <v>45661</v>
      </c>
      <c r="B110" s="40" t="s">
        <v>19</v>
      </c>
      <c r="C110" s="40" t="s">
        <v>60</v>
      </c>
      <c r="D110" s="41">
        <v>-1</v>
      </c>
      <c r="E110" s="43" t="s">
        <v>61</v>
      </c>
      <c r="F110" s="42" t="s">
        <v>38</v>
      </c>
    </row>
    <row r="111" spans="1:6">
      <c r="A111" s="39">
        <f>A110</f>
        <v>45661</v>
      </c>
      <c r="B111" s="40" t="s">
        <v>32</v>
      </c>
      <c r="C111" s="40" t="s">
        <v>41</v>
      </c>
      <c r="D111" s="41">
        <v>-27.1</v>
      </c>
      <c r="E111" s="43" t="str">
        <f>C111</f>
        <v>Ocio</v>
      </c>
      <c r="F111" s="42" t="s">
        <v>38</v>
      </c>
    </row>
    <row r="112" spans="1:6">
      <c r="A112" s="39">
        <f>A111</f>
        <v>45661</v>
      </c>
      <c r="B112" s="40" t="s">
        <v>32</v>
      </c>
      <c r="C112" s="40" t="s">
        <v>62</v>
      </c>
      <c r="D112" s="41">
        <v>-20</v>
      </c>
      <c r="E112" s="43" t="s">
        <v>63</v>
      </c>
      <c r="F112" s="42" t="s">
        <v>38</v>
      </c>
    </row>
    <row r="113" spans="1:6">
      <c r="A113" s="39">
        <v>45664</v>
      </c>
      <c r="B113" s="40" t="s">
        <v>32</v>
      </c>
      <c r="C113" s="40" t="s">
        <v>43</v>
      </c>
      <c r="D113" s="41">
        <v>-30</v>
      </c>
      <c r="E113" s="43" t="s">
        <v>64</v>
      </c>
      <c r="F113" s="42" t="s">
        <v>38</v>
      </c>
    </row>
    <row r="114" spans="1:6">
      <c r="A114" s="39">
        <v>45661</v>
      </c>
      <c r="B114" s="40" t="s">
        <v>24</v>
      </c>
      <c r="C114" s="40" t="s">
        <v>46</v>
      </c>
      <c r="D114" s="41">
        <v>-500</v>
      </c>
      <c r="E114" s="43" t="str">
        <f>C114</f>
        <v>Traspaso</v>
      </c>
      <c r="F114" s="42" t="s">
        <v>0</v>
      </c>
    </row>
    <row r="115" spans="1:6">
      <c r="A115" s="39">
        <f>A114</f>
        <v>45661</v>
      </c>
      <c r="B115" s="40" t="s">
        <v>23</v>
      </c>
      <c r="C115" s="40" t="s">
        <v>46</v>
      </c>
      <c r="D115" s="41">
        <v>500</v>
      </c>
      <c r="E115" s="43" t="str">
        <f>C115</f>
        <v>Traspaso</v>
      </c>
      <c r="F115" s="42" t="s">
        <v>0</v>
      </c>
    </row>
    <row r="116" spans="1:6">
      <c r="A116" s="39">
        <f>A115</f>
        <v>45661</v>
      </c>
      <c r="B116" s="40" t="s">
        <v>16</v>
      </c>
      <c r="C116" s="40" t="s">
        <v>46</v>
      </c>
      <c r="D116" s="41">
        <v>-200</v>
      </c>
      <c r="E116" s="43" t="str">
        <f>C116</f>
        <v>Traspaso</v>
      </c>
      <c r="F116" s="42" t="s">
        <v>0</v>
      </c>
    </row>
    <row r="117" spans="1:6">
      <c r="A117" s="39">
        <f>A116</f>
        <v>45661</v>
      </c>
      <c r="B117" s="40" t="s">
        <v>23</v>
      </c>
      <c r="C117" s="40" t="s">
        <v>46</v>
      </c>
      <c r="D117" s="41">
        <v>200</v>
      </c>
      <c r="E117" s="43" t="str">
        <f>C117</f>
        <v>Traspaso</v>
      </c>
      <c r="F117" s="42" t="s">
        <v>0</v>
      </c>
    </row>
    <row r="118" spans="1:6">
      <c r="A118" s="39">
        <v>45662</v>
      </c>
      <c r="B118" s="40" t="s">
        <v>22</v>
      </c>
      <c r="C118" s="40" t="s">
        <v>46</v>
      </c>
      <c r="D118" s="41">
        <v>-68.64</v>
      </c>
      <c r="E118" s="43" t="str">
        <f>C118</f>
        <v>Traspaso</v>
      </c>
      <c r="F118" s="42" t="s">
        <v>0</v>
      </c>
    </row>
    <row r="119" spans="1:6">
      <c r="A119" s="39">
        <f>A118</f>
        <v>45662</v>
      </c>
      <c r="B119" s="40" t="s">
        <v>20</v>
      </c>
      <c r="C119" s="40" t="s">
        <v>46</v>
      </c>
      <c r="D119" s="41">
        <v>68.64</v>
      </c>
      <c r="E119" s="43" t="str">
        <f>C119</f>
        <v>Traspaso</v>
      </c>
      <c r="F119" s="42" t="s">
        <v>0</v>
      </c>
    </row>
    <row r="120" spans="1:6">
      <c r="A120" s="39">
        <f>A119</f>
        <v>45662</v>
      </c>
      <c r="B120" s="40" t="s">
        <v>20</v>
      </c>
      <c r="C120" s="40" t="s">
        <v>46</v>
      </c>
      <c r="D120" s="41">
        <v>-126.82</v>
      </c>
      <c r="E120" s="43" t="str">
        <f>C120</f>
        <v>Traspaso</v>
      </c>
      <c r="F120" s="42" t="s">
        <v>0</v>
      </c>
    </row>
    <row r="121" spans="1:6">
      <c r="A121" s="39">
        <f>A120</f>
        <v>45662</v>
      </c>
      <c r="B121" s="40" t="s">
        <v>26</v>
      </c>
      <c r="C121" s="40" t="s">
        <v>46</v>
      </c>
      <c r="D121" s="41">
        <v>126.82</v>
      </c>
      <c r="E121" s="43" t="str">
        <f>C121</f>
        <v>Traspaso</v>
      </c>
      <c r="F121" s="42" t="s">
        <v>0</v>
      </c>
    </row>
    <row r="122" spans="1:6">
      <c r="A122" s="39">
        <v>45663</v>
      </c>
      <c r="B122" s="40" t="s">
        <v>16</v>
      </c>
      <c r="C122" s="40" t="s">
        <v>50</v>
      </c>
      <c r="D122" s="41">
        <v>-198.81</v>
      </c>
      <c r="E122" s="43" t="s">
        <v>65</v>
      </c>
      <c r="F122" s="42" t="s">
        <v>0</v>
      </c>
    </row>
    <row r="123" spans="1:6">
      <c r="A123" s="39">
        <v>45664</v>
      </c>
      <c r="B123" s="40" t="s">
        <v>16</v>
      </c>
      <c r="C123" s="40" t="s">
        <v>41</v>
      </c>
      <c r="D123" s="41">
        <v>-1.3</v>
      </c>
      <c r="E123" s="40" t="s">
        <v>42</v>
      </c>
      <c r="F123" s="42" t="s">
        <v>0</v>
      </c>
    </row>
    <row r="124" spans="1:6">
      <c r="A124" s="39">
        <f>A123</f>
        <v>45664</v>
      </c>
      <c r="B124" s="40" t="s">
        <v>25</v>
      </c>
      <c r="C124" s="40" t="s">
        <v>43</v>
      </c>
      <c r="D124" s="41">
        <v>-30</v>
      </c>
      <c r="E124" s="43" t="s">
        <v>66</v>
      </c>
      <c r="F124" s="42" t="s">
        <v>0</v>
      </c>
    </row>
    <row r="125" spans="1:6">
      <c r="A125" s="39">
        <f>A124</f>
        <v>45664</v>
      </c>
      <c r="B125" s="40" t="s">
        <v>25</v>
      </c>
      <c r="C125" s="40" t="s">
        <v>46</v>
      </c>
      <c r="D125" s="41">
        <v>-300</v>
      </c>
      <c r="E125" s="43" t="str">
        <f>C125</f>
        <v>Traspaso</v>
      </c>
      <c r="F125" s="42" t="s">
        <v>0</v>
      </c>
    </row>
    <row r="126" spans="1:6">
      <c r="A126" s="39">
        <f>A125</f>
        <v>45664</v>
      </c>
      <c r="B126" s="40" t="s">
        <v>23</v>
      </c>
      <c r="C126" s="40" t="s">
        <v>46</v>
      </c>
      <c r="D126" s="41">
        <v>300</v>
      </c>
      <c r="E126" s="43" t="str">
        <f>C126</f>
        <v>Traspaso</v>
      </c>
      <c r="F126" s="42" t="s">
        <v>0</v>
      </c>
    </row>
    <row r="127" spans="1:6">
      <c r="A127" s="39">
        <f>A126</f>
        <v>45664</v>
      </c>
      <c r="B127" s="40" t="s">
        <v>19</v>
      </c>
      <c r="C127" s="40" t="s">
        <v>62</v>
      </c>
      <c r="D127" s="41">
        <v>20</v>
      </c>
      <c r="E127" s="43" t="s">
        <v>67</v>
      </c>
      <c r="F127" s="42" t="s">
        <v>38</v>
      </c>
    </row>
    <row r="128" spans="1:6">
      <c r="A128" s="39">
        <f>A127</f>
        <v>45664</v>
      </c>
      <c r="B128" s="40" t="s">
        <v>32</v>
      </c>
      <c r="C128" s="40" t="s">
        <v>60</v>
      </c>
      <c r="D128" s="41">
        <v>-21</v>
      </c>
      <c r="E128" s="43" t="s">
        <v>68</v>
      </c>
      <c r="F128" s="42" t="s">
        <v>1</v>
      </c>
    </row>
    <row r="129" spans="1:6">
      <c r="A129" s="39">
        <v>45665</v>
      </c>
      <c r="B129" s="40" t="s">
        <v>18</v>
      </c>
      <c r="C129" s="40" t="s">
        <v>41</v>
      </c>
      <c r="D129" s="41">
        <v>-1.7</v>
      </c>
      <c r="E129" s="40" t="s">
        <v>42</v>
      </c>
      <c r="F129" s="42" t="s">
        <v>1</v>
      </c>
    </row>
    <row r="130" spans="1:6">
      <c r="A130" s="39">
        <v>45665</v>
      </c>
      <c r="B130" s="40" t="s">
        <v>19</v>
      </c>
      <c r="C130" s="40" t="s">
        <v>36</v>
      </c>
      <c r="D130" s="41">
        <v>-7</v>
      </c>
      <c r="E130" s="43" t="s">
        <v>69</v>
      </c>
      <c r="F130" s="42" t="s">
        <v>38</v>
      </c>
    </row>
    <row r="131" spans="1:6">
      <c r="A131" s="39">
        <f>A130</f>
        <v>45665</v>
      </c>
      <c r="B131" s="40" t="s">
        <v>19</v>
      </c>
      <c r="C131" s="40" t="s">
        <v>36</v>
      </c>
      <c r="D131" s="41">
        <v>-0.6</v>
      </c>
      <c r="E131" s="43" t="s">
        <v>70</v>
      </c>
      <c r="F131" s="42" t="s">
        <v>1</v>
      </c>
    </row>
    <row r="132" spans="1:6">
      <c r="A132" s="39">
        <v>45665</v>
      </c>
      <c r="B132" s="40" t="s">
        <v>25</v>
      </c>
      <c r="C132" s="40" t="s">
        <v>36</v>
      </c>
      <c r="D132" s="41">
        <v>-61.61</v>
      </c>
      <c r="E132" s="43" t="s">
        <v>37</v>
      </c>
      <c r="F132" s="42" t="s">
        <v>38</v>
      </c>
    </row>
    <row r="133" spans="1:6">
      <c r="A133" s="39">
        <v>45666</v>
      </c>
      <c r="B133" s="40" t="s">
        <v>25</v>
      </c>
      <c r="C133" s="40" t="s">
        <v>41</v>
      </c>
      <c r="D133" s="41">
        <v>-1.3</v>
      </c>
      <c r="E133" s="43" t="s">
        <v>42</v>
      </c>
      <c r="F133" s="42" t="s">
        <v>0</v>
      </c>
    </row>
    <row r="134" spans="1:6">
      <c r="A134" s="39">
        <f>A133</f>
        <v>45666</v>
      </c>
      <c r="B134" s="40" t="s">
        <v>25</v>
      </c>
      <c r="C134" s="40" t="s">
        <v>54</v>
      </c>
      <c r="D134" s="41">
        <v>-2.86</v>
      </c>
      <c r="E134" s="43" t="str">
        <f>C134</f>
        <v>Medicamentos</v>
      </c>
      <c r="F134" s="42" t="s">
        <v>0</v>
      </c>
    </row>
    <row r="135" spans="1:6">
      <c r="A135" s="39">
        <v>45666</v>
      </c>
      <c r="B135" s="40" t="s">
        <v>17</v>
      </c>
      <c r="C135" s="40" t="s">
        <v>71</v>
      </c>
      <c r="D135" s="41">
        <v>-383.05</v>
      </c>
      <c r="E135" s="43" t="s">
        <v>72</v>
      </c>
      <c r="F135" s="42" t="s">
        <v>38</v>
      </c>
    </row>
    <row r="136" spans="1:6">
      <c r="A136" s="39">
        <f>A135</f>
        <v>45666</v>
      </c>
      <c r="B136" s="40" t="s">
        <v>17</v>
      </c>
      <c r="C136" s="40" t="s">
        <v>73</v>
      </c>
      <c r="D136" s="41">
        <v>-51.65</v>
      </c>
      <c r="E136" s="43" t="s">
        <v>74</v>
      </c>
      <c r="F136" s="42" t="s">
        <v>38</v>
      </c>
    </row>
    <row r="137" spans="1:6">
      <c r="A137" s="39">
        <v>45667</v>
      </c>
      <c r="B137" s="40" t="s">
        <v>19</v>
      </c>
      <c r="C137" s="40" t="s">
        <v>36</v>
      </c>
      <c r="D137" s="41">
        <v>-6</v>
      </c>
      <c r="E137" s="43" t="s">
        <v>75</v>
      </c>
      <c r="F137" s="42" t="s">
        <v>38</v>
      </c>
    </row>
    <row r="138" spans="1:6">
      <c r="A138" s="39">
        <f>A137</f>
        <v>45667</v>
      </c>
      <c r="B138" s="40" t="s">
        <v>29</v>
      </c>
      <c r="C138" s="40" t="s">
        <v>76</v>
      </c>
      <c r="D138" s="41">
        <v>119.19</v>
      </c>
      <c r="E138" s="44" t="s">
        <v>77</v>
      </c>
      <c r="F138" s="42" t="s">
        <v>1</v>
      </c>
    </row>
    <row r="139" spans="1:6">
      <c r="A139" s="39">
        <v>45669</v>
      </c>
      <c r="B139" s="40" t="s">
        <v>17</v>
      </c>
      <c r="C139" s="40" t="s">
        <v>52</v>
      </c>
      <c r="D139" s="41">
        <v>-28</v>
      </c>
      <c r="E139" s="43" t="s">
        <v>78</v>
      </c>
      <c r="F139" s="42" t="s">
        <v>38</v>
      </c>
    </row>
    <row r="140" spans="1:6">
      <c r="A140" s="39">
        <v>45666</v>
      </c>
      <c r="B140" s="40" t="s">
        <v>25</v>
      </c>
      <c r="C140" s="40" t="s">
        <v>52</v>
      </c>
      <c r="D140" s="41">
        <v>-7.5</v>
      </c>
      <c r="E140" s="43" t="str">
        <f>C140</f>
        <v>Deporte</v>
      </c>
      <c r="F140" s="42" t="s">
        <v>0</v>
      </c>
    </row>
    <row r="141" spans="1:6">
      <c r="A141" s="39">
        <v>45668</v>
      </c>
      <c r="B141" s="40" t="s">
        <v>25</v>
      </c>
      <c r="C141" s="40" t="s">
        <v>52</v>
      </c>
      <c r="D141" s="41">
        <v>-14</v>
      </c>
      <c r="E141" s="43" t="str">
        <f>C141</f>
        <v>Deporte</v>
      </c>
      <c r="F141" s="42" t="s">
        <v>0</v>
      </c>
    </row>
    <row r="142" spans="1:6">
      <c r="A142" s="39">
        <f>A141</f>
        <v>45668</v>
      </c>
      <c r="B142" s="40" t="s">
        <v>24</v>
      </c>
      <c r="C142" s="40" t="s">
        <v>44</v>
      </c>
      <c r="D142" s="41">
        <v>-39.26</v>
      </c>
      <c r="E142" s="43" t="str">
        <f>C142</f>
        <v>Otros Gastos</v>
      </c>
      <c r="F142" s="42" t="s">
        <v>0</v>
      </c>
    </row>
    <row r="143" spans="1:6">
      <c r="A143" s="39">
        <f>A142</f>
        <v>45668</v>
      </c>
      <c r="B143" s="40" t="s">
        <v>25</v>
      </c>
      <c r="C143" s="40" t="s">
        <v>36</v>
      </c>
      <c r="D143" s="41">
        <v>-15.62</v>
      </c>
      <c r="E143" s="43" t="s">
        <v>37</v>
      </c>
      <c r="F143" s="42" t="s">
        <v>38</v>
      </c>
    </row>
    <row r="144" spans="1:6">
      <c r="A144" s="39">
        <v>45670</v>
      </c>
      <c r="B144" s="40" t="s">
        <v>25</v>
      </c>
      <c r="C144" s="40" t="s">
        <v>41</v>
      </c>
      <c r="D144" s="41">
        <v>-1.3</v>
      </c>
      <c r="E144" s="43" t="s">
        <v>42</v>
      </c>
      <c r="F144" s="42" t="s">
        <v>0</v>
      </c>
    </row>
    <row r="145" spans="1:10">
      <c r="A145" s="39">
        <f>A144</f>
        <v>45670</v>
      </c>
      <c r="B145" s="40" t="s">
        <v>25</v>
      </c>
      <c r="C145" s="40" t="s">
        <v>52</v>
      </c>
      <c r="D145" s="41">
        <v>-7.5</v>
      </c>
      <c r="E145" s="43" t="s">
        <v>79</v>
      </c>
      <c r="F145" s="42" t="s">
        <v>0</v>
      </c>
    </row>
    <row r="146" spans="1:10">
      <c r="A146" s="39">
        <f>A145</f>
        <v>45670</v>
      </c>
      <c r="B146" s="40" t="s">
        <v>25</v>
      </c>
      <c r="C146" s="40" t="s">
        <v>36</v>
      </c>
      <c r="D146" s="41">
        <v>-61.17</v>
      </c>
      <c r="E146" s="43" t="s">
        <v>37</v>
      </c>
      <c r="F146" s="42" t="s">
        <v>38</v>
      </c>
    </row>
    <row r="147" spans="1:10">
      <c r="A147" s="39">
        <v>45671</v>
      </c>
      <c r="B147" s="40" t="s">
        <v>25</v>
      </c>
      <c r="C147" s="40" t="s">
        <v>41</v>
      </c>
      <c r="D147" s="41">
        <v>-1.3</v>
      </c>
      <c r="E147" s="43" t="s">
        <v>42</v>
      </c>
      <c r="F147" s="42" t="s">
        <v>0</v>
      </c>
    </row>
    <row r="148" spans="1:10">
      <c r="A148" s="39">
        <f>A147</f>
        <v>45671</v>
      </c>
      <c r="B148" s="40" t="s">
        <v>32</v>
      </c>
      <c r="C148" s="40" t="s">
        <v>44</v>
      </c>
      <c r="D148" s="41">
        <v>-10.48</v>
      </c>
      <c r="E148" s="43" t="s">
        <v>80</v>
      </c>
      <c r="F148" s="42" t="s">
        <v>1</v>
      </c>
    </row>
    <row r="149" spans="1:10">
      <c r="A149" s="39">
        <f>A148</f>
        <v>45671</v>
      </c>
      <c r="B149" s="40" t="s">
        <v>32</v>
      </c>
      <c r="C149" s="40" t="s">
        <v>81</v>
      </c>
      <c r="D149" s="41">
        <v>-35.1</v>
      </c>
      <c r="E149" s="43" t="s">
        <v>82</v>
      </c>
      <c r="F149" s="42" t="s">
        <v>38</v>
      </c>
    </row>
    <row r="150" spans="1:10">
      <c r="A150" s="39">
        <f>A149</f>
        <v>45671</v>
      </c>
      <c r="B150" s="40" t="s">
        <v>19</v>
      </c>
      <c r="C150" s="40" t="s">
        <v>58</v>
      </c>
      <c r="D150" s="41">
        <v>-3</v>
      </c>
      <c r="E150" s="43" t="s">
        <v>83</v>
      </c>
      <c r="F150" s="42" t="s">
        <v>38</v>
      </c>
    </row>
    <row r="151" spans="1:10">
      <c r="A151" s="39">
        <f>A150</f>
        <v>45671</v>
      </c>
      <c r="B151" s="40" t="s">
        <v>19</v>
      </c>
      <c r="C151" s="40" t="s">
        <v>36</v>
      </c>
      <c r="D151" s="41">
        <v>-1.4</v>
      </c>
      <c r="E151" s="43" t="s">
        <v>84</v>
      </c>
      <c r="F151" s="42" t="s">
        <v>1</v>
      </c>
    </row>
    <row r="152" spans="1:10">
      <c r="A152" s="39">
        <f>A151</f>
        <v>45671</v>
      </c>
      <c r="B152" s="40" t="s">
        <v>25</v>
      </c>
      <c r="C152" s="40" t="s">
        <v>73</v>
      </c>
      <c r="D152" s="41">
        <v>-70.010000000000005</v>
      </c>
      <c r="E152" s="43" t="s">
        <v>85</v>
      </c>
      <c r="F152" s="42" t="s">
        <v>38</v>
      </c>
    </row>
    <row r="153" spans="1:10">
      <c r="A153" s="39">
        <f>A152</f>
        <v>45671</v>
      </c>
      <c r="B153" s="40" t="s">
        <v>24</v>
      </c>
      <c r="C153" s="40" t="s">
        <v>34</v>
      </c>
      <c r="D153" s="41">
        <v>6.89</v>
      </c>
      <c r="E153" s="43" t="str">
        <f>C153</f>
        <v>Intereses</v>
      </c>
      <c r="F153" s="42" t="s">
        <v>0</v>
      </c>
      <c r="J153" s="16"/>
    </row>
    <row r="154" spans="1:10">
      <c r="A154" s="39">
        <v>45671</v>
      </c>
      <c r="B154" s="40" t="s">
        <v>31</v>
      </c>
      <c r="C154" s="40" t="s">
        <v>34</v>
      </c>
      <c r="D154" s="41">
        <v>53.68</v>
      </c>
      <c r="E154" s="43" t="s">
        <v>34</v>
      </c>
      <c r="F154" s="42" t="s">
        <v>1</v>
      </c>
      <c r="J154" s="16"/>
    </row>
    <row r="155" spans="1:10">
      <c r="A155" s="39">
        <v>45672</v>
      </c>
      <c r="B155" s="40" t="s">
        <v>25</v>
      </c>
      <c r="C155" s="40" t="s">
        <v>41</v>
      </c>
      <c r="D155" s="41">
        <v>-3.5</v>
      </c>
      <c r="E155" s="43" t="s">
        <v>42</v>
      </c>
      <c r="F155" s="42" t="s">
        <v>0</v>
      </c>
    </row>
    <row r="156" spans="1:10">
      <c r="A156" s="39">
        <f>A155</f>
        <v>45672</v>
      </c>
      <c r="B156" s="40" t="s">
        <v>24</v>
      </c>
      <c r="C156" s="40" t="s">
        <v>46</v>
      </c>
      <c r="D156" s="41">
        <v>-376.56</v>
      </c>
      <c r="E156" s="43" t="str">
        <f>C156</f>
        <v>Traspaso</v>
      </c>
      <c r="F156" s="42" t="s">
        <v>0</v>
      </c>
    </row>
    <row r="157" spans="1:10">
      <c r="A157" s="39">
        <f>A156</f>
        <v>45672</v>
      </c>
      <c r="B157" s="40" t="s">
        <v>25</v>
      </c>
      <c r="C157" s="40" t="s">
        <v>46</v>
      </c>
      <c r="D157" s="41">
        <v>376.56</v>
      </c>
      <c r="E157" s="43" t="str">
        <f>C157</f>
        <v>Traspaso</v>
      </c>
      <c r="F157" s="42" t="s">
        <v>0</v>
      </c>
    </row>
    <row r="158" spans="1:10">
      <c r="A158" s="39">
        <f>A157</f>
        <v>45672</v>
      </c>
      <c r="B158" s="40" t="s">
        <v>26</v>
      </c>
      <c r="C158" s="40" t="s">
        <v>46</v>
      </c>
      <c r="D158" s="41">
        <v>-15000</v>
      </c>
      <c r="E158" s="43" t="str">
        <f>C158</f>
        <v>Traspaso</v>
      </c>
      <c r="F158" s="42" t="s">
        <v>0</v>
      </c>
    </row>
    <row r="159" spans="1:10">
      <c r="A159" s="39">
        <f>A158</f>
        <v>45672</v>
      </c>
      <c r="B159" s="40" t="s">
        <v>86</v>
      </c>
      <c r="C159" s="40" t="s">
        <v>46</v>
      </c>
      <c r="D159" s="41">
        <v>15000</v>
      </c>
      <c r="E159" s="43" t="str">
        <f>C159</f>
        <v>Traspaso</v>
      </c>
      <c r="F159" s="42" t="s">
        <v>0</v>
      </c>
    </row>
    <row r="160" spans="1:10">
      <c r="A160" s="39">
        <v>45672</v>
      </c>
      <c r="B160" s="40" t="s">
        <v>19</v>
      </c>
      <c r="C160" s="40" t="s">
        <v>54</v>
      </c>
      <c r="D160" s="41">
        <v>-80</v>
      </c>
      <c r="E160" s="43" t="s">
        <v>87</v>
      </c>
      <c r="F160" s="42" t="s">
        <v>1</v>
      </c>
    </row>
    <row r="161" spans="1:6">
      <c r="A161" s="39">
        <v>45673</v>
      </c>
      <c r="B161" s="40" t="s">
        <v>26</v>
      </c>
      <c r="C161" s="40" t="s">
        <v>46</v>
      </c>
      <c r="D161" s="41">
        <v>-2000</v>
      </c>
      <c r="E161" s="43" t="str">
        <f>C161</f>
        <v>Traspaso</v>
      </c>
      <c r="F161" s="42" t="s">
        <v>0</v>
      </c>
    </row>
    <row r="162" spans="1:6">
      <c r="A162" s="39">
        <f>A161</f>
        <v>45673</v>
      </c>
      <c r="B162" s="40" t="s">
        <v>88</v>
      </c>
      <c r="C162" s="40" t="s">
        <v>46</v>
      </c>
      <c r="D162" s="41">
        <v>2000</v>
      </c>
      <c r="E162" s="43" t="str">
        <f>C162</f>
        <v>Traspaso</v>
      </c>
      <c r="F162" s="42" t="s">
        <v>0</v>
      </c>
    </row>
    <row r="163" spans="1:6">
      <c r="A163" s="39">
        <f>A162</f>
        <v>45673</v>
      </c>
      <c r="B163" s="40" t="s">
        <v>19</v>
      </c>
      <c r="C163" s="40" t="s">
        <v>36</v>
      </c>
      <c r="D163" s="41">
        <v>-2.5</v>
      </c>
      <c r="E163" s="43" t="s">
        <v>84</v>
      </c>
      <c r="F163" s="42" t="s">
        <v>1</v>
      </c>
    </row>
    <row r="164" spans="1:6">
      <c r="A164" s="39">
        <v>45673</v>
      </c>
      <c r="B164" s="40" t="s">
        <v>26</v>
      </c>
      <c r="C164" s="40" t="s">
        <v>46</v>
      </c>
      <c r="D164" s="41">
        <v>-1000.3</v>
      </c>
      <c r="E164" s="43" t="str">
        <f>C164</f>
        <v>Traspaso</v>
      </c>
      <c r="F164" s="42" t="s">
        <v>0</v>
      </c>
    </row>
    <row r="165" spans="1:6">
      <c r="A165" s="39">
        <f>A164</f>
        <v>45673</v>
      </c>
      <c r="B165" s="40" t="s">
        <v>13</v>
      </c>
      <c r="C165" s="40" t="s">
        <v>46</v>
      </c>
      <c r="D165" s="41">
        <v>1000.3</v>
      </c>
      <c r="E165" s="43" t="str">
        <f>C165</f>
        <v>Traspaso</v>
      </c>
      <c r="F165" s="42" t="s">
        <v>0</v>
      </c>
    </row>
    <row r="166" spans="1:6">
      <c r="A166" s="39">
        <f>A165</f>
        <v>45673</v>
      </c>
      <c r="B166" s="40" t="s">
        <v>25</v>
      </c>
      <c r="C166" s="40" t="s">
        <v>41</v>
      </c>
      <c r="D166" s="41">
        <v>-1.3</v>
      </c>
      <c r="E166" s="43" t="s">
        <v>42</v>
      </c>
      <c r="F166" s="42" t="s">
        <v>0</v>
      </c>
    </row>
    <row r="167" spans="1:6">
      <c r="A167" s="39">
        <f>A166</f>
        <v>45673</v>
      </c>
      <c r="B167" s="40" t="s">
        <v>25</v>
      </c>
      <c r="C167" s="40" t="s">
        <v>89</v>
      </c>
      <c r="D167" s="41">
        <v>-16.36</v>
      </c>
      <c r="E167" s="43" t="str">
        <f>C167</f>
        <v>Luz</v>
      </c>
      <c r="F167" s="42" t="s">
        <v>38</v>
      </c>
    </row>
    <row r="168" spans="1:6">
      <c r="A168" s="39">
        <f>A167</f>
        <v>45673</v>
      </c>
      <c r="B168" s="40" t="s">
        <v>19</v>
      </c>
      <c r="C168" s="40" t="s">
        <v>36</v>
      </c>
      <c r="D168" s="41">
        <v>-5.7</v>
      </c>
      <c r="E168" s="43" t="s">
        <v>84</v>
      </c>
      <c r="F168" s="42" t="s">
        <v>1</v>
      </c>
    </row>
    <row r="169" spans="1:6">
      <c r="A169" s="39">
        <f>A168</f>
        <v>45673</v>
      </c>
      <c r="B169" s="40" t="s">
        <v>26</v>
      </c>
      <c r="C169" s="40" t="s">
        <v>46</v>
      </c>
      <c r="D169" s="41">
        <v>-1000</v>
      </c>
      <c r="E169" s="43" t="str">
        <f>C169</f>
        <v>Traspaso</v>
      </c>
      <c r="F169" s="42" t="s">
        <v>0</v>
      </c>
    </row>
    <row r="170" spans="1:6">
      <c r="A170" s="39">
        <f>A169</f>
        <v>45673</v>
      </c>
      <c r="B170" s="40" t="s">
        <v>24</v>
      </c>
      <c r="C170" s="40" t="s">
        <v>46</v>
      </c>
      <c r="D170" s="41">
        <v>1000</v>
      </c>
      <c r="E170" s="43" t="str">
        <f>C170</f>
        <v>Traspaso</v>
      </c>
      <c r="F170" s="42" t="s">
        <v>0</v>
      </c>
    </row>
    <row r="171" spans="1:6">
      <c r="A171" s="39">
        <f>A170</f>
        <v>45673</v>
      </c>
      <c r="B171" s="40" t="s">
        <v>24</v>
      </c>
      <c r="C171" s="40" t="s">
        <v>46</v>
      </c>
      <c r="D171" s="41">
        <v>-1000</v>
      </c>
      <c r="E171" s="43" t="str">
        <f>C171</f>
        <v>Traspaso</v>
      </c>
      <c r="F171" s="42" t="s">
        <v>0</v>
      </c>
    </row>
    <row r="172" spans="1:6">
      <c r="A172" s="39">
        <f>A171</f>
        <v>45673</v>
      </c>
      <c r="B172" s="40" t="s">
        <v>23</v>
      </c>
      <c r="C172" s="40" t="s">
        <v>46</v>
      </c>
      <c r="D172" s="41">
        <v>1000</v>
      </c>
      <c r="E172" s="43" t="str">
        <f>C172</f>
        <v>Traspaso</v>
      </c>
      <c r="F172" s="42" t="s">
        <v>0</v>
      </c>
    </row>
    <row r="173" spans="1:6">
      <c r="A173" s="39">
        <f>A172</f>
        <v>45673</v>
      </c>
      <c r="B173" s="40" t="s">
        <v>25</v>
      </c>
      <c r="C173" s="40" t="s">
        <v>52</v>
      </c>
      <c r="D173" s="41">
        <v>-50</v>
      </c>
      <c r="E173" s="43" t="s">
        <v>90</v>
      </c>
      <c r="F173" s="42" t="s">
        <v>0</v>
      </c>
    </row>
    <row r="174" spans="1:6">
      <c r="A174" s="39">
        <v>45674</v>
      </c>
      <c r="B174" s="40" t="s">
        <v>25</v>
      </c>
      <c r="C174" s="40" t="s">
        <v>41</v>
      </c>
      <c r="D174" s="41">
        <v>-1.3</v>
      </c>
      <c r="E174" s="43" t="s">
        <v>42</v>
      </c>
      <c r="F174" s="42" t="s">
        <v>0</v>
      </c>
    </row>
    <row r="175" spans="1:6">
      <c r="A175" s="39">
        <f>A174</f>
        <v>45674</v>
      </c>
      <c r="B175" s="40" t="s">
        <v>29</v>
      </c>
      <c r="C175" s="40" t="s">
        <v>41</v>
      </c>
      <c r="D175" s="41">
        <v>-30</v>
      </c>
      <c r="E175" s="43" t="s">
        <v>91</v>
      </c>
      <c r="F175" s="42" t="s">
        <v>38</v>
      </c>
    </row>
    <row r="176" spans="1:6">
      <c r="A176" s="39">
        <v>45674</v>
      </c>
      <c r="B176" s="40" t="s">
        <v>29</v>
      </c>
      <c r="C176" s="40" t="s">
        <v>92</v>
      </c>
      <c r="D176" s="41">
        <v>23</v>
      </c>
      <c r="E176" s="43" t="s">
        <v>93</v>
      </c>
      <c r="F176" s="42" t="s">
        <v>1</v>
      </c>
    </row>
    <row r="177" spans="1:6">
      <c r="A177" s="39">
        <v>45675</v>
      </c>
      <c r="B177" s="40" t="s">
        <v>29</v>
      </c>
      <c r="C177" s="40" t="s">
        <v>41</v>
      </c>
      <c r="D177" s="41">
        <v>-225.73</v>
      </c>
      <c r="E177" s="43" t="s">
        <v>94</v>
      </c>
      <c r="F177" s="42" t="s">
        <v>38</v>
      </c>
    </row>
    <row r="178" spans="1:6">
      <c r="A178" s="39">
        <f>A177</f>
        <v>45675</v>
      </c>
      <c r="B178" s="40" t="s">
        <v>29</v>
      </c>
      <c r="C178" s="40" t="s">
        <v>41</v>
      </c>
      <c r="D178" s="41">
        <v>-245.88</v>
      </c>
      <c r="E178" s="43" t="s">
        <v>95</v>
      </c>
      <c r="F178" s="42" t="s">
        <v>38</v>
      </c>
    </row>
    <row r="179" spans="1:6">
      <c r="A179" s="39">
        <f>A178</f>
        <v>45675</v>
      </c>
      <c r="B179" s="40" t="s">
        <v>25</v>
      </c>
      <c r="C179" s="40" t="s">
        <v>36</v>
      </c>
      <c r="D179" s="41">
        <v>-111.87</v>
      </c>
      <c r="E179" s="43" t="s">
        <v>96</v>
      </c>
      <c r="F179" s="42" t="s">
        <v>38</v>
      </c>
    </row>
    <row r="180" spans="1:6">
      <c r="A180" s="39">
        <v>45677</v>
      </c>
      <c r="B180" s="40" t="s">
        <v>26</v>
      </c>
      <c r="C180" s="40" t="s">
        <v>46</v>
      </c>
      <c r="D180" s="41">
        <v>-1000</v>
      </c>
      <c r="E180" s="43" t="str">
        <f>C180</f>
        <v>Traspaso</v>
      </c>
      <c r="F180" s="42" t="s">
        <v>0</v>
      </c>
    </row>
    <row r="181" spans="1:6">
      <c r="A181" s="39">
        <f>A180</f>
        <v>45677</v>
      </c>
      <c r="B181" s="40" t="s">
        <v>88</v>
      </c>
      <c r="C181" s="40" t="s">
        <v>46</v>
      </c>
      <c r="D181" s="41">
        <v>1000</v>
      </c>
      <c r="E181" s="43" t="str">
        <f>C181</f>
        <v>Traspaso</v>
      </c>
      <c r="F181" s="42" t="s">
        <v>0</v>
      </c>
    </row>
    <row r="182" spans="1:6">
      <c r="A182" s="39">
        <f>A181</f>
        <v>45677</v>
      </c>
      <c r="B182" s="40" t="s">
        <v>16</v>
      </c>
      <c r="C182" s="40" t="s">
        <v>41</v>
      </c>
      <c r="D182" s="41">
        <v>-1.3</v>
      </c>
      <c r="E182" s="43" t="s">
        <v>42</v>
      </c>
      <c r="F182" s="42" t="s">
        <v>0</v>
      </c>
    </row>
    <row r="183" spans="1:6">
      <c r="A183" s="39">
        <f>A182</f>
        <v>45677</v>
      </c>
      <c r="B183" s="40" t="s">
        <v>26</v>
      </c>
      <c r="C183" s="40" t="s">
        <v>46</v>
      </c>
      <c r="D183" s="41">
        <v>-1928.7</v>
      </c>
      <c r="E183" s="43" t="str">
        <f>C183</f>
        <v>Traspaso</v>
      </c>
      <c r="F183" s="42" t="s">
        <v>0</v>
      </c>
    </row>
    <row r="184" spans="1:6">
      <c r="A184" s="39">
        <f>A183</f>
        <v>45677</v>
      </c>
      <c r="B184" s="40" t="s">
        <v>20</v>
      </c>
      <c r="C184" s="40" t="s">
        <v>46</v>
      </c>
      <c r="D184" s="41">
        <v>1928.7</v>
      </c>
      <c r="E184" s="43" t="str">
        <f>C184</f>
        <v>Traspaso</v>
      </c>
      <c r="F184" s="42" t="s">
        <v>0</v>
      </c>
    </row>
    <row r="185" spans="1:6">
      <c r="A185" s="39">
        <v>45676</v>
      </c>
      <c r="B185" s="40" t="s">
        <v>17</v>
      </c>
      <c r="C185" s="40" t="s">
        <v>41</v>
      </c>
      <c r="D185" s="41">
        <v>-5.6</v>
      </c>
      <c r="E185" s="43" t="s">
        <v>97</v>
      </c>
      <c r="F185" s="42" t="s">
        <v>38</v>
      </c>
    </row>
    <row r="186" spans="1:6">
      <c r="A186" s="39">
        <v>45677</v>
      </c>
      <c r="B186" s="40" t="s">
        <v>29</v>
      </c>
      <c r="C186" s="40" t="s">
        <v>41</v>
      </c>
      <c r="D186" s="41">
        <v>-39</v>
      </c>
      <c r="E186" s="44" t="s">
        <v>98</v>
      </c>
      <c r="F186" s="42" t="s">
        <v>38</v>
      </c>
    </row>
    <row r="187" spans="1:6">
      <c r="A187" s="39">
        <v>45678</v>
      </c>
      <c r="B187" s="40" t="s">
        <v>16</v>
      </c>
      <c r="C187" s="40" t="s">
        <v>41</v>
      </c>
      <c r="D187" s="41">
        <v>-1.3</v>
      </c>
      <c r="E187" s="43" t="s">
        <v>42</v>
      </c>
      <c r="F187" s="42" t="s">
        <v>0</v>
      </c>
    </row>
    <row r="188" spans="1:6">
      <c r="A188" s="39">
        <f>A187</f>
        <v>45678</v>
      </c>
      <c r="B188" s="40" t="s">
        <v>17</v>
      </c>
      <c r="C188" s="40" t="s">
        <v>76</v>
      </c>
      <c r="D188" s="41">
        <v>-175</v>
      </c>
      <c r="E188" s="43" t="s">
        <v>99</v>
      </c>
      <c r="F188" s="42" t="s">
        <v>1</v>
      </c>
    </row>
    <row r="189" spans="1:6">
      <c r="A189" s="39">
        <f>A188</f>
        <v>45678</v>
      </c>
      <c r="B189" s="40" t="s">
        <v>19</v>
      </c>
      <c r="C189" s="40" t="s">
        <v>36</v>
      </c>
      <c r="D189" s="41">
        <v>-0.6</v>
      </c>
      <c r="E189" s="43" t="s">
        <v>70</v>
      </c>
      <c r="F189" s="42" t="s">
        <v>1</v>
      </c>
    </row>
    <row r="190" spans="1:6">
      <c r="A190" s="39">
        <v>45679</v>
      </c>
      <c r="B190" s="40" t="s">
        <v>16</v>
      </c>
      <c r="C190" s="40" t="s">
        <v>41</v>
      </c>
      <c r="D190" s="41">
        <v>-1.3</v>
      </c>
      <c r="E190" s="43" t="s">
        <v>42</v>
      </c>
      <c r="F190" s="42" t="s">
        <v>0</v>
      </c>
    </row>
    <row r="191" spans="1:6">
      <c r="A191" s="39">
        <f>A190</f>
        <v>45679</v>
      </c>
      <c r="B191" s="40" t="s">
        <v>20</v>
      </c>
      <c r="C191" s="40" t="s">
        <v>46</v>
      </c>
      <c r="D191" s="41">
        <v>-1928.7</v>
      </c>
      <c r="E191" s="43" t="str">
        <f>C191</f>
        <v>Traspaso</v>
      </c>
      <c r="F191" s="42" t="s">
        <v>0</v>
      </c>
    </row>
    <row r="192" spans="1:6">
      <c r="A192" s="39">
        <f>A191</f>
        <v>45679</v>
      </c>
      <c r="B192" s="40" t="s">
        <v>88</v>
      </c>
      <c r="C192" s="40" t="s">
        <v>46</v>
      </c>
      <c r="D192" s="41">
        <v>1928.7</v>
      </c>
      <c r="E192" s="43" t="str">
        <f>C192</f>
        <v>Traspaso</v>
      </c>
      <c r="F192" s="42" t="s">
        <v>0</v>
      </c>
    </row>
    <row r="193" spans="1:6">
      <c r="A193" s="39">
        <f>A192</f>
        <v>45679</v>
      </c>
      <c r="B193" s="40" t="s">
        <v>32</v>
      </c>
      <c r="C193" s="40" t="s">
        <v>54</v>
      </c>
      <c r="D193" s="41">
        <v>175</v>
      </c>
      <c r="E193" s="43" t="s">
        <v>100</v>
      </c>
      <c r="F193" s="42" t="s">
        <v>1</v>
      </c>
    </row>
    <row r="194" spans="1:6">
      <c r="A194" s="39">
        <f>A193</f>
        <v>45679</v>
      </c>
      <c r="B194" s="40" t="s">
        <v>19</v>
      </c>
      <c r="C194" s="40" t="s">
        <v>36</v>
      </c>
      <c r="D194" s="41">
        <v>-4.5999999999999996</v>
      </c>
      <c r="E194" s="43" t="s">
        <v>84</v>
      </c>
      <c r="F194" s="42" t="s">
        <v>1</v>
      </c>
    </row>
    <row r="195" spans="1:6">
      <c r="A195" s="39">
        <f>A194</f>
        <v>45679</v>
      </c>
      <c r="B195" s="40" t="s">
        <v>32</v>
      </c>
      <c r="C195" s="40" t="s">
        <v>54</v>
      </c>
      <c r="D195" s="41">
        <v>-29.36</v>
      </c>
      <c r="E195" s="43" t="s">
        <v>101</v>
      </c>
      <c r="F195" s="42" t="s">
        <v>1</v>
      </c>
    </row>
    <row r="196" spans="1:6">
      <c r="A196" s="39">
        <f>A195</f>
        <v>45679</v>
      </c>
      <c r="B196" s="40" t="s">
        <v>19</v>
      </c>
      <c r="C196" s="40" t="s">
        <v>44</v>
      </c>
      <c r="D196" s="41">
        <v>-33</v>
      </c>
      <c r="E196" s="43" t="s">
        <v>102</v>
      </c>
      <c r="F196" s="42" t="s">
        <v>38</v>
      </c>
    </row>
    <row r="197" spans="1:6">
      <c r="A197" s="39">
        <f>A196</f>
        <v>45679</v>
      </c>
      <c r="B197" s="40" t="s">
        <v>29</v>
      </c>
      <c r="C197" s="40" t="s">
        <v>46</v>
      </c>
      <c r="D197" s="41">
        <v>-1000</v>
      </c>
      <c r="E197" s="43" t="str">
        <f>C197</f>
        <v>Traspaso</v>
      </c>
      <c r="F197" s="42" t="s">
        <v>1</v>
      </c>
    </row>
    <row r="198" spans="1:6">
      <c r="A198" s="39">
        <f>A197</f>
        <v>45679</v>
      </c>
      <c r="B198" s="40" t="s">
        <v>33</v>
      </c>
      <c r="C198" s="40" t="s">
        <v>46</v>
      </c>
      <c r="D198" s="41">
        <v>1000</v>
      </c>
      <c r="E198" s="43" t="str">
        <f>C198</f>
        <v>Traspaso</v>
      </c>
      <c r="F198" s="42" t="s">
        <v>1</v>
      </c>
    </row>
    <row r="199" spans="1:6">
      <c r="A199" s="39">
        <v>45680</v>
      </c>
      <c r="B199" s="40" t="s">
        <v>16</v>
      </c>
      <c r="C199" s="40" t="s">
        <v>41</v>
      </c>
      <c r="D199" s="41">
        <v>-1.3</v>
      </c>
      <c r="E199" s="43" t="s">
        <v>42</v>
      </c>
      <c r="F199" s="42" t="s">
        <v>0</v>
      </c>
    </row>
    <row r="200" spans="1:6">
      <c r="A200" s="39">
        <f>A199</f>
        <v>45680</v>
      </c>
      <c r="B200" s="40" t="s">
        <v>16</v>
      </c>
      <c r="C200" s="40" t="s">
        <v>46</v>
      </c>
      <c r="D200" s="41">
        <v>-500</v>
      </c>
      <c r="E200" s="43" t="str">
        <f>C200</f>
        <v>Traspaso</v>
      </c>
      <c r="F200" s="42" t="s">
        <v>0</v>
      </c>
    </row>
    <row r="201" spans="1:6">
      <c r="A201" s="39">
        <f>A200</f>
        <v>45680</v>
      </c>
      <c r="B201" s="40" t="s">
        <v>23</v>
      </c>
      <c r="C201" s="40" t="s">
        <v>46</v>
      </c>
      <c r="D201" s="41">
        <v>500</v>
      </c>
      <c r="E201" s="43" t="str">
        <f>C201</f>
        <v>Traspaso</v>
      </c>
      <c r="F201" s="42" t="s">
        <v>0</v>
      </c>
    </row>
    <row r="202" spans="1:6">
      <c r="A202" s="39">
        <f>A201</f>
        <v>45680</v>
      </c>
      <c r="B202" s="40" t="s">
        <v>17</v>
      </c>
      <c r="C202" s="40" t="s">
        <v>36</v>
      </c>
      <c r="D202" s="41">
        <v>-16.5</v>
      </c>
      <c r="E202" s="43" t="s">
        <v>103</v>
      </c>
      <c r="F202" s="42" t="s">
        <v>1</v>
      </c>
    </row>
    <row r="203" spans="1:6">
      <c r="A203" s="39">
        <v>45680</v>
      </c>
      <c r="B203" s="40" t="s">
        <v>29</v>
      </c>
      <c r="C203" s="40" t="s">
        <v>92</v>
      </c>
      <c r="D203" s="41">
        <v>8</v>
      </c>
      <c r="E203" s="43" t="s">
        <v>104</v>
      </c>
      <c r="F203" s="42" t="s">
        <v>1</v>
      </c>
    </row>
    <row r="204" spans="1:6">
      <c r="A204" s="39">
        <v>45681</v>
      </c>
      <c r="B204" s="40" t="s">
        <v>16</v>
      </c>
      <c r="C204" s="40" t="s">
        <v>41</v>
      </c>
      <c r="D204" s="41">
        <v>-1.3</v>
      </c>
      <c r="E204" s="43" t="s">
        <v>42</v>
      </c>
      <c r="F204" s="42" t="s">
        <v>0</v>
      </c>
    </row>
    <row r="205" spans="1:6">
      <c r="A205" s="39">
        <f>A204</f>
        <v>45681</v>
      </c>
      <c r="B205" s="40" t="s">
        <v>19</v>
      </c>
      <c r="C205" s="40" t="s">
        <v>105</v>
      </c>
      <c r="D205" s="41">
        <v>-5</v>
      </c>
      <c r="E205" s="43" t="s">
        <v>106</v>
      </c>
      <c r="F205" s="42" t="s">
        <v>1</v>
      </c>
    </row>
    <row r="206" spans="1:6">
      <c r="A206" s="39">
        <f>A205</f>
        <v>45681</v>
      </c>
      <c r="B206" s="40" t="s">
        <v>19</v>
      </c>
      <c r="C206" s="40" t="s">
        <v>36</v>
      </c>
      <c r="D206" s="41">
        <v>-5</v>
      </c>
      <c r="E206" s="43" t="s">
        <v>69</v>
      </c>
      <c r="F206" s="42" t="s">
        <v>38</v>
      </c>
    </row>
    <row r="207" spans="1:6">
      <c r="A207" s="39">
        <v>45682</v>
      </c>
      <c r="B207" s="40" t="s">
        <v>17</v>
      </c>
      <c r="C207" s="40" t="s">
        <v>73</v>
      </c>
      <c r="D207" s="41">
        <v>-54</v>
      </c>
      <c r="E207" s="43" t="s">
        <v>107</v>
      </c>
      <c r="F207" s="42" t="s">
        <v>38</v>
      </c>
    </row>
    <row r="208" spans="1:6">
      <c r="A208" s="39">
        <v>45682</v>
      </c>
      <c r="B208" s="40" t="s">
        <v>16</v>
      </c>
      <c r="C208" s="40" t="s">
        <v>36</v>
      </c>
      <c r="D208" s="41">
        <v>-92.13</v>
      </c>
      <c r="E208" s="43" t="s">
        <v>37</v>
      </c>
      <c r="F208" s="42" t="s">
        <v>38</v>
      </c>
    </row>
    <row r="209" spans="1:6">
      <c r="A209" s="39">
        <v>45683</v>
      </c>
      <c r="B209" s="40" t="s">
        <v>16</v>
      </c>
      <c r="C209" s="40" t="s">
        <v>58</v>
      </c>
      <c r="D209" s="41">
        <v>-47.72</v>
      </c>
      <c r="E209" s="43" t="s">
        <v>108</v>
      </c>
      <c r="F209" s="42" t="s">
        <v>38</v>
      </c>
    </row>
    <row r="210" spans="1:6">
      <c r="A210" s="39">
        <v>45683</v>
      </c>
      <c r="B210" s="40" t="s">
        <v>16</v>
      </c>
      <c r="C210" s="40" t="s">
        <v>52</v>
      </c>
      <c r="D210" s="41">
        <v>-6</v>
      </c>
      <c r="E210" s="43" t="s">
        <v>79</v>
      </c>
      <c r="F210" s="42" t="s">
        <v>0</v>
      </c>
    </row>
    <row r="211" spans="1:6">
      <c r="A211" s="39">
        <v>45684</v>
      </c>
      <c r="B211" s="40" t="s">
        <v>25</v>
      </c>
      <c r="C211" s="40" t="s">
        <v>43</v>
      </c>
      <c r="D211" s="41">
        <v>-35.880000000000003</v>
      </c>
      <c r="E211" s="43" t="str">
        <f>C211</f>
        <v>Comunidad</v>
      </c>
      <c r="F211" s="42" t="s">
        <v>0</v>
      </c>
    </row>
    <row r="212" spans="1:6">
      <c r="A212" s="39">
        <f>A211</f>
        <v>45684</v>
      </c>
      <c r="B212" s="40" t="s">
        <v>25</v>
      </c>
      <c r="C212" s="40" t="s">
        <v>43</v>
      </c>
      <c r="D212" s="41">
        <v>-45.86</v>
      </c>
      <c r="E212" s="43" t="str">
        <f>C212</f>
        <v>Comunidad</v>
      </c>
      <c r="F212" s="42" t="s">
        <v>0</v>
      </c>
    </row>
    <row r="213" spans="1:6">
      <c r="A213" s="39">
        <f>A212</f>
        <v>45684</v>
      </c>
      <c r="B213" s="40" t="s">
        <v>16</v>
      </c>
      <c r="C213" s="40" t="s">
        <v>41</v>
      </c>
      <c r="D213" s="41">
        <v>-1.2</v>
      </c>
      <c r="E213" s="43" t="s">
        <v>42</v>
      </c>
      <c r="F213" s="42" t="s">
        <v>0</v>
      </c>
    </row>
    <row r="214" spans="1:6">
      <c r="A214" s="39">
        <f>A213</f>
        <v>45684</v>
      </c>
      <c r="B214" s="40" t="s">
        <v>26</v>
      </c>
      <c r="C214" s="40" t="s">
        <v>46</v>
      </c>
      <c r="D214" s="41">
        <v>-5000</v>
      </c>
      <c r="E214" s="43" t="str">
        <f>C214</f>
        <v>Traspaso</v>
      </c>
      <c r="F214" s="42" t="s">
        <v>0</v>
      </c>
    </row>
    <row r="215" spans="1:6">
      <c r="A215" s="39">
        <f>A214</f>
        <v>45684</v>
      </c>
      <c r="B215" s="40" t="s">
        <v>109</v>
      </c>
      <c r="C215" s="40" t="s">
        <v>46</v>
      </c>
      <c r="D215" s="41">
        <v>5000</v>
      </c>
      <c r="E215" s="43" t="str">
        <f>C215</f>
        <v>Traspaso</v>
      </c>
      <c r="F215" s="42" t="s">
        <v>0</v>
      </c>
    </row>
    <row r="216" spans="1:6">
      <c r="A216" s="39">
        <f>A215</f>
        <v>45684</v>
      </c>
      <c r="B216" s="40" t="s">
        <v>19</v>
      </c>
      <c r="C216" s="40" t="s">
        <v>36</v>
      </c>
      <c r="D216" s="41">
        <v>-1.3</v>
      </c>
      <c r="E216" s="43" t="s">
        <v>84</v>
      </c>
      <c r="F216" s="42" t="s">
        <v>1</v>
      </c>
    </row>
    <row r="217" spans="1:6">
      <c r="A217" s="39">
        <v>45685</v>
      </c>
      <c r="B217" s="40" t="s">
        <v>16</v>
      </c>
      <c r="C217" s="40" t="s">
        <v>41</v>
      </c>
      <c r="D217" s="41">
        <v>-1.3</v>
      </c>
      <c r="E217" s="43" t="s">
        <v>42</v>
      </c>
      <c r="F217" s="42" t="s">
        <v>0</v>
      </c>
    </row>
    <row r="218" spans="1:6">
      <c r="A218" s="39">
        <f>A217</f>
        <v>45685</v>
      </c>
      <c r="B218" s="40" t="s">
        <v>24</v>
      </c>
      <c r="C218" s="40" t="s">
        <v>110</v>
      </c>
      <c r="D218" s="41">
        <v>1952.33</v>
      </c>
      <c r="E218" s="43" t="str">
        <f>C218</f>
        <v>Nómina</v>
      </c>
      <c r="F218" s="42" t="s">
        <v>0</v>
      </c>
    </row>
    <row r="219" spans="1:6">
      <c r="A219" s="39">
        <f>A218</f>
        <v>45685</v>
      </c>
      <c r="B219" s="40" t="s">
        <v>17</v>
      </c>
      <c r="C219" s="40" t="s">
        <v>76</v>
      </c>
      <c r="D219" s="41">
        <v>-12</v>
      </c>
      <c r="E219" s="43" t="s">
        <v>111</v>
      </c>
      <c r="F219" s="42" t="s">
        <v>1</v>
      </c>
    </row>
    <row r="220" spans="1:6">
      <c r="A220" s="39">
        <f>A219</f>
        <v>45685</v>
      </c>
      <c r="B220" s="40" t="s">
        <v>19</v>
      </c>
      <c r="C220" s="40" t="s">
        <v>58</v>
      </c>
      <c r="D220" s="41">
        <v>-13</v>
      </c>
      <c r="E220" s="43" t="s">
        <v>112</v>
      </c>
      <c r="F220" s="42" t="s">
        <v>38</v>
      </c>
    </row>
    <row r="221" spans="1:6">
      <c r="A221" s="39">
        <f>A220</f>
        <v>45685</v>
      </c>
      <c r="B221" s="40" t="s">
        <v>24</v>
      </c>
      <c r="C221" s="40" t="s">
        <v>46</v>
      </c>
      <c r="D221" s="41">
        <v>-300</v>
      </c>
      <c r="E221" s="43" t="str">
        <f>C221</f>
        <v>Traspaso</v>
      </c>
      <c r="F221" s="42" t="s">
        <v>0</v>
      </c>
    </row>
    <row r="222" spans="1:6">
      <c r="A222" s="39">
        <f>A221</f>
        <v>45685</v>
      </c>
      <c r="B222" s="40" t="s">
        <v>109</v>
      </c>
      <c r="C222" s="40" t="s">
        <v>46</v>
      </c>
      <c r="D222" s="41">
        <v>300</v>
      </c>
      <c r="E222" s="43" t="str">
        <f>C222</f>
        <v>Traspaso</v>
      </c>
      <c r="F222" s="42" t="s">
        <v>0</v>
      </c>
    </row>
    <row r="223" spans="1:6">
      <c r="A223" s="39">
        <v>45686</v>
      </c>
      <c r="B223" s="40" t="s">
        <v>16</v>
      </c>
      <c r="C223" s="40" t="s">
        <v>41</v>
      </c>
      <c r="D223" s="41">
        <v>-1.3</v>
      </c>
      <c r="E223" s="43" t="s">
        <v>42</v>
      </c>
      <c r="F223" s="42" t="s">
        <v>0</v>
      </c>
    </row>
    <row r="224" spans="1:6">
      <c r="A224" s="39">
        <v>45686</v>
      </c>
      <c r="B224" s="40" t="s">
        <v>16</v>
      </c>
      <c r="C224" s="40" t="s">
        <v>46</v>
      </c>
      <c r="D224" s="41">
        <v>-100</v>
      </c>
      <c r="E224" s="43" t="s">
        <v>113</v>
      </c>
      <c r="F224" s="42" t="s">
        <v>0</v>
      </c>
    </row>
    <row r="225" spans="1:6">
      <c r="A225" s="39">
        <v>45686</v>
      </c>
      <c r="B225" s="40" t="s">
        <v>109</v>
      </c>
      <c r="C225" s="40" t="s">
        <v>46</v>
      </c>
      <c r="D225" s="41">
        <v>100</v>
      </c>
      <c r="E225" s="43" t="s">
        <v>113</v>
      </c>
      <c r="F225" s="42" t="s">
        <v>0</v>
      </c>
    </row>
    <row r="226" spans="1:6">
      <c r="A226" s="39">
        <f>A225</f>
        <v>45686</v>
      </c>
      <c r="B226" s="40" t="s">
        <v>19</v>
      </c>
      <c r="C226" s="40" t="s">
        <v>36</v>
      </c>
      <c r="D226" s="41">
        <v>-1.4</v>
      </c>
      <c r="E226" s="43" t="s">
        <v>84</v>
      </c>
      <c r="F226" s="42" t="s">
        <v>1</v>
      </c>
    </row>
    <row r="227" spans="1:6">
      <c r="A227" s="39">
        <f>A226</f>
        <v>45686</v>
      </c>
      <c r="B227" s="40" t="s">
        <v>32</v>
      </c>
      <c r="C227" s="40" t="s">
        <v>46</v>
      </c>
      <c r="D227" s="41">
        <v>-130</v>
      </c>
      <c r="E227" s="43" t="s">
        <v>113</v>
      </c>
      <c r="F227" s="42" t="s">
        <v>1</v>
      </c>
    </row>
    <row r="228" spans="1:6">
      <c r="A228" s="39">
        <f>A227</f>
        <v>45686</v>
      </c>
      <c r="B228" s="40" t="s">
        <v>19</v>
      </c>
      <c r="C228" s="40" t="s">
        <v>46</v>
      </c>
      <c r="D228" s="41">
        <v>130</v>
      </c>
      <c r="E228" s="43" t="str">
        <f>C228</f>
        <v>Traspaso</v>
      </c>
      <c r="F228" s="42" t="s">
        <v>1</v>
      </c>
    </row>
    <row r="229" spans="1:6">
      <c r="A229" s="39">
        <f>A228</f>
        <v>45686</v>
      </c>
      <c r="B229" s="40" t="s">
        <v>31</v>
      </c>
      <c r="C229" s="40" t="s">
        <v>110</v>
      </c>
      <c r="D229" s="41">
        <v>1955.54</v>
      </c>
      <c r="E229" s="43" t="str">
        <f>C229</f>
        <v>Nómina</v>
      </c>
      <c r="F229" s="42" t="s">
        <v>1</v>
      </c>
    </row>
    <row r="230" spans="1:6" ht="12.75" customHeight="1">
      <c r="A230" s="39">
        <f>A229</f>
        <v>45686</v>
      </c>
      <c r="B230" s="40" t="s">
        <v>29</v>
      </c>
      <c r="C230" s="40" t="s">
        <v>44</v>
      </c>
      <c r="D230" s="41">
        <v>-45.99</v>
      </c>
      <c r="E230" s="45" t="s">
        <v>114</v>
      </c>
      <c r="F230" s="42" t="s">
        <v>1</v>
      </c>
    </row>
    <row r="231" spans="1:6">
      <c r="A231" s="39">
        <f>A230</f>
        <v>45686</v>
      </c>
      <c r="B231" s="40" t="s">
        <v>17</v>
      </c>
      <c r="C231" s="40" t="s">
        <v>76</v>
      </c>
      <c r="D231" s="41">
        <v>-17.989999999999998</v>
      </c>
      <c r="E231" s="43" t="s">
        <v>115</v>
      </c>
      <c r="F231" s="42" t="s">
        <v>1</v>
      </c>
    </row>
    <row r="232" spans="1:6">
      <c r="A232" s="39">
        <f>A231</f>
        <v>45686</v>
      </c>
      <c r="B232" s="40" t="s">
        <v>19</v>
      </c>
      <c r="C232" s="40" t="s">
        <v>36</v>
      </c>
      <c r="D232" s="41">
        <v>-5</v>
      </c>
      <c r="E232" s="43" t="s">
        <v>69</v>
      </c>
      <c r="F232" s="42" t="s">
        <v>38</v>
      </c>
    </row>
    <row r="233" spans="1:6">
      <c r="A233" s="39">
        <f>A232</f>
        <v>45686</v>
      </c>
      <c r="B233" s="40" t="s">
        <v>24</v>
      </c>
      <c r="C233" s="40" t="s">
        <v>46</v>
      </c>
      <c r="D233" s="41">
        <v>-1652.33</v>
      </c>
      <c r="E233" s="43" t="str">
        <f>C233</f>
        <v>Traspaso</v>
      </c>
      <c r="F233" s="42" t="s">
        <v>0</v>
      </c>
    </row>
    <row r="234" spans="1:6">
      <c r="A234" s="39">
        <f>A233</f>
        <v>45686</v>
      </c>
      <c r="B234" s="40" t="s">
        <v>26</v>
      </c>
      <c r="C234" s="40" t="s">
        <v>46</v>
      </c>
      <c r="D234" s="41">
        <v>1652.33</v>
      </c>
      <c r="E234" s="43" t="str">
        <f>C234</f>
        <v>Traspaso</v>
      </c>
      <c r="F234" s="42" t="s">
        <v>0</v>
      </c>
    </row>
    <row r="235" spans="1:6">
      <c r="A235" s="39">
        <v>45687</v>
      </c>
      <c r="B235" s="40" t="s">
        <v>16</v>
      </c>
      <c r="C235" s="40" t="s">
        <v>41</v>
      </c>
      <c r="D235" s="41">
        <v>-1.3</v>
      </c>
      <c r="E235" s="43" t="s">
        <v>42</v>
      </c>
      <c r="F235" s="42" t="s">
        <v>0</v>
      </c>
    </row>
    <row r="236" spans="1:6">
      <c r="A236" s="39">
        <f>A235</f>
        <v>45687</v>
      </c>
      <c r="B236" s="40" t="s">
        <v>16</v>
      </c>
      <c r="C236" s="40" t="s">
        <v>58</v>
      </c>
      <c r="D236" s="41">
        <v>-21.36</v>
      </c>
      <c r="E236" s="43" t="str">
        <f>C236</f>
        <v>Variosvivienda</v>
      </c>
      <c r="F236" s="42" t="s">
        <v>38</v>
      </c>
    </row>
    <row r="237" spans="1:6">
      <c r="A237" s="39">
        <f>A236</f>
        <v>45687</v>
      </c>
      <c r="B237" s="40" t="s">
        <v>116</v>
      </c>
      <c r="C237" s="40" t="s">
        <v>34</v>
      </c>
      <c r="D237" s="41">
        <v>0.59</v>
      </c>
      <c r="E237" s="43" t="s">
        <v>117</v>
      </c>
      <c r="F237" s="42" t="s">
        <v>0</v>
      </c>
    </row>
    <row r="238" spans="1:6">
      <c r="A238" s="39">
        <v>45687</v>
      </c>
      <c r="B238" s="40" t="s">
        <v>19</v>
      </c>
      <c r="C238" s="40" t="s">
        <v>36</v>
      </c>
      <c r="D238" s="41">
        <v>-0.6</v>
      </c>
      <c r="E238" s="43" t="s">
        <v>70</v>
      </c>
      <c r="F238" s="42" t="s">
        <v>1</v>
      </c>
    </row>
    <row r="239" spans="1:6">
      <c r="A239" s="39">
        <v>45688</v>
      </c>
      <c r="B239" s="40" t="s">
        <v>32</v>
      </c>
      <c r="C239" s="40" t="s">
        <v>46</v>
      </c>
      <c r="D239" s="41">
        <v>-691.2</v>
      </c>
      <c r="E239" s="43" t="str">
        <f>C239</f>
        <v>Traspaso</v>
      </c>
      <c r="F239" s="42" t="s">
        <v>1</v>
      </c>
    </row>
    <row r="240" spans="1:6">
      <c r="A240" s="39">
        <f>A239</f>
        <v>45688</v>
      </c>
      <c r="B240" s="40" t="s">
        <v>17</v>
      </c>
      <c r="C240" s="40" t="s">
        <v>46</v>
      </c>
      <c r="D240" s="41">
        <v>691.2</v>
      </c>
      <c r="E240" s="43" t="str">
        <f>C240</f>
        <v>Traspaso</v>
      </c>
      <c r="F240" s="42" t="s">
        <v>1</v>
      </c>
    </row>
    <row r="241" spans="1:6">
      <c r="A241" s="39">
        <v>45687</v>
      </c>
      <c r="B241" s="40" t="s">
        <v>25</v>
      </c>
      <c r="C241" s="40" t="s">
        <v>46</v>
      </c>
      <c r="D241" s="41">
        <v>-200</v>
      </c>
      <c r="E241" s="43" t="str">
        <f>C241</f>
        <v>Traspaso</v>
      </c>
      <c r="F241" s="42" t="s">
        <v>0</v>
      </c>
    </row>
    <row r="242" spans="1:6">
      <c r="A242" s="39">
        <f>A241</f>
        <v>45687</v>
      </c>
      <c r="B242" s="40" t="s">
        <v>23</v>
      </c>
      <c r="C242" s="40" t="s">
        <v>46</v>
      </c>
      <c r="D242" s="41">
        <v>200</v>
      </c>
      <c r="E242" s="43" t="str">
        <f>C242</f>
        <v>Traspaso</v>
      </c>
      <c r="F242" s="42" t="s">
        <v>0</v>
      </c>
    </row>
    <row r="243" spans="1:6">
      <c r="A243" s="39">
        <v>45688</v>
      </c>
      <c r="B243" s="40" t="s">
        <v>24</v>
      </c>
      <c r="C243" s="40" t="s">
        <v>46</v>
      </c>
      <c r="D243" s="41">
        <v>-1285.75</v>
      </c>
      <c r="E243" s="43" t="str">
        <f>C243</f>
        <v>Traspaso</v>
      </c>
      <c r="F243" s="42" t="s">
        <v>0</v>
      </c>
    </row>
    <row r="244" spans="1:6">
      <c r="A244" s="39">
        <f>A243</f>
        <v>45688</v>
      </c>
      <c r="B244" s="40" t="s">
        <v>16</v>
      </c>
      <c r="C244" s="40" t="s">
        <v>46</v>
      </c>
      <c r="D244" s="41">
        <v>1285.75</v>
      </c>
      <c r="E244" s="43" t="str">
        <f>C244</f>
        <v>Traspaso</v>
      </c>
      <c r="F244" s="42" t="s">
        <v>0</v>
      </c>
    </row>
    <row r="245" spans="1:6">
      <c r="A245" s="39">
        <f>A244</f>
        <v>45688</v>
      </c>
      <c r="B245" s="40" t="s">
        <v>16</v>
      </c>
      <c r="C245" s="40" t="s">
        <v>41</v>
      </c>
      <c r="D245" s="41">
        <v>-1.3</v>
      </c>
      <c r="E245" s="43" t="s">
        <v>42</v>
      </c>
      <c r="F245" s="42" t="s">
        <v>0</v>
      </c>
    </row>
    <row r="246" spans="1:6">
      <c r="A246" s="39">
        <f>A245</f>
        <v>45688</v>
      </c>
      <c r="B246" s="40" t="s">
        <v>25</v>
      </c>
      <c r="C246" s="40" t="s">
        <v>46</v>
      </c>
      <c r="D246" s="41">
        <v>-322.99</v>
      </c>
      <c r="E246" s="43" t="str">
        <f>C246</f>
        <v>Traspaso</v>
      </c>
      <c r="F246" s="42" t="s">
        <v>0</v>
      </c>
    </row>
    <row r="247" spans="1:6">
      <c r="A247" s="39">
        <f>A246</f>
        <v>45688</v>
      </c>
      <c r="B247" s="40" t="s">
        <v>24</v>
      </c>
      <c r="C247" s="40" t="s">
        <v>46</v>
      </c>
      <c r="D247" s="41">
        <v>322.99</v>
      </c>
      <c r="E247" s="43" t="str">
        <f>C247</f>
        <v>Traspaso</v>
      </c>
      <c r="F247" s="42" t="s">
        <v>0</v>
      </c>
    </row>
    <row r="248" spans="1:6">
      <c r="A248" s="39">
        <f>A247</f>
        <v>45688</v>
      </c>
      <c r="B248" s="40" t="s">
        <v>26</v>
      </c>
      <c r="C248" s="40" t="s">
        <v>46</v>
      </c>
      <c r="D248" s="41">
        <v>-500</v>
      </c>
      <c r="E248" s="43" t="str">
        <f>C248</f>
        <v>Traspaso</v>
      </c>
      <c r="F248" s="42" t="s">
        <v>0</v>
      </c>
    </row>
    <row r="249" spans="1:6">
      <c r="A249" s="39">
        <f>A248</f>
        <v>45688</v>
      </c>
      <c r="B249" s="40" t="s">
        <v>24</v>
      </c>
      <c r="C249" s="40" t="s">
        <v>46</v>
      </c>
      <c r="D249" s="41">
        <v>500</v>
      </c>
      <c r="E249" s="43" t="str">
        <f>C249</f>
        <v>Traspaso</v>
      </c>
      <c r="F249" s="42" t="s">
        <v>0</v>
      </c>
    </row>
    <row r="250" spans="1:6">
      <c r="A250" s="39">
        <f>A249</f>
        <v>45688</v>
      </c>
      <c r="B250" s="40" t="s">
        <v>19</v>
      </c>
      <c r="C250" s="40" t="s">
        <v>36</v>
      </c>
      <c r="D250" s="41">
        <v>-4.5</v>
      </c>
      <c r="E250" s="43" t="s">
        <v>84</v>
      </c>
      <c r="F250" s="42" t="s">
        <v>1</v>
      </c>
    </row>
    <row r="251" spans="1:6">
      <c r="A251" s="39">
        <f>A250</f>
        <v>45688</v>
      </c>
      <c r="B251" s="40" t="s">
        <v>31</v>
      </c>
      <c r="C251" s="40" t="s">
        <v>46</v>
      </c>
      <c r="D251" s="41">
        <v>-1000</v>
      </c>
      <c r="E251" s="43" t="str">
        <f>C251</f>
        <v>Traspaso</v>
      </c>
      <c r="F251" s="42" t="s">
        <v>1</v>
      </c>
    </row>
    <row r="252" spans="1:6">
      <c r="A252" s="39">
        <f>A251</f>
        <v>45688</v>
      </c>
      <c r="B252" s="40" t="s">
        <v>32</v>
      </c>
      <c r="C252" s="40" t="s">
        <v>46</v>
      </c>
      <c r="D252" s="41">
        <v>1000</v>
      </c>
      <c r="E252" s="43" t="str">
        <f>C252</f>
        <v>Traspaso</v>
      </c>
      <c r="F252" s="42" t="s">
        <v>1</v>
      </c>
    </row>
    <row r="253" spans="1:6">
      <c r="A253" s="39">
        <f>A252</f>
        <v>45688</v>
      </c>
      <c r="B253" s="40" t="s">
        <v>16</v>
      </c>
      <c r="C253" s="40" t="s">
        <v>52</v>
      </c>
      <c r="D253" s="41">
        <v>-9.75</v>
      </c>
      <c r="E253" s="43" t="s">
        <v>79</v>
      </c>
      <c r="F253" s="42" t="s">
        <v>0</v>
      </c>
    </row>
    <row r="254" spans="1:6">
      <c r="A254" s="39">
        <v>45689</v>
      </c>
      <c r="B254" s="40" t="s">
        <v>22</v>
      </c>
      <c r="C254" s="40" t="s">
        <v>34</v>
      </c>
      <c r="D254" s="41">
        <v>0.01</v>
      </c>
      <c r="E254" s="43" t="str">
        <f>C254</f>
        <v>Intereses</v>
      </c>
      <c r="F254" s="42" t="s">
        <v>0</v>
      </c>
    </row>
    <row r="255" spans="1:6">
      <c r="A255" s="39">
        <f>A254</f>
        <v>45689</v>
      </c>
      <c r="B255" s="40" t="s">
        <v>25</v>
      </c>
      <c r="C255" s="40" t="s">
        <v>39</v>
      </c>
      <c r="D255" s="41">
        <v>800</v>
      </c>
      <c r="E255" s="43" t="s">
        <v>118</v>
      </c>
      <c r="F255" s="42" t="s">
        <v>0</v>
      </c>
    </row>
    <row r="256" spans="1:6">
      <c r="A256" s="39">
        <f>A255</f>
        <v>45689</v>
      </c>
      <c r="B256" s="40" t="s">
        <v>26</v>
      </c>
      <c r="C256" s="40" t="s">
        <v>34</v>
      </c>
      <c r="D256" s="41">
        <v>42.51</v>
      </c>
      <c r="E256" s="43" t="str">
        <f>C256</f>
        <v>Intereses</v>
      </c>
      <c r="F256" s="42" t="s">
        <v>0</v>
      </c>
    </row>
    <row r="257" spans="1:6">
      <c r="A257" s="39">
        <v>45688</v>
      </c>
      <c r="B257" s="40" t="s">
        <v>19</v>
      </c>
      <c r="C257" s="40" t="s">
        <v>119</v>
      </c>
      <c r="D257" s="41">
        <v>-80</v>
      </c>
      <c r="E257" s="43" t="s">
        <v>120</v>
      </c>
      <c r="F257" s="42" t="s">
        <v>1</v>
      </c>
    </row>
    <row r="258" spans="1:6">
      <c r="A258" s="39">
        <v>45689</v>
      </c>
      <c r="B258" s="40" t="s">
        <v>29</v>
      </c>
      <c r="C258" s="40" t="s">
        <v>34</v>
      </c>
      <c r="D258" s="41">
        <v>1.28</v>
      </c>
      <c r="E258" s="43" t="str">
        <f>C258</f>
        <v>Intereses</v>
      </c>
      <c r="F258" s="42" t="s">
        <v>1</v>
      </c>
    </row>
    <row r="259" spans="1:6">
      <c r="A259" s="39">
        <f>A258</f>
        <v>45689</v>
      </c>
      <c r="B259" s="40" t="s">
        <v>33</v>
      </c>
      <c r="C259" s="40" t="s">
        <v>34</v>
      </c>
      <c r="D259" s="41">
        <v>59.07</v>
      </c>
      <c r="E259" s="43" t="str">
        <f>C259</f>
        <v>Intereses</v>
      </c>
      <c r="F259" s="42" t="s">
        <v>1</v>
      </c>
    </row>
    <row r="260" spans="1:6">
      <c r="A260" s="39">
        <v>45690</v>
      </c>
      <c r="B260" s="40" t="s">
        <v>19</v>
      </c>
      <c r="C260" s="40" t="s">
        <v>41</v>
      </c>
      <c r="D260" s="41">
        <v>-4</v>
      </c>
      <c r="E260" s="43" t="s">
        <v>121</v>
      </c>
      <c r="F260" s="42" t="s">
        <v>1</v>
      </c>
    </row>
    <row r="261" spans="1:6">
      <c r="A261" s="39">
        <f>A260</f>
        <v>45690</v>
      </c>
      <c r="B261" s="40" t="s">
        <v>19</v>
      </c>
      <c r="C261" s="40" t="s">
        <v>41</v>
      </c>
      <c r="D261" s="41">
        <v>-7.5</v>
      </c>
      <c r="E261" s="43" t="s">
        <v>122</v>
      </c>
      <c r="F261" s="42" t="s">
        <v>38</v>
      </c>
    </row>
    <row r="262" spans="1:6">
      <c r="A262" s="39">
        <v>45691</v>
      </c>
      <c r="B262" s="40" t="s">
        <v>32</v>
      </c>
      <c r="C262" s="40" t="s">
        <v>54</v>
      </c>
      <c r="D262" s="41">
        <v>-57.71</v>
      </c>
      <c r="E262" s="43" t="s">
        <v>123</v>
      </c>
      <c r="F262" s="42" t="s">
        <v>1</v>
      </c>
    </row>
    <row r="263" spans="1:6">
      <c r="A263" s="39">
        <f>A262</f>
        <v>45691</v>
      </c>
      <c r="B263" s="40" t="s">
        <v>32</v>
      </c>
      <c r="C263" s="40" t="s">
        <v>44</v>
      </c>
      <c r="D263" s="41">
        <v>-10.48</v>
      </c>
      <c r="E263" s="43" t="s">
        <v>80</v>
      </c>
      <c r="F263" s="42" t="s">
        <v>1</v>
      </c>
    </row>
    <row r="264" spans="1:6">
      <c r="A264" s="39">
        <v>45689</v>
      </c>
      <c r="B264" s="40" t="s">
        <v>16</v>
      </c>
      <c r="C264" s="40" t="s">
        <v>36</v>
      </c>
      <c r="D264" s="41">
        <v>-88.38</v>
      </c>
      <c r="E264" s="43" t="s">
        <v>96</v>
      </c>
      <c r="F264" s="42" t="s">
        <v>0</v>
      </c>
    </row>
    <row r="265" spans="1:6">
      <c r="A265" s="39">
        <v>45691</v>
      </c>
      <c r="B265" s="40" t="s">
        <v>25</v>
      </c>
      <c r="C265" s="40" t="s">
        <v>43</v>
      </c>
      <c r="D265" s="41">
        <v>-60</v>
      </c>
      <c r="E265" s="43" t="s">
        <v>124</v>
      </c>
      <c r="F265" s="42" t="s">
        <v>0</v>
      </c>
    </row>
    <row r="266" spans="1:6">
      <c r="A266" s="39">
        <f>A265</f>
        <v>45691</v>
      </c>
      <c r="B266" s="40" t="s">
        <v>25</v>
      </c>
      <c r="C266" s="40" t="s">
        <v>41</v>
      </c>
      <c r="D266" s="41">
        <v>-1.3</v>
      </c>
      <c r="E266" s="43" t="s">
        <v>42</v>
      </c>
      <c r="F266" s="42" t="s">
        <v>0</v>
      </c>
    </row>
    <row r="267" spans="1:6">
      <c r="A267" s="39">
        <f>A266</f>
        <v>45691</v>
      </c>
      <c r="B267" s="40" t="s">
        <v>25</v>
      </c>
      <c r="C267" s="40" t="s">
        <v>46</v>
      </c>
      <c r="D267" s="41">
        <v>-500</v>
      </c>
      <c r="E267" s="43" t="str">
        <f>C267</f>
        <v>Traspaso</v>
      </c>
      <c r="F267" s="42" t="s">
        <v>0</v>
      </c>
    </row>
    <row r="268" spans="1:6">
      <c r="A268" s="39">
        <f>A267</f>
        <v>45691</v>
      </c>
      <c r="B268" s="40" t="s">
        <v>125</v>
      </c>
      <c r="C268" s="40" t="s">
        <v>46</v>
      </c>
      <c r="D268" s="41">
        <v>500</v>
      </c>
      <c r="E268" s="43" t="str">
        <f>C268</f>
        <v>Traspaso</v>
      </c>
      <c r="F268" s="42" t="s">
        <v>0</v>
      </c>
    </row>
    <row r="269" spans="1:6">
      <c r="A269" s="39">
        <v>45691</v>
      </c>
      <c r="B269" s="40" t="s">
        <v>32</v>
      </c>
      <c r="C269" s="40" t="s">
        <v>92</v>
      </c>
      <c r="D269" s="41">
        <v>100</v>
      </c>
      <c r="E269" s="43" t="s">
        <v>126</v>
      </c>
      <c r="F269" s="42" t="s">
        <v>38</v>
      </c>
    </row>
    <row r="270" spans="1:6">
      <c r="A270" s="39">
        <v>45691</v>
      </c>
      <c r="B270" s="40" t="s">
        <v>19</v>
      </c>
      <c r="C270" s="40" t="s">
        <v>76</v>
      </c>
      <c r="D270" s="41">
        <v>-3.5</v>
      </c>
      <c r="E270" s="43" t="s">
        <v>127</v>
      </c>
      <c r="F270" s="42" t="s">
        <v>1</v>
      </c>
    </row>
    <row r="271" spans="1:6">
      <c r="A271" s="39">
        <f>A270</f>
        <v>45691</v>
      </c>
      <c r="B271" s="40" t="s">
        <v>19</v>
      </c>
      <c r="C271" s="40" t="s">
        <v>36</v>
      </c>
      <c r="D271" s="41">
        <v>-1.4</v>
      </c>
      <c r="E271" s="43" t="s">
        <v>84</v>
      </c>
      <c r="F271" s="42" t="s">
        <v>1</v>
      </c>
    </row>
    <row r="272" spans="1:6">
      <c r="A272" s="39">
        <f>A271</f>
        <v>45691</v>
      </c>
      <c r="B272" s="40" t="s">
        <v>29</v>
      </c>
      <c r="C272" s="40" t="s">
        <v>41</v>
      </c>
      <c r="D272" s="41">
        <v>-9.8000000000000007</v>
      </c>
      <c r="E272" s="43" t="s">
        <v>128</v>
      </c>
      <c r="F272" s="42" t="s">
        <v>1</v>
      </c>
    </row>
    <row r="273" spans="1:6">
      <c r="A273" s="39">
        <f>A272</f>
        <v>45691</v>
      </c>
      <c r="B273" s="40" t="s">
        <v>26</v>
      </c>
      <c r="C273" s="40" t="s">
        <v>46</v>
      </c>
      <c r="D273" s="41">
        <v>-1000</v>
      </c>
      <c r="E273" s="43" t="str">
        <f>C273</f>
        <v>Traspaso</v>
      </c>
      <c r="F273" s="42" t="s">
        <v>0</v>
      </c>
    </row>
    <row r="274" spans="1:6">
      <c r="A274" s="39">
        <f>A273</f>
        <v>45691</v>
      </c>
      <c r="B274" s="40" t="s">
        <v>13</v>
      </c>
      <c r="C274" s="40" t="s">
        <v>46</v>
      </c>
      <c r="D274" s="41">
        <v>1000</v>
      </c>
      <c r="E274" s="43" t="str">
        <f>C274</f>
        <v>Traspaso</v>
      </c>
      <c r="F274" s="42" t="s">
        <v>0</v>
      </c>
    </row>
    <row r="275" spans="1:6">
      <c r="A275" s="39">
        <v>45692</v>
      </c>
      <c r="B275" s="40" t="s">
        <v>25</v>
      </c>
      <c r="C275" s="40" t="s">
        <v>41</v>
      </c>
      <c r="D275" s="41">
        <v>-1.3</v>
      </c>
      <c r="E275" s="43" t="s">
        <v>42</v>
      </c>
      <c r="F275" s="42" t="s">
        <v>0</v>
      </c>
    </row>
    <row r="276" spans="1:6">
      <c r="A276" s="39">
        <f>A275</f>
        <v>45692</v>
      </c>
      <c r="B276" s="40" t="s">
        <v>22</v>
      </c>
      <c r="C276" s="40" t="s">
        <v>34</v>
      </c>
      <c r="D276" s="41">
        <v>163.31</v>
      </c>
      <c r="E276" s="43" t="str">
        <f>C276</f>
        <v>Intereses</v>
      </c>
      <c r="F276" s="42" t="s">
        <v>0</v>
      </c>
    </row>
    <row r="277" spans="1:6">
      <c r="A277" s="39">
        <f>A276</f>
        <v>45692</v>
      </c>
      <c r="B277" s="40" t="s">
        <v>22</v>
      </c>
      <c r="C277" s="40" t="s">
        <v>46</v>
      </c>
      <c r="D277" s="41">
        <v>-1163.32</v>
      </c>
      <c r="E277" s="43" t="str">
        <f>C277</f>
        <v>Traspaso</v>
      </c>
      <c r="F277" s="42" t="s">
        <v>0</v>
      </c>
    </row>
    <row r="278" spans="1:6">
      <c r="A278" s="39">
        <f>A277</f>
        <v>45692</v>
      </c>
      <c r="B278" s="40" t="s">
        <v>25</v>
      </c>
      <c r="C278" s="40" t="s">
        <v>46</v>
      </c>
      <c r="D278" s="41">
        <v>1163.32</v>
      </c>
      <c r="E278" s="43" t="str">
        <f>C278</f>
        <v>Traspaso</v>
      </c>
      <c r="F278" s="42" t="s">
        <v>0</v>
      </c>
    </row>
    <row r="279" spans="1:6">
      <c r="A279" s="39">
        <f>A278</f>
        <v>45692</v>
      </c>
      <c r="B279" s="40" t="s">
        <v>22</v>
      </c>
      <c r="C279" s="40" t="s">
        <v>46</v>
      </c>
      <c r="D279" s="41">
        <v>-1000</v>
      </c>
      <c r="E279" s="43" t="str">
        <f>C279</f>
        <v>Traspaso</v>
      </c>
      <c r="F279" s="42" t="s">
        <v>0</v>
      </c>
    </row>
    <row r="280" spans="1:6">
      <c r="A280" s="39">
        <f>A279</f>
        <v>45692</v>
      </c>
      <c r="B280" s="40" t="s">
        <v>24</v>
      </c>
      <c r="C280" s="40" t="s">
        <v>46</v>
      </c>
      <c r="D280" s="41">
        <v>1000</v>
      </c>
      <c r="E280" s="43" t="str">
        <f>C280</f>
        <v>Traspaso</v>
      </c>
      <c r="F280" s="42" t="s">
        <v>0</v>
      </c>
    </row>
    <row r="281" spans="1:6">
      <c r="A281" s="39">
        <f>A280</f>
        <v>45692</v>
      </c>
      <c r="B281" s="40" t="s">
        <v>22</v>
      </c>
      <c r="C281" s="40" t="s">
        <v>46</v>
      </c>
      <c r="D281" s="41">
        <v>-20000</v>
      </c>
      <c r="E281" s="43" t="str">
        <f>C281</f>
        <v>Traspaso</v>
      </c>
      <c r="F281" s="42" t="s">
        <v>0</v>
      </c>
    </row>
    <row r="282" spans="1:6">
      <c r="A282" s="39">
        <f>A281</f>
        <v>45692</v>
      </c>
      <c r="B282" s="40" t="s">
        <v>13</v>
      </c>
      <c r="C282" s="40" t="s">
        <v>46</v>
      </c>
      <c r="D282" s="41">
        <v>20000</v>
      </c>
      <c r="E282" s="43" t="str">
        <f>C282</f>
        <v>Traspaso</v>
      </c>
      <c r="F282" s="42" t="s">
        <v>0</v>
      </c>
    </row>
    <row r="283" spans="1:6">
      <c r="A283" s="39">
        <f>A282</f>
        <v>45692</v>
      </c>
      <c r="B283" s="40" t="s">
        <v>25</v>
      </c>
      <c r="C283" s="40" t="s">
        <v>47</v>
      </c>
      <c r="D283" s="41">
        <v>-303.17</v>
      </c>
      <c r="E283" s="43" t="s">
        <v>40</v>
      </c>
      <c r="F283" s="42" t="s">
        <v>0</v>
      </c>
    </row>
    <row r="284" spans="1:6">
      <c r="A284" s="39">
        <f>A283</f>
        <v>45692</v>
      </c>
      <c r="B284" s="40" t="s">
        <v>19</v>
      </c>
      <c r="C284" s="40" t="s">
        <v>36</v>
      </c>
      <c r="D284" s="41">
        <v>-1.4</v>
      </c>
      <c r="E284" s="43" t="s">
        <v>84</v>
      </c>
      <c r="F284" s="42" t="s">
        <v>1</v>
      </c>
    </row>
    <row r="285" spans="1:6">
      <c r="A285" s="39">
        <f>A284</f>
        <v>45692</v>
      </c>
      <c r="B285" s="40" t="s">
        <v>32</v>
      </c>
      <c r="C285" s="40" t="s">
        <v>47</v>
      </c>
      <c r="D285" s="41">
        <v>303.17</v>
      </c>
      <c r="E285" s="43" t="s">
        <v>129</v>
      </c>
      <c r="F285" s="42" t="s">
        <v>1</v>
      </c>
    </row>
    <row r="286" spans="1:6">
      <c r="A286" s="39">
        <v>45693</v>
      </c>
      <c r="B286" s="40" t="s">
        <v>32</v>
      </c>
      <c r="C286" s="40" t="s">
        <v>52</v>
      </c>
      <c r="D286" s="41">
        <v>-74</v>
      </c>
      <c r="E286" s="43" t="s">
        <v>130</v>
      </c>
      <c r="F286" s="42" t="s">
        <v>38</v>
      </c>
    </row>
    <row r="287" spans="1:6">
      <c r="A287" s="39">
        <f>A286</f>
        <v>45693</v>
      </c>
      <c r="B287" s="40" t="s">
        <v>32</v>
      </c>
      <c r="C287" s="40" t="s">
        <v>60</v>
      </c>
      <c r="D287" s="41">
        <v>-21</v>
      </c>
      <c r="E287" s="43" t="s">
        <v>68</v>
      </c>
      <c r="F287" s="42" t="s">
        <v>1</v>
      </c>
    </row>
    <row r="288" spans="1:6">
      <c r="A288" s="39">
        <v>45692</v>
      </c>
      <c r="B288" s="40" t="s">
        <v>26</v>
      </c>
      <c r="C288" s="40" t="s">
        <v>44</v>
      </c>
      <c r="D288" s="41">
        <v>-5</v>
      </c>
      <c r="E288" s="43" t="s">
        <v>131</v>
      </c>
      <c r="F288" s="42" t="s">
        <v>0</v>
      </c>
    </row>
    <row r="289" spans="1:6">
      <c r="A289" s="39">
        <f>A287</f>
        <v>45693</v>
      </c>
      <c r="B289" s="40" t="s">
        <v>16</v>
      </c>
      <c r="C289" s="40" t="s">
        <v>46</v>
      </c>
      <c r="D289" s="41">
        <v>-500</v>
      </c>
      <c r="E289" s="43" t="str">
        <f>C289</f>
        <v>Traspaso</v>
      </c>
      <c r="F289" s="42" t="s">
        <v>0</v>
      </c>
    </row>
    <row r="290" spans="1:6">
      <c r="A290" s="39">
        <f>A289</f>
        <v>45693</v>
      </c>
      <c r="B290" s="40" t="s">
        <v>23</v>
      </c>
      <c r="C290" s="40" t="s">
        <v>46</v>
      </c>
      <c r="D290" s="41">
        <v>500</v>
      </c>
      <c r="E290" s="43" t="str">
        <f>C290</f>
        <v>Traspaso</v>
      </c>
      <c r="F290" s="42" t="s">
        <v>0</v>
      </c>
    </row>
    <row r="291" spans="1:6">
      <c r="A291" s="39">
        <f>A290</f>
        <v>45693</v>
      </c>
      <c r="B291" s="40" t="s">
        <v>25</v>
      </c>
      <c r="C291" s="40" t="s">
        <v>41</v>
      </c>
      <c r="D291" s="41">
        <v>-1.3</v>
      </c>
      <c r="E291" s="43" t="s">
        <v>42</v>
      </c>
      <c r="F291" s="42" t="s">
        <v>0</v>
      </c>
    </row>
    <row r="292" spans="1:6">
      <c r="A292" s="39">
        <f>A291</f>
        <v>45693</v>
      </c>
      <c r="B292" s="40" t="s">
        <v>19</v>
      </c>
      <c r="C292" s="40" t="s">
        <v>36</v>
      </c>
      <c r="D292" s="41">
        <v>-2</v>
      </c>
      <c r="E292" s="43" t="s">
        <v>84</v>
      </c>
      <c r="F292" s="42" t="s">
        <v>1</v>
      </c>
    </row>
    <row r="293" spans="1:6">
      <c r="A293" s="39">
        <v>45694</v>
      </c>
      <c r="B293" s="40" t="s">
        <v>25</v>
      </c>
      <c r="C293" s="40" t="s">
        <v>46</v>
      </c>
      <c r="D293" s="41">
        <v>-270</v>
      </c>
      <c r="E293" s="43" t="s">
        <v>42</v>
      </c>
      <c r="F293" s="42" t="s">
        <v>0</v>
      </c>
    </row>
    <row r="294" spans="1:6">
      <c r="A294" s="39">
        <f>A293</f>
        <v>45694</v>
      </c>
      <c r="B294" s="40" t="s">
        <v>19</v>
      </c>
      <c r="C294" s="40" t="s">
        <v>36</v>
      </c>
      <c r="D294" s="41">
        <v>-3.9</v>
      </c>
      <c r="E294" s="43" t="s">
        <v>84</v>
      </c>
      <c r="F294" s="42" t="s">
        <v>1</v>
      </c>
    </row>
    <row r="295" spans="1:6">
      <c r="A295" s="39">
        <f>A294</f>
        <v>45694</v>
      </c>
      <c r="B295" s="40" t="s">
        <v>132</v>
      </c>
      <c r="C295" s="40" t="s">
        <v>46</v>
      </c>
      <c r="D295" s="41">
        <v>270</v>
      </c>
      <c r="E295" s="43" t="str">
        <f>C295</f>
        <v>Traspaso</v>
      </c>
      <c r="F295" s="42" t="s">
        <v>0</v>
      </c>
    </row>
    <row r="296" spans="1:6">
      <c r="A296" s="39">
        <f>A295</f>
        <v>45694</v>
      </c>
      <c r="B296" s="40" t="s">
        <v>132</v>
      </c>
      <c r="C296" s="40" t="s">
        <v>46</v>
      </c>
      <c r="D296" s="41">
        <v>-70</v>
      </c>
      <c r="E296" s="43" t="str">
        <f>C296</f>
        <v>Traspaso</v>
      </c>
      <c r="F296" s="42" t="s">
        <v>0</v>
      </c>
    </row>
    <row r="297" spans="1:6">
      <c r="A297" s="39">
        <f>A296</f>
        <v>45694</v>
      </c>
      <c r="B297" s="40" t="s">
        <v>10</v>
      </c>
      <c r="C297" s="40" t="s">
        <v>46</v>
      </c>
      <c r="D297" s="41">
        <v>70</v>
      </c>
      <c r="E297" s="43" t="str">
        <f>C297</f>
        <v>Traspaso</v>
      </c>
      <c r="F297" s="42" t="s">
        <v>0</v>
      </c>
    </row>
    <row r="298" spans="1:6">
      <c r="A298" s="39">
        <v>45694</v>
      </c>
      <c r="B298" s="40" t="s">
        <v>24</v>
      </c>
      <c r="C298" s="40" t="s">
        <v>46</v>
      </c>
      <c r="D298" s="41">
        <v>-400</v>
      </c>
      <c r="E298" s="43" t="str">
        <f>C298</f>
        <v>Traspaso</v>
      </c>
      <c r="F298" s="42" t="s">
        <v>0</v>
      </c>
    </row>
    <row r="299" spans="1:6">
      <c r="A299" s="39">
        <f>A298</f>
        <v>45694</v>
      </c>
      <c r="B299" s="40" t="s">
        <v>20</v>
      </c>
      <c r="C299" s="40" t="s">
        <v>46</v>
      </c>
      <c r="D299" s="41">
        <v>400</v>
      </c>
      <c r="E299" s="43" t="str">
        <f>C299</f>
        <v>Traspaso</v>
      </c>
      <c r="F299" s="42" t="s">
        <v>0</v>
      </c>
    </row>
    <row r="300" spans="1:6">
      <c r="A300" s="39">
        <f>A299</f>
        <v>45694</v>
      </c>
      <c r="B300" s="40" t="s">
        <v>20</v>
      </c>
      <c r="C300" s="40" t="s">
        <v>46</v>
      </c>
      <c r="D300" s="41">
        <v>-300</v>
      </c>
      <c r="E300" s="43" t="str">
        <f>C300</f>
        <v>Traspaso</v>
      </c>
      <c r="F300" s="42" t="s">
        <v>0</v>
      </c>
    </row>
    <row r="301" spans="1:6">
      <c r="A301" s="39">
        <f>A300</f>
        <v>45694</v>
      </c>
      <c r="B301" s="40" t="s">
        <v>22</v>
      </c>
      <c r="C301" s="40" t="s">
        <v>46</v>
      </c>
      <c r="D301" s="41">
        <v>300</v>
      </c>
      <c r="E301" s="43" t="str">
        <f>C301</f>
        <v>Traspaso</v>
      </c>
      <c r="F301" s="42" t="s">
        <v>0</v>
      </c>
    </row>
    <row r="302" spans="1:6">
      <c r="A302" s="39">
        <v>45695</v>
      </c>
      <c r="B302" s="40" t="s">
        <v>17</v>
      </c>
      <c r="C302" s="40" t="s">
        <v>36</v>
      </c>
      <c r="D302" s="41">
        <v>-6.67</v>
      </c>
      <c r="E302" s="43" t="s">
        <v>133</v>
      </c>
      <c r="F302" s="42" t="s">
        <v>38</v>
      </c>
    </row>
    <row r="303" spans="1:6">
      <c r="A303" s="39">
        <v>45695</v>
      </c>
      <c r="B303" s="40" t="s">
        <v>25</v>
      </c>
      <c r="C303" s="40" t="s">
        <v>41</v>
      </c>
      <c r="D303" s="41">
        <v>-1.3</v>
      </c>
      <c r="E303" s="43" t="s">
        <v>42</v>
      </c>
      <c r="F303" s="42" t="s">
        <v>0</v>
      </c>
    </row>
    <row r="304" spans="1:6">
      <c r="A304" s="39">
        <f>A303</f>
        <v>45695</v>
      </c>
      <c r="B304" s="40" t="s">
        <v>21</v>
      </c>
      <c r="C304" s="40" t="s">
        <v>46</v>
      </c>
      <c r="D304" s="41">
        <v>-16000</v>
      </c>
      <c r="E304" s="43" t="str">
        <f>C304</f>
        <v>Traspaso</v>
      </c>
      <c r="F304" s="42" t="s">
        <v>0</v>
      </c>
    </row>
    <row r="305" spans="1:6">
      <c r="A305" s="39">
        <f>A304</f>
        <v>45695</v>
      </c>
      <c r="B305" s="40" t="s">
        <v>22</v>
      </c>
      <c r="C305" s="40" t="s">
        <v>46</v>
      </c>
      <c r="D305" s="41">
        <v>16000</v>
      </c>
      <c r="E305" s="43" t="str">
        <f>C305</f>
        <v>Traspaso</v>
      </c>
      <c r="F305" s="42" t="s">
        <v>0</v>
      </c>
    </row>
    <row r="306" spans="1:6">
      <c r="A306" s="39">
        <f>A305</f>
        <v>45695</v>
      </c>
      <c r="B306" s="40" t="s">
        <v>22</v>
      </c>
      <c r="C306" s="40" t="s">
        <v>44</v>
      </c>
      <c r="D306" s="41">
        <v>-24</v>
      </c>
      <c r="E306" s="43" t="s">
        <v>134</v>
      </c>
      <c r="F306" s="42" t="s">
        <v>0</v>
      </c>
    </row>
    <row r="307" spans="1:6">
      <c r="A307" s="39">
        <f>A306</f>
        <v>45695</v>
      </c>
      <c r="B307" s="40" t="s">
        <v>22</v>
      </c>
      <c r="C307" s="40" t="s">
        <v>46</v>
      </c>
      <c r="D307" s="41">
        <v>-15000</v>
      </c>
      <c r="E307" s="43" t="str">
        <f>C307</f>
        <v>Traspaso</v>
      </c>
      <c r="F307" s="42" t="s">
        <v>0</v>
      </c>
    </row>
    <row r="308" spans="1:6">
      <c r="A308" s="39">
        <f>A307</f>
        <v>45695</v>
      </c>
      <c r="B308" s="40" t="s">
        <v>132</v>
      </c>
      <c r="C308" s="40" t="s">
        <v>46</v>
      </c>
      <c r="D308" s="41">
        <v>15000</v>
      </c>
      <c r="E308" s="43" t="str">
        <f>C308</f>
        <v>Traspaso</v>
      </c>
      <c r="F308" s="42" t="s">
        <v>0</v>
      </c>
    </row>
    <row r="309" spans="1:6">
      <c r="A309" s="39">
        <f>A308</f>
        <v>45695</v>
      </c>
      <c r="B309" s="40" t="s">
        <v>20</v>
      </c>
      <c r="C309" s="40" t="s">
        <v>46</v>
      </c>
      <c r="D309" s="41">
        <v>-50</v>
      </c>
      <c r="E309" s="43" t="str">
        <f>C309</f>
        <v>Traspaso</v>
      </c>
      <c r="F309" s="42" t="s">
        <v>0</v>
      </c>
    </row>
    <row r="310" spans="1:6">
      <c r="A310" s="39">
        <f>A309</f>
        <v>45695</v>
      </c>
      <c r="B310" s="40" t="s">
        <v>22</v>
      </c>
      <c r="C310" s="40" t="s">
        <v>46</v>
      </c>
      <c r="D310" s="41">
        <v>50</v>
      </c>
      <c r="E310" s="43" t="str">
        <f>C310</f>
        <v>Traspaso</v>
      </c>
      <c r="F310" s="42" t="s">
        <v>0</v>
      </c>
    </row>
    <row r="311" spans="1:6">
      <c r="A311" s="39">
        <f>A310</f>
        <v>45695</v>
      </c>
      <c r="B311" s="40" t="s">
        <v>20</v>
      </c>
      <c r="C311" s="40" t="s">
        <v>58</v>
      </c>
      <c r="D311" s="41">
        <v>-14.7</v>
      </c>
      <c r="E311" s="43" t="s">
        <v>135</v>
      </c>
      <c r="F311" s="42" t="s">
        <v>0</v>
      </c>
    </row>
    <row r="312" spans="1:6">
      <c r="A312" s="39">
        <f>A311</f>
        <v>45695</v>
      </c>
      <c r="B312" s="40" t="s">
        <v>25</v>
      </c>
      <c r="C312" s="40" t="s">
        <v>54</v>
      </c>
      <c r="D312" s="41">
        <v>-2.86</v>
      </c>
      <c r="E312" s="43" t="s">
        <v>136</v>
      </c>
      <c r="F312" s="42" t="s">
        <v>0</v>
      </c>
    </row>
    <row r="313" spans="1:6">
      <c r="A313" s="39">
        <f>A312</f>
        <v>45695</v>
      </c>
      <c r="B313" s="40" t="s">
        <v>19</v>
      </c>
      <c r="C313" s="40" t="s">
        <v>36</v>
      </c>
      <c r="D313" s="41">
        <v>-1.6</v>
      </c>
      <c r="E313" s="43" t="s">
        <v>84</v>
      </c>
      <c r="F313" s="42" t="s">
        <v>1</v>
      </c>
    </row>
    <row r="314" spans="1:6">
      <c r="A314" s="39">
        <f>A313</f>
        <v>45695</v>
      </c>
      <c r="B314" s="40" t="s">
        <v>25</v>
      </c>
      <c r="C314" s="40" t="s">
        <v>52</v>
      </c>
      <c r="D314" s="41">
        <v>-8</v>
      </c>
      <c r="E314" s="43" t="s">
        <v>79</v>
      </c>
      <c r="F314" s="42" t="s">
        <v>0</v>
      </c>
    </row>
    <row r="315" spans="1:6">
      <c r="A315" s="39">
        <v>45696</v>
      </c>
      <c r="B315" s="40" t="s">
        <v>16</v>
      </c>
      <c r="C315" s="40" t="s">
        <v>46</v>
      </c>
      <c r="D315" s="41">
        <v>-500</v>
      </c>
      <c r="E315" s="43" t="str">
        <f>C315</f>
        <v>Traspaso</v>
      </c>
      <c r="F315" s="42" t="s">
        <v>0</v>
      </c>
    </row>
    <row r="316" spans="1:6">
      <c r="A316" s="39">
        <f>A315</f>
        <v>45696</v>
      </c>
      <c r="B316" s="40" t="s">
        <v>26</v>
      </c>
      <c r="C316" s="40" t="s">
        <v>46</v>
      </c>
      <c r="D316" s="41">
        <v>500</v>
      </c>
      <c r="E316" s="43" t="str">
        <f>C316</f>
        <v>Traspaso</v>
      </c>
      <c r="F316" s="42" t="s">
        <v>0</v>
      </c>
    </row>
    <row r="317" spans="1:6">
      <c r="A317" s="39">
        <f>A316</f>
        <v>45696</v>
      </c>
      <c r="B317" s="40" t="s">
        <v>25</v>
      </c>
      <c r="C317" s="40" t="s">
        <v>36</v>
      </c>
      <c r="D317" s="41">
        <v>-20.05</v>
      </c>
      <c r="E317" s="43" t="s">
        <v>137</v>
      </c>
      <c r="F317" s="42" t="s">
        <v>38</v>
      </c>
    </row>
    <row r="318" spans="1:6">
      <c r="A318" s="39">
        <v>45697</v>
      </c>
      <c r="B318" s="40" t="s">
        <v>24</v>
      </c>
      <c r="C318" s="40" t="s">
        <v>46</v>
      </c>
      <c r="D318" s="41">
        <v>-20</v>
      </c>
      <c r="E318" s="43" t="str">
        <f>C318</f>
        <v>Traspaso</v>
      </c>
      <c r="F318" s="42" t="s">
        <v>0</v>
      </c>
    </row>
    <row r="319" spans="1:6">
      <c r="A319" s="39">
        <f>A318</f>
        <v>45697</v>
      </c>
      <c r="B319" s="40" t="s">
        <v>125</v>
      </c>
      <c r="C319" s="40" t="s">
        <v>46</v>
      </c>
      <c r="D319" s="41">
        <v>20</v>
      </c>
      <c r="E319" s="43" t="str">
        <f>C319</f>
        <v>Traspaso</v>
      </c>
      <c r="F319" s="42" t="s">
        <v>0</v>
      </c>
    </row>
    <row r="320" spans="1:6">
      <c r="A320" s="39">
        <f>A319</f>
        <v>45697</v>
      </c>
      <c r="B320" s="40" t="s">
        <v>24</v>
      </c>
      <c r="C320" s="40" t="s">
        <v>58</v>
      </c>
      <c r="D320" s="41">
        <v>-11.2</v>
      </c>
      <c r="E320" s="43" t="s">
        <v>138</v>
      </c>
      <c r="F320" s="42" t="s">
        <v>38</v>
      </c>
    </row>
    <row r="321" spans="1:6">
      <c r="A321" s="39">
        <f>A320</f>
        <v>45697</v>
      </c>
      <c r="B321" s="40" t="s">
        <v>25</v>
      </c>
      <c r="C321" s="40" t="s">
        <v>41</v>
      </c>
      <c r="D321" s="41">
        <v>-33.049999999999997</v>
      </c>
      <c r="E321" s="43" t="s">
        <v>139</v>
      </c>
      <c r="F321" s="42" t="s">
        <v>38</v>
      </c>
    </row>
    <row r="322" spans="1:6">
      <c r="A322" s="39">
        <f>A321</f>
        <v>45697</v>
      </c>
      <c r="B322" s="40" t="s">
        <v>25</v>
      </c>
      <c r="C322" s="40" t="s">
        <v>41</v>
      </c>
      <c r="D322" s="41">
        <v>-37</v>
      </c>
      <c r="E322" s="43" t="s">
        <v>140</v>
      </c>
      <c r="F322" s="42" t="s">
        <v>38</v>
      </c>
    </row>
    <row r="323" spans="1:6">
      <c r="A323" s="39">
        <f>A322</f>
        <v>45697</v>
      </c>
      <c r="B323" s="40" t="s">
        <v>25</v>
      </c>
      <c r="C323" s="40" t="s">
        <v>41</v>
      </c>
      <c r="D323" s="41">
        <v>-12.5</v>
      </c>
      <c r="E323" s="43" t="s">
        <v>141</v>
      </c>
      <c r="F323" s="42" t="s">
        <v>38</v>
      </c>
    </row>
    <row r="324" spans="1:6">
      <c r="A324" s="39">
        <v>45697</v>
      </c>
      <c r="B324" s="40" t="s">
        <v>19</v>
      </c>
      <c r="C324" s="40" t="s">
        <v>36</v>
      </c>
      <c r="D324" s="41">
        <v>-1.5</v>
      </c>
      <c r="E324" s="43" t="s">
        <v>70</v>
      </c>
      <c r="F324" s="42" t="s">
        <v>1</v>
      </c>
    </row>
    <row r="325" spans="1:6">
      <c r="A325" s="39">
        <v>45698</v>
      </c>
      <c r="B325" s="40" t="s">
        <v>19</v>
      </c>
      <c r="C325" s="40" t="s">
        <v>36</v>
      </c>
      <c r="D325" s="41">
        <v>-1</v>
      </c>
      <c r="E325" s="43" t="s">
        <v>70</v>
      </c>
      <c r="F325" s="42" t="s">
        <v>38</v>
      </c>
    </row>
    <row r="326" spans="1:6">
      <c r="A326" s="39">
        <v>45698</v>
      </c>
      <c r="B326" s="40" t="s">
        <v>17</v>
      </c>
      <c r="C326" s="40" t="s">
        <v>36</v>
      </c>
      <c r="D326" s="41">
        <v>-9.5500000000000007</v>
      </c>
      <c r="E326" s="43" t="s">
        <v>142</v>
      </c>
      <c r="F326" s="42" t="s">
        <v>38</v>
      </c>
    </row>
    <row r="327" spans="1:6">
      <c r="A327" s="39">
        <v>45698</v>
      </c>
      <c r="B327" s="40" t="s">
        <v>32</v>
      </c>
      <c r="C327" s="40" t="s">
        <v>46</v>
      </c>
      <c r="D327" s="41">
        <v>-40</v>
      </c>
      <c r="E327" s="43"/>
      <c r="F327" s="42" t="s">
        <v>1</v>
      </c>
    </row>
    <row r="328" spans="1:6">
      <c r="A328" s="39">
        <v>45698</v>
      </c>
      <c r="B328" s="40" t="s">
        <v>19</v>
      </c>
      <c r="C328" s="40" t="s">
        <v>46</v>
      </c>
      <c r="D328" s="41">
        <v>40</v>
      </c>
      <c r="E328" s="43"/>
      <c r="F328" s="42" t="s">
        <v>1</v>
      </c>
    </row>
    <row r="329" spans="1:6">
      <c r="A329" s="39">
        <v>45698</v>
      </c>
      <c r="B329" s="40" t="s">
        <v>17</v>
      </c>
      <c r="C329" s="40" t="s">
        <v>36</v>
      </c>
      <c r="D329" s="41">
        <v>-0.56000000000000005</v>
      </c>
      <c r="E329" s="43" t="s">
        <v>143</v>
      </c>
      <c r="F329" s="42" t="s">
        <v>38</v>
      </c>
    </row>
    <row r="330" spans="1:6">
      <c r="A330" s="39">
        <v>45698</v>
      </c>
      <c r="B330" s="40" t="s">
        <v>17</v>
      </c>
      <c r="C330" s="40" t="s">
        <v>41</v>
      </c>
      <c r="D330" s="41">
        <v>-24.78</v>
      </c>
      <c r="E330" s="43" t="s">
        <v>144</v>
      </c>
      <c r="F330" s="42" t="s">
        <v>38</v>
      </c>
    </row>
    <row r="331" spans="1:6">
      <c r="A331" s="39">
        <v>45698</v>
      </c>
      <c r="B331" s="40" t="s">
        <v>17</v>
      </c>
      <c r="C331" s="40" t="s">
        <v>41</v>
      </c>
      <c r="D331" s="41">
        <v>-23.4</v>
      </c>
      <c r="E331" s="43" t="s">
        <v>145</v>
      </c>
      <c r="F331" s="42" t="s">
        <v>38</v>
      </c>
    </row>
    <row r="332" spans="1:6">
      <c r="A332" s="39">
        <v>45698</v>
      </c>
      <c r="B332" s="40" t="s">
        <v>17</v>
      </c>
      <c r="C332" s="40" t="s">
        <v>44</v>
      </c>
      <c r="D332" s="41">
        <v>-5.5</v>
      </c>
      <c r="E332" s="43" t="s">
        <v>146</v>
      </c>
      <c r="F332" s="42" t="s">
        <v>1</v>
      </c>
    </row>
    <row r="333" spans="1:6">
      <c r="A333" s="39">
        <v>45698</v>
      </c>
      <c r="B333" s="40" t="s">
        <v>17</v>
      </c>
      <c r="C333" s="40" t="s">
        <v>41</v>
      </c>
      <c r="D333" s="41">
        <v>-5.8</v>
      </c>
      <c r="E333" s="43" t="s">
        <v>147</v>
      </c>
      <c r="F333" s="42" t="s">
        <v>38</v>
      </c>
    </row>
    <row r="334" spans="1:6">
      <c r="A334" s="39">
        <v>45698</v>
      </c>
      <c r="B334" s="40" t="s">
        <v>17</v>
      </c>
      <c r="C334" s="40" t="s">
        <v>41</v>
      </c>
      <c r="D334" s="41">
        <v>-9.8000000000000007</v>
      </c>
      <c r="E334" s="43" t="s">
        <v>148</v>
      </c>
      <c r="F334" s="42" t="s">
        <v>38</v>
      </c>
    </row>
    <row r="335" spans="1:6">
      <c r="A335" s="39">
        <v>45698</v>
      </c>
      <c r="B335" s="40" t="s">
        <v>32</v>
      </c>
      <c r="C335" s="40" t="s">
        <v>149</v>
      </c>
      <c r="D335" s="41">
        <v>-299.02999999999997</v>
      </c>
      <c r="E335" s="43" t="s">
        <v>150</v>
      </c>
      <c r="F335" s="42" t="s">
        <v>38</v>
      </c>
    </row>
    <row r="336" spans="1:6">
      <c r="A336" s="39">
        <v>45698</v>
      </c>
      <c r="B336" s="40" t="s">
        <v>132</v>
      </c>
      <c r="C336" s="40" t="s">
        <v>46</v>
      </c>
      <c r="D336" s="41">
        <v>-65.02</v>
      </c>
      <c r="E336" s="43" t="str">
        <f>C336</f>
        <v>Traspaso</v>
      </c>
      <c r="F336" s="42" t="s">
        <v>0</v>
      </c>
    </row>
    <row r="337" spans="1:6">
      <c r="A337" s="39">
        <f>A336</f>
        <v>45698</v>
      </c>
      <c r="B337" s="40" t="s">
        <v>151</v>
      </c>
      <c r="C337" s="40" t="s">
        <v>46</v>
      </c>
      <c r="D337" s="41">
        <v>65.02</v>
      </c>
      <c r="E337" s="43" t="str">
        <f>C337</f>
        <v>Traspaso</v>
      </c>
      <c r="F337" s="42" t="s">
        <v>0</v>
      </c>
    </row>
    <row r="338" spans="1:6">
      <c r="A338" s="39">
        <f>A337</f>
        <v>45698</v>
      </c>
      <c r="B338" s="40" t="s">
        <v>132</v>
      </c>
      <c r="C338" s="40" t="s">
        <v>46</v>
      </c>
      <c r="D338" s="41">
        <v>-111.59</v>
      </c>
      <c r="E338" s="43" t="str">
        <f>C338</f>
        <v>Traspaso</v>
      </c>
      <c r="F338" s="42" t="s">
        <v>0</v>
      </c>
    </row>
    <row r="339" spans="1:6">
      <c r="A339" s="39">
        <f>A338</f>
        <v>45698</v>
      </c>
      <c r="B339" s="40" t="s">
        <v>151</v>
      </c>
      <c r="C339" s="40" t="s">
        <v>46</v>
      </c>
      <c r="D339" s="41">
        <v>111.59</v>
      </c>
      <c r="E339" s="43" t="str">
        <f>C339</f>
        <v>Traspaso</v>
      </c>
      <c r="F339" s="42" t="s">
        <v>0</v>
      </c>
    </row>
    <row r="340" spans="1:6">
      <c r="A340" s="39">
        <f>A339</f>
        <v>45698</v>
      </c>
      <c r="B340" s="40" t="s">
        <v>132</v>
      </c>
      <c r="C340" s="40" t="s">
        <v>46</v>
      </c>
      <c r="D340" s="41">
        <v>-107.67</v>
      </c>
      <c r="E340" s="43" t="str">
        <f>C340</f>
        <v>Traspaso</v>
      </c>
      <c r="F340" s="42" t="s">
        <v>0</v>
      </c>
    </row>
    <row r="341" spans="1:6">
      <c r="A341" s="39">
        <f>A340</f>
        <v>45698</v>
      </c>
      <c r="B341" s="40" t="s">
        <v>151</v>
      </c>
      <c r="C341" s="40" t="s">
        <v>46</v>
      </c>
      <c r="D341" s="41">
        <v>107.67</v>
      </c>
      <c r="E341" s="43" t="str">
        <f>C341</f>
        <v>Traspaso</v>
      </c>
      <c r="F341" s="42" t="s">
        <v>0</v>
      </c>
    </row>
    <row r="342" spans="1:6">
      <c r="A342" s="39">
        <f>A341</f>
        <v>45698</v>
      </c>
      <c r="B342" s="40" t="s">
        <v>132</v>
      </c>
      <c r="C342" s="40" t="s">
        <v>46</v>
      </c>
      <c r="D342" s="41">
        <v>-108.3</v>
      </c>
      <c r="E342" s="43" t="str">
        <f>C342</f>
        <v>Traspaso</v>
      </c>
      <c r="F342" s="42" t="s">
        <v>0</v>
      </c>
    </row>
    <row r="343" spans="1:6">
      <c r="A343" s="39">
        <f>A342</f>
        <v>45698</v>
      </c>
      <c r="B343" s="40" t="s">
        <v>151</v>
      </c>
      <c r="C343" s="40" t="s">
        <v>46</v>
      </c>
      <c r="D343" s="41">
        <v>108.3</v>
      </c>
      <c r="E343" s="43" t="str">
        <f>C343</f>
        <v>Traspaso</v>
      </c>
      <c r="F343" s="42" t="s">
        <v>0</v>
      </c>
    </row>
    <row r="344" spans="1:6">
      <c r="A344" s="39">
        <f>A343</f>
        <v>45698</v>
      </c>
      <c r="B344" s="40" t="s">
        <v>132</v>
      </c>
      <c r="C344" s="40" t="s">
        <v>46</v>
      </c>
      <c r="D344" s="41">
        <v>-139.21</v>
      </c>
      <c r="E344" s="43" t="str">
        <f>C344</f>
        <v>Traspaso</v>
      </c>
      <c r="F344" s="42" t="s">
        <v>0</v>
      </c>
    </row>
    <row r="345" spans="1:6">
      <c r="A345" s="39">
        <f>A344</f>
        <v>45698</v>
      </c>
      <c r="B345" s="40" t="s">
        <v>151</v>
      </c>
      <c r="C345" s="40" t="s">
        <v>46</v>
      </c>
      <c r="D345" s="41">
        <v>139.21</v>
      </c>
      <c r="E345" s="43" t="str">
        <f>C345</f>
        <v>Traspaso</v>
      </c>
      <c r="F345" s="42" t="s">
        <v>0</v>
      </c>
    </row>
    <row r="346" spans="1:6">
      <c r="A346" s="39">
        <f>A345</f>
        <v>45698</v>
      </c>
      <c r="B346" s="40" t="s">
        <v>24</v>
      </c>
      <c r="C346" s="40" t="s">
        <v>46</v>
      </c>
      <c r="D346" s="41">
        <v>-10</v>
      </c>
      <c r="E346" s="43" t="str">
        <f>C346</f>
        <v>Traspaso</v>
      </c>
      <c r="F346" s="42" t="s">
        <v>0</v>
      </c>
    </row>
    <row r="347" spans="1:6">
      <c r="A347" s="39">
        <f>A346</f>
        <v>45698</v>
      </c>
      <c r="B347" s="40" t="s">
        <v>125</v>
      </c>
      <c r="C347" s="40" t="s">
        <v>46</v>
      </c>
      <c r="D347" s="41">
        <v>10</v>
      </c>
      <c r="E347" s="43" t="str">
        <f>C347</f>
        <v>Traspaso</v>
      </c>
      <c r="F347" s="42" t="s">
        <v>0</v>
      </c>
    </row>
    <row r="348" spans="1:6">
      <c r="A348" s="39">
        <f>A347</f>
        <v>45698</v>
      </c>
      <c r="B348" s="40" t="s">
        <v>18</v>
      </c>
      <c r="C348" s="40" t="s">
        <v>41</v>
      </c>
      <c r="D348" s="41">
        <v>-22.9</v>
      </c>
      <c r="E348" s="43" t="s">
        <v>152</v>
      </c>
      <c r="F348" s="42" t="s">
        <v>38</v>
      </c>
    </row>
    <row r="349" spans="1:6">
      <c r="A349" s="39">
        <f>A348</f>
        <v>45698</v>
      </c>
      <c r="B349" s="40" t="s">
        <v>24</v>
      </c>
      <c r="C349" s="40" t="s">
        <v>46</v>
      </c>
      <c r="D349" s="41">
        <v>-396.04</v>
      </c>
      <c r="E349" s="43" t="str">
        <f>C349</f>
        <v>Traspaso</v>
      </c>
      <c r="F349" s="42" t="s">
        <v>0</v>
      </c>
    </row>
    <row r="350" spans="1:6">
      <c r="A350" s="39">
        <f>A349</f>
        <v>45698</v>
      </c>
      <c r="B350" s="40" t="s">
        <v>132</v>
      </c>
      <c r="C350" s="40" t="s">
        <v>46</v>
      </c>
      <c r="D350" s="41">
        <v>396.04</v>
      </c>
      <c r="E350" s="43" t="str">
        <f>C350</f>
        <v>Traspaso</v>
      </c>
      <c r="F350" s="42" t="s">
        <v>0</v>
      </c>
    </row>
    <row r="351" spans="1:6">
      <c r="A351" s="39">
        <f>A350</f>
        <v>45698</v>
      </c>
      <c r="B351" s="40" t="s">
        <v>25</v>
      </c>
      <c r="C351" s="40" t="s">
        <v>41</v>
      </c>
      <c r="D351" s="41">
        <v>-9.1999999999999993</v>
      </c>
      <c r="E351" s="43" t="s">
        <v>141</v>
      </c>
      <c r="F351" s="42" t="s">
        <v>38</v>
      </c>
    </row>
    <row r="352" spans="1:6">
      <c r="A352" s="39">
        <f>A351</f>
        <v>45698</v>
      </c>
      <c r="B352" s="40" t="s">
        <v>25</v>
      </c>
      <c r="C352" s="40" t="s">
        <v>46</v>
      </c>
      <c r="D352" s="41">
        <v>-50</v>
      </c>
      <c r="E352" s="43" t="str">
        <f>C352</f>
        <v>Traspaso</v>
      </c>
      <c r="F352" s="42" t="s">
        <v>0</v>
      </c>
    </row>
    <row r="353" spans="1:6">
      <c r="A353" s="39">
        <f>A352</f>
        <v>45698</v>
      </c>
      <c r="B353" s="40" t="s">
        <v>18</v>
      </c>
      <c r="C353" s="40" t="s">
        <v>46</v>
      </c>
      <c r="D353" s="41">
        <v>50</v>
      </c>
      <c r="E353" s="43" t="str">
        <f>C353</f>
        <v>Traspaso</v>
      </c>
      <c r="F353" s="42" t="s">
        <v>0</v>
      </c>
    </row>
    <row r="354" spans="1:6">
      <c r="A354" s="39">
        <v>45699</v>
      </c>
      <c r="B354" s="40" t="s">
        <v>17</v>
      </c>
      <c r="C354" s="40" t="s">
        <v>41</v>
      </c>
      <c r="D354" s="41">
        <v>-6.4</v>
      </c>
      <c r="E354" s="43" t="s">
        <v>153</v>
      </c>
      <c r="F354" s="42" t="s">
        <v>38</v>
      </c>
    </row>
    <row r="355" spans="1:6">
      <c r="A355" s="39">
        <v>45699</v>
      </c>
      <c r="B355" s="40" t="s">
        <v>17</v>
      </c>
      <c r="C355" s="40" t="s">
        <v>41</v>
      </c>
      <c r="D355" s="41">
        <v>-48</v>
      </c>
      <c r="E355" s="43" t="s">
        <v>154</v>
      </c>
      <c r="F355" s="42" t="s">
        <v>38</v>
      </c>
    </row>
    <row r="356" spans="1:6">
      <c r="A356" s="39">
        <v>45699</v>
      </c>
      <c r="B356" s="40" t="s">
        <v>19</v>
      </c>
      <c r="C356" s="40" t="s">
        <v>41</v>
      </c>
      <c r="D356" s="41">
        <v>-5</v>
      </c>
      <c r="E356" s="43" t="s">
        <v>155</v>
      </c>
      <c r="F356" s="42" t="s">
        <v>38</v>
      </c>
    </row>
    <row r="357" spans="1:6">
      <c r="A357" s="39">
        <v>45699</v>
      </c>
      <c r="B357" s="40" t="s">
        <v>19</v>
      </c>
      <c r="C357" s="40" t="s">
        <v>41</v>
      </c>
      <c r="D357" s="41">
        <v>-0.9</v>
      </c>
      <c r="E357" s="43" t="s">
        <v>156</v>
      </c>
      <c r="F357" s="42" t="s">
        <v>38</v>
      </c>
    </row>
    <row r="358" spans="1:6">
      <c r="A358" s="39">
        <v>45699</v>
      </c>
      <c r="B358" s="40" t="s">
        <v>17</v>
      </c>
      <c r="C358" s="40" t="s">
        <v>41</v>
      </c>
      <c r="D358" s="41">
        <v>-8.4</v>
      </c>
      <c r="E358" s="43" t="s">
        <v>157</v>
      </c>
      <c r="F358" s="42" t="s">
        <v>38</v>
      </c>
    </row>
    <row r="359" spans="1:6">
      <c r="A359" s="39">
        <v>45699</v>
      </c>
      <c r="B359" s="40" t="s">
        <v>17</v>
      </c>
      <c r="C359" s="40" t="s">
        <v>41</v>
      </c>
      <c r="D359" s="41">
        <v>-15.4</v>
      </c>
      <c r="E359" s="43" t="s">
        <v>157</v>
      </c>
      <c r="F359" s="42" t="s">
        <v>38</v>
      </c>
    </row>
    <row r="360" spans="1:6">
      <c r="A360" s="39">
        <v>45699</v>
      </c>
      <c r="B360" s="40" t="s">
        <v>132</v>
      </c>
      <c r="C360" s="40" t="s">
        <v>34</v>
      </c>
      <c r="D360" s="41">
        <v>16.2</v>
      </c>
      <c r="E360" s="43" t="s">
        <v>158</v>
      </c>
      <c r="F360" s="42" t="s">
        <v>0</v>
      </c>
    </row>
    <row r="361" spans="1:6">
      <c r="A361" s="39">
        <f>A360</f>
        <v>45699</v>
      </c>
      <c r="B361" s="40" t="s">
        <v>25</v>
      </c>
      <c r="C361" s="40" t="s">
        <v>41</v>
      </c>
      <c r="D361" s="41">
        <v>-9</v>
      </c>
      <c r="E361" s="43" t="s">
        <v>159</v>
      </c>
      <c r="F361" s="42" t="s">
        <v>38</v>
      </c>
    </row>
    <row r="362" spans="1:6">
      <c r="A362" s="39">
        <f>A361</f>
        <v>45699</v>
      </c>
      <c r="B362" s="40" t="s">
        <v>24</v>
      </c>
      <c r="C362" s="40" t="s">
        <v>46</v>
      </c>
      <c r="D362" s="41">
        <v>-200</v>
      </c>
      <c r="E362" s="43" t="str">
        <f>C362</f>
        <v>Traspaso</v>
      </c>
      <c r="F362" s="42" t="s">
        <v>0</v>
      </c>
    </row>
    <row r="363" spans="1:6">
      <c r="A363" s="39">
        <f>A362</f>
        <v>45699</v>
      </c>
      <c r="B363" s="40" t="s">
        <v>132</v>
      </c>
      <c r="C363" s="40" t="s">
        <v>46</v>
      </c>
      <c r="D363" s="41">
        <v>200</v>
      </c>
      <c r="E363" s="43" t="str">
        <f>C363</f>
        <v>Traspaso</v>
      </c>
      <c r="F363" s="42" t="s">
        <v>0</v>
      </c>
    </row>
    <row r="364" spans="1:6">
      <c r="A364" s="39">
        <f>A363</f>
        <v>45699</v>
      </c>
      <c r="B364" s="40" t="s">
        <v>132</v>
      </c>
      <c r="C364" s="40" t="s">
        <v>46</v>
      </c>
      <c r="D364" s="41">
        <v>-280.45</v>
      </c>
      <c r="E364" s="43" t="str">
        <f>C364</f>
        <v>Traspaso</v>
      </c>
      <c r="F364" s="42" t="s">
        <v>0</v>
      </c>
    </row>
    <row r="365" spans="1:6">
      <c r="A365" s="39">
        <f>A364</f>
        <v>45699</v>
      </c>
      <c r="B365" s="40" t="s">
        <v>151</v>
      </c>
      <c r="C365" s="40" t="s">
        <v>46</v>
      </c>
      <c r="D365" s="41">
        <v>280.45</v>
      </c>
      <c r="E365" s="43" t="str">
        <f>C365</f>
        <v>Traspaso</v>
      </c>
      <c r="F365" s="42" t="s">
        <v>0</v>
      </c>
    </row>
    <row r="366" spans="1:6">
      <c r="A366" s="39">
        <f>A365</f>
        <v>45699</v>
      </c>
      <c r="B366" s="40" t="s">
        <v>18</v>
      </c>
      <c r="C366" s="40" t="s">
        <v>41</v>
      </c>
      <c r="D366" s="41">
        <v>-2.1</v>
      </c>
      <c r="E366" s="43" t="s">
        <v>160</v>
      </c>
      <c r="F366" s="42" t="s">
        <v>38</v>
      </c>
    </row>
    <row r="367" spans="1:6">
      <c r="A367" s="39">
        <f>A366</f>
        <v>45699</v>
      </c>
      <c r="B367" s="40" t="s">
        <v>23</v>
      </c>
      <c r="C367" s="40" t="s">
        <v>46</v>
      </c>
      <c r="D367" s="41">
        <v>-1500</v>
      </c>
      <c r="E367" s="43" t="str">
        <f>C367</f>
        <v>Traspaso</v>
      </c>
      <c r="F367" s="42" t="s">
        <v>0</v>
      </c>
    </row>
    <row r="368" spans="1:6">
      <c r="A368" s="39">
        <f>A367</f>
        <v>45699</v>
      </c>
      <c r="B368" s="40" t="s">
        <v>125</v>
      </c>
      <c r="C368" s="40" t="s">
        <v>46</v>
      </c>
      <c r="D368" s="41">
        <v>1500</v>
      </c>
      <c r="E368" s="43" t="str">
        <f>C368</f>
        <v>Traspaso</v>
      </c>
      <c r="F368" s="42" t="s">
        <v>0</v>
      </c>
    </row>
    <row r="369" spans="1:6">
      <c r="A369" s="39">
        <v>45700</v>
      </c>
      <c r="B369" s="40" t="s">
        <v>32</v>
      </c>
      <c r="C369" s="40" t="s">
        <v>81</v>
      </c>
      <c r="D369" s="41">
        <v>-35.1</v>
      </c>
      <c r="E369" s="43" t="s">
        <v>82</v>
      </c>
      <c r="F369" s="42" t="s">
        <v>38</v>
      </c>
    </row>
    <row r="370" spans="1:6">
      <c r="A370" s="39">
        <v>45700</v>
      </c>
      <c r="B370" s="40" t="s">
        <v>17</v>
      </c>
      <c r="C370" s="40" t="s">
        <v>41</v>
      </c>
      <c r="D370" s="41">
        <v>-6.6</v>
      </c>
      <c r="E370" s="43" t="s">
        <v>161</v>
      </c>
      <c r="F370" s="42" t="s">
        <v>38</v>
      </c>
    </row>
    <row r="371" spans="1:6">
      <c r="A371" s="39">
        <v>45700</v>
      </c>
      <c r="B371" s="40" t="s">
        <v>17</v>
      </c>
      <c r="C371" s="40" t="s">
        <v>41</v>
      </c>
      <c r="D371" s="41">
        <v>-1.8</v>
      </c>
      <c r="E371" s="43" t="s">
        <v>162</v>
      </c>
      <c r="F371" s="42" t="s">
        <v>38</v>
      </c>
    </row>
    <row r="372" spans="1:6">
      <c r="A372" s="39">
        <v>45700</v>
      </c>
      <c r="B372" s="40" t="s">
        <v>17</v>
      </c>
      <c r="C372" s="40" t="s">
        <v>41</v>
      </c>
      <c r="D372" s="41">
        <v>-19.36</v>
      </c>
      <c r="E372" s="43" t="s">
        <v>163</v>
      </c>
      <c r="F372" s="42" t="s">
        <v>38</v>
      </c>
    </row>
    <row r="373" spans="1:6">
      <c r="A373" s="39">
        <v>45700</v>
      </c>
      <c r="B373" s="40" t="s">
        <v>17</v>
      </c>
      <c r="C373" s="40" t="s">
        <v>41</v>
      </c>
      <c r="D373" s="41">
        <v>-35</v>
      </c>
      <c r="E373" s="43" t="s">
        <v>164</v>
      </c>
      <c r="F373" s="42" t="s">
        <v>38</v>
      </c>
    </row>
    <row r="374" spans="1:6">
      <c r="A374" s="39">
        <v>45700</v>
      </c>
      <c r="B374" s="40" t="s">
        <v>17</v>
      </c>
      <c r="C374" s="40" t="s">
        <v>41</v>
      </c>
      <c r="D374" s="41">
        <v>-32.4</v>
      </c>
      <c r="E374" s="43" t="s">
        <v>165</v>
      </c>
      <c r="F374" s="42" t="s">
        <v>38</v>
      </c>
    </row>
    <row r="375" spans="1:6">
      <c r="A375" s="39">
        <v>45700</v>
      </c>
      <c r="B375" s="40" t="s">
        <v>17</v>
      </c>
      <c r="C375" s="40" t="s">
        <v>41</v>
      </c>
      <c r="D375" s="41">
        <v>-7.8</v>
      </c>
      <c r="E375" s="43" t="s">
        <v>153</v>
      </c>
      <c r="F375" s="42" t="s">
        <v>38</v>
      </c>
    </row>
    <row r="376" spans="1:6">
      <c r="A376" s="39">
        <v>45700</v>
      </c>
      <c r="B376" s="40" t="s">
        <v>25</v>
      </c>
      <c r="C376" s="40" t="s">
        <v>166</v>
      </c>
      <c r="D376" s="41">
        <v>-21.76</v>
      </c>
      <c r="E376" s="43" t="str">
        <f>C376</f>
        <v>Gas</v>
      </c>
      <c r="F376" s="42" t="s">
        <v>38</v>
      </c>
    </row>
    <row r="377" spans="1:6">
      <c r="A377" s="39">
        <f>A376</f>
        <v>45700</v>
      </c>
      <c r="B377" s="40" t="s">
        <v>88</v>
      </c>
      <c r="C377" s="40" t="s">
        <v>46</v>
      </c>
      <c r="D377" s="41">
        <v>-9.7100000000000009</v>
      </c>
      <c r="E377" s="43" t="str">
        <f>C377</f>
        <v>Traspaso</v>
      </c>
      <c r="F377" s="42" t="s">
        <v>0</v>
      </c>
    </row>
    <row r="378" spans="1:6">
      <c r="A378" s="39">
        <f>A377</f>
        <v>45700</v>
      </c>
      <c r="B378" s="40" t="s">
        <v>26</v>
      </c>
      <c r="C378" s="40" t="s">
        <v>46</v>
      </c>
      <c r="D378" s="41">
        <v>9.7100000000000009</v>
      </c>
      <c r="E378" s="43" t="str">
        <f>C378</f>
        <v>Traspaso</v>
      </c>
      <c r="F378" s="42" t="s">
        <v>0</v>
      </c>
    </row>
    <row r="379" spans="1:6">
      <c r="A379" s="39">
        <f>A378</f>
        <v>45700</v>
      </c>
      <c r="B379" s="40" t="s">
        <v>25</v>
      </c>
      <c r="C379" s="40" t="s">
        <v>41</v>
      </c>
      <c r="D379" s="41">
        <v>-26.5</v>
      </c>
      <c r="E379" s="43" t="s">
        <v>167</v>
      </c>
      <c r="F379" s="42" t="s">
        <v>38</v>
      </c>
    </row>
    <row r="380" spans="1:6">
      <c r="A380" s="39">
        <v>45701</v>
      </c>
      <c r="B380" s="40" t="s">
        <v>19</v>
      </c>
      <c r="C380" s="40" t="s">
        <v>41</v>
      </c>
      <c r="D380" s="41">
        <v>-1.6</v>
      </c>
      <c r="E380" s="43" t="s">
        <v>168</v>
      </c>
      <c r="F380" s="42" t="s">
        <v>38</v>
      </c>
    </row>
    <row r="381" spans="1:6">
      <c r="A381" s="39">
        <v>45701</v>
      </c>
      <c r="B381" s="40" t="s">
        <v>17</v>
      </c>
      <c r="C381" s="40" t="s">
        <v>41</v>
      </c>
      <c r="D381" s="41">
        <v>-11</v>
      </c>
      <c r="E381" s="43" t="s">
        <v>169</v>
      </c>
      <c r="F381" s="42" t="s">
        <v>38</v>
      </c>
    </row>
    <row r="382" spans="1:6">
      <c r="A382" s="39">
        <v>45701</v>
      </c>
      <c r="B382" s="40" t="s">
        <v>17</v>
      </c>
      <c r="C382" s="40" t="s">
        <v>41</v>
      </c>
      <c r="D382" s="41">
        <v>-2</v>
      </c>
      <c r="E382" s="43" t="s">
        <v>70</v>
      </c>
      <c r="F382" s="42" t="s">
        <v>38</v>
      </c>
    </row>
    <row r="383" spans="1:6">
      <c r="A383" s="39">
        <v>45701</v>
      </c>
      <c r="B383" s="40" t="s">
        <v>22</v>
      </c>
      <c r="C383" s="40" t="s">
        <v>46</v>
      </c>
      <c r="D383" s="41">
        <v>-1000</v>
      </c>
      <c r="E383" s="43" t="str">
        <f>C383</f>
        <v>Traspaso</v>
      </c>
      <c r="F383" s="42" t="s">
        <v>0</v>
      </c>
    </row>
    <row r="384" spans="1:6">
      <c r="A384" s="39">
        <f>A383</f>
        <v>45701</v>
      </c>
      <c r="B384" s="40" t="s">
        <v>170</v>
      </c>
      <c r="C384" s="40" t="s">
        <v>46</v>
      </c>
      <c r="D384" s="41">
        <v>1000</v>
      </c>
      <c r="E384" s="43" t="str">
        <f>C384</f>
        <v>Traspaso</v>
      </c>
      <c r="F384" s="42" t="s">
        <v>0</v>
      </c>
    </row>
    <row r="385" spans="1:6">
      <c r="A385" s="39">
        <f>A384</f>
        <v>45701</v>
      </c>
      <c r="B385" s="40" t="s">
        <v>26</v>
      </c>
      <c r="C385" s="40" t="s">
        <v>46</v>
      </c>
      <c r="D385" s="41">
        <v>-200.14</v>
      </c>
      <c r="E385" s="43" t="str">
        <f>C385</f>
        <v>Traspaso</v>
      </c>
      <c r="F385" s="42" t="s">
        <v>0</v>
      </c>
    </row>
    <row r="386" spans="1:6">
      <c r="A386" s="39">
        <f>A385</f>
        <v>45701</v>
      </c>
      <c r="B386" s="40" t="s">
        <v>20</v>
      </c>
      <c r="C386" s="40" t="s">
        <v>46</v>
      </c>
      <c r="D386" s="41">
        <v>200.14</v>
      </c>
      <c r="E386" s="43" t="str">
        <f>C386</f>
        <v>Traspaso</v>
      </c>
      <c r="F386" s="42" t="s">
        <v>0</v>
      </c>
    </row>
    <row r="387" spans="1:6">
      <c r="A387" s="39">
        <f>A386</f>
        <v>45701</v>
      </c>
      <c r="B387" s="40" t="s">
        <v>25</v>
      </c>
      <c r="C387" s="40" t="s">
        <v>46</v>
      </c>
      <c r="D387" s="41">
        <v>-50</v>
      </c>
      <c r="E387" s="43" t="str">
        <f>C387</f>
        <v>Traspaso</v>
      </c>
      <c r="F387" s="42" t="s">
        <v>0</v>
      </c>
    </row>
    <row r="388" spans="1:6">
      <c r="A388" s="39">
        <f>A387</f>
        <v>45701</v>
      </c>
      <c r="B388" s="40" t="s">
        <v>170</v>
      </c>
      <c r="C388" s="40" t="s">
        <v>46</v>
      </c>
      <c r="D388" s="41">
        <v>50</v>
      </c>
      <c r="E388" s="43" t="str">
        <f>C388</f>
        <v>Traspaso</v>
      </c>
      <c r="F388" s="42" t="s">
        <v>0</v>
      </c>
    </row>
    <row r="389" spans="1:6">
      <c r="A389" s="39">
        <f>A388</f>
        <v>45701</v>
      </c>
      <c r="B389" s="40" t="s">
        <v>25</v>
      </c>
      <c r="C389" s="40" t="s">
        <v>41</v>
      </c>
      <c r="D389" s="41">
        <v>-24.5</v>
      </c>
      <c r="E389" s="43" t="s">
        <v>171</v>
      </c>
      <c r="F389" s="42" t="s">
        <v>38</v>
      </c>
    </row>
    <row r="390" spans="1:6">
      <c r="A390" s="39">
        <f>A389</f>
        <v>45701</v>
      </c>
      <c r="B390" s="40" t="s">
        <v>26</v>
      </c>
      <c r="C390" s="40" t="s">
        <v>46</v>
      </c>
      <c r="D390" s="41">
        <v>-1000</v>
      </c>
      <c r="E390" s="43" t="str">
        <f>C390</f>
        <v>Traspaso</v>
      </c>
      <c r="F390" s="42" t="s">
        <v>0</v>
      </c>
    </row>
    <row r="391" spans="1:6">
      <c r="A391" s="39">
        <f>A390</f>
        <v>45701</v>
      </c>
      <c r="B391" s="46" t="s">
        <v>13</v>
      </c>
      <c r="C391" s="40" t="s">
        <v>46</v>
      </c>
      <c r="D391" s="41">
        <v>1000</v>
      </c>
      <c r="E391" s="43" t="str">
        <f>C391</f>
        <v>Traspaso</v>
      </c>
      <c r="F391" s="42" t="s">
        <v>0</v>
      </c>
    </row>
    <row r="392" spans="1:6">
      <c r="A392" s="39">
        <v>45702</v>
      </c>
      <c r="B392" s="40" t="s">
        <v>25</v>
      </c>
      <c r="C392" s="40" t="s">
        <v>89</v>
      </c>
      <c r="D392" s="41">
        <v>-13.18</v>
      </c>
      <c r="E392" s="43" t="str">
        <f>C392</f>
        <v>Luz</v>
      </c>
      <c r="F392" s="42" t="s">
        <v>38</v>
      </c>
    </row>
    <row r="393" spans="1:6">
      <c r="A393" s="39">
        <v>45702</v>
      </c>
      <c r="B393" s="40" t="s">
        <v>16</v>
      </c>
      <c r="C393" s="40" t="s">
        <v>50</v>
      </c>
      <c r="D393" s="41">
        <v>-234.34</v>
      </c>
      <c r="E393" s="43" t="s">
        <v>172</v>
      </c>
      <c r="F393" s="42" t="s">
        <v>0</v>
      </c>
    </row>
    <row r="394" spans="1:6">
      <c r="A394" s="39">
        <v>45702</v>
      </c>
      <c r="B394" s="40" t="s">
        <v>31</v>
      </c>
      <c r="C394" s="40" t="s">
        <v>34</v>
      </c>
      <c r="D394" s="41">
        <v>56.63</v>
      </c>
      <c r="E394" s="43" t="s">
        <v>49</v>
      </c>
      <c r="F394" s="42" t="s">
        <v>1</v>
      </c>
    </row>
    <row r="395" spans="1:6">
      <c r="A395" s="39">
        <v>45703</v>
      </c>
      <c r="B395" s="40" t="s">
        <v>17</v>
      </c>
      <c r="C395" s="40" t="s">
        <v>41</v>
      </c>
      <c r="D395" s="41">
        <v>-7.5</v>
      </c>
      <c r="E395" s="43" t="s">
        <v>173</v>
      </c>
      <c r="F395" s="42" t="s">
        <v>1</v>
      </c>
    </row>
    <row r="396" spans="1:6">
      <c r="A396" s="39">
        <v>45702</v>
      </c>
      <c r="B396" s="40" t="s">
        <v>24</v>
      </c>
      <c r="C396" s="40" t="s">
        <v>34</v>
      </c>
      <c r="D396" s="41">
        <v>2.2200000000000002</v>
      </c>
      <c r="E396" s="43" t="s">
        <v>35</v>
      </c>
      <c r="F396" s="42" t="s">
        <v>0</v>
      </c>
    </row>
    <row r="397" spans="1:6">
      <c r="A397" s="39">
        <v>45702</v>
      </c>
      <c r="B397" s="40" t="s">
        <v>25</v>
      </c>
      <c r="C397" s="40" t="s">
        <v>36</v>
      </c>
      <c r="D397" s="41">
        <v>-123.55</v>
      </c>
      <c r="E397" s="43" t="s">
        <v>96</v>
      </c>
      <c r="F397" s="42" t="s">
        <v>38</v>
      </c>
    </row>
    <row r="398" spans="1:6">
      <c r="A398" s="39">
        <v>45702</v>
      </c>
      <c r="B398" s="40" t="s">
        <v>16</v>
      </c>
      <c r="C398" s="40" t="s">
        <v>46</v>
      </c>
      <c r="D398" s="41">
        <v>-100</v>
      </c>
      <c r="E398" s="43" t="s">
        <v>113</v>
      </c>
      <c r="F398" s="42" t="s">
        <v>0</v>
      </c>
    </row>
    <row r="399" spans="1:6">
      <c r="A399" s="39">
        <v>45702</v>
      </c>
      <c r="B399" s="40" t="s">
        <v>23</v>
      </c>
      <c r="C399" s="40" t="s">
        <v>46</v>
      </c>
      <c r="D399" s="41">
        <v>100</v>
      </c>
      <c r="E399" s="43" t="s">
        <v>113</v>
      </c>
      <c r="F399" s="42" t="s">
        <v>0</v>
      </c>
    </row>
    <row r="400" spans="1:6">
      <c r="A400" s="39">
        <v>45703</v>
      </c>
      <c r="B400" s="40" t="s">
        <v>25</v>
      </c>
      <c r="C400" s="40" t="s">
        <v>52</v>
      </c>
      <c r="D400" s="41">
        <v>-14</v>
      </c>
      <c r="E400" s="43" t="s">
        <v>79</v>
      </c>
      <c r="F400" s="42" t="s">
        <v>0</v>
      </c>
    </row>
    <row r="401" spans="1:6">
      <c r="A401" s="39">
        <v>45703</v>
      </c>
      <c r="B401" s="40" t="s">
        <v>125</v>
      </c>
      <c r="C401" s="40" t="s">
        <v>46</v>
      </c>
      <c r="D401" s="41">
        <v>-1500</v>
      </c>
      <c r="E401" s="43" t="str">
        <f>C401</f>
        <v>Traspaso</v>
      </c>
      <c r="F401" s="42" t="s">
        <v>0</v>
      </c>
    </row>
    <row r="402" spans="1:6">
      <c r="A402" s="39">
        <v>45703</v>
      </c>
      <c r="B402" s="40" t="s">
        <v>174</v>
      </c>
      <c r="C402" s="40" t="s">
        <v>46</v>
      </c>
      <c r="D402" s="41">
        <v>1500</v>
      </c>
      <c r="E402" s="43" t="str">
        <f>C402</f>
        <v>Traspaso</v>
      </c>
      <c r="F402" s="42" t="s">
        <v>0</v>
      </c>
    </row>
    <row r="403" spans="1:6">
      <c r="A403" s="39">
        <v>45705</v>
      </c>
      <c r="B403" s="40" t="s">
        <v>26</v>
      </c>
      <c r="C403" s="40" t="s">
        <v>46</v>
      </c>
      <c r="D403" s="41">
        <v>-1500</v>
      </c>
      <c r="E403" s="43" t="str">
        <f>C403</f>
        <v>Traspaso</v>
      </c>
      <c r="F403" s="42" t="s">
        <v>0</v>
      </c>
    </row>
    <row r="404" spans="1:6">
      <c r="A404" s="39">
        <v>45705</v>
      </c>
      <c r="B404" s="40" t="s">
        <v>20</v>
      </c>
      <c r="C404" s="40" t="s">
        <v>46</v>
      </c>
      <c r="D404" s="41">
        <v>1500</v>
      </c>
      <c r="E404" s="43" t="str">
        <f>C404</f>
        <v>Traspaso</v>
      </c>
      <c r="F404" s="42" t="s">
        <v>0</v>
      </c>
    </row>
    <row r="405" spans="1:6">
      <c r="A405" s="39">
        <v>45705</v>
      </c>
      <c r="B405" s="40" t="s">
        <v>20</v>
      </c>
      <c r="C405" s="40" t="s">
        <v>46</v>
      </c>
      <c r="D405" s="41">
        <v>-205.44</v>
      </c>
      <c r="E405" s="43" t="str">
        <f>C405</f>
        <v>Traspaso</v>
      </c>
      <c r="F405" s="42" t="s">
        <v>0</v>
      </c>
    </row>
    <row r="406" spans="1:6">
      <c r="A406" s="39">
        <f>A405</f>
        <v>45705</v>
      </c>
      <c r="B406" s="40" t="s">
        <v>170</v>
      </c>
      <c r="C406" s="40" t="s">
        <v>46</v>
      </c>
      <c r="D406" s="41">
        <v>205.44</v>
      </c>
      <c r="E406" s="43" t="str">
        <f>C406</f>
        <v>Traspaso</v>
      </c>
      <c r="F406" s="42" t="s">
        <v>0</v>
      </c>
    </row>
    <row r="407" spans="1:6">
      <c r="A407" s="39">
        <f>A406</f>
        <v>45705</v>
      </c>
      <c r="B407" s="40" t="s">
        <v>22</v>
      </c>
      <c r="C407" s="40" t="s">
        <v>46</v>
      </c>
      <c r="D407" s="41">
        <v>-320</v>
      </c>
      <c r="E407" s="43" t="str">
        <f>C407</f>
        <v>Traspaso</v>
      </c>
      <c r="F407" s="42" t="s">
        <v>0</v>
      </c>
    </row>
    <row r="408" spans="1:6">
      <c r="A408" s="39">
        <f>A407</f>
        <v>45705</v>
      </c>
      <c r="B408" s="40" t="s">
        <v>132</v>
      </c>
      <c r="C408" s="40" t="s">
        <v>46</v>
      </c>
      <c r="D408" s="41">
        <v>320</v>
      </c>
      <c r="E408" s="43" t="str">
        <f>C408</f>
        <v>Traspaso</v>
      </c>
      <c r="F408" s="42" t="s">
        <v>0</v>
      </c>
    </row>
    <row r="409" spans="1:6">
      <c r="A409" s="39">
        <v>45705</v>
      </c>
      <c r="B409" s="40" t="s">
        <v>132</v>
      </c>
      <c r="C409" s="40" t="s">
        <v>46</v>
      </c>
      <c r="D409" s="41">
        <v>-320</v>
      </c>
      <c r="E409" s="43" t="str">
        <f>C409</f>
        <v>Traspaso</v>
      </c>
      <c r="F409" s="42" t="s">
        <v>0</v>
      </c>
    </row>
    <row r="410" spans="1:6">
      <c r="A410" s="39">
        <v>45705</v>
      </c>
      <c r="B410" s="40" t="s">
        <v>151</v>
      </c>
      <c r="C410" s="40" t="s">
        <v>46</v>
      </c>
      <c r="D410" s="41">
        <v>320</v>
      </c>
      <c r="E410" s="43" t="str">
        <f>C410</f>
        <v>Traspaso</v>
      </c>
      <c r="F410" s="42" t="s">
        <v>0</v>
      </c>
    </row>
    <row r="411" spans="1:6">
      <c r="A411" s="39">
        <v>45705</v>
      </c>
      <c r="B411" s="40" t="s">
        <v>26</v>
      </c>
      <c r="C411" s="40" t="s">
        <v>46</v>
      </c>
      <c r="D411" s="41">
        <v>-1000.3</v>
      </c>
      <c r="E411" s="43" t="str">
        <f>C411</f>
        <v>Traspaso</v>
      </c>
      <c r="F411" s="42" t="s">
        <v>0</v>
      </c>
    </row>
    <row r="412" spans="1:6">
      <c r="A412" s="39">
        <v>45705</v>
      </c>
      <c r="B412" s="46" t="s">
        <v>13</v>
      </c>
      <c r="C412" s="40" t="s">
        <v>46</v>
      </c>
      <c r="D412" s="41">
        <v>1000.3</v>
      </c>
      <c r="E412" s="43" t="str">
        <f>C412</f>
        <v>Traspaso</v>
      </c>
      <c r="F412" s="42" t="s">
        <v>0</v>
      </c>
    </row>
    <row r="413" spans="1:6">
      <c r="A413" s="39">
        <f>A408</f>
        <v>45705</v>
      </c>
      <c r="B413" s="40" t="s">
        <v>25</v>
      </c>
      <c r="C413" s="40" t="s">
        <v>54</v>
      </c>
      <c r="D413" s="41">
        <v>-11.6</v>
      </c>
      <c r="E413" s="43" t="s">
        <v>175</v>
      </c>
      <c r="F413" s="42" t="s">
        <v>0</v>
      </c>
    </row>
    <row r="414" spans="1:6">
      <c r="A414" s="39">
        <f>A413</f>
        <v>45705</v>
      </c>
      <c r="B414" s="40" t="s">
        <v>19</v>
      </c>
      <c r="C414" s="40" t="s">
        <v>36</v>
      </c>
      <c r="D414" s="41">
        <v>-0.6</v>
      </c>
      <c r="E414" s="43" t="s">
        <v>70</v>
      </c>
      <c r="F414" s="42" t="s">
        <v>1</v>
      </c>
    </row>
    <row r="415" spans="1:6" ht="16.5" customHeight="1">
      <c r="A415" s="39">
        <f>A414</f>
        <v>45705</v>
      </c>
      <c r="B415" s="40" t="s">
        <v>32</v>
      </c>
      <c r="C415" s="40" t="s">
        <v>176</v>
      </c>
      <c r="D415" s="41">
        <v>-70</v>
      </c>
      <c r="E415" s="44" t="s">
        <v>177</v>
      </c>
      <c r="F415" s="42" t="s">
        <v>38</v>
      </c>
    </row>
    <row r="416" spans="1:6">
      <c r="A416" s="39">
        <f>A415</f>
        <v>45705</v>
      </c>
      <c r="B416" s="40" t="s">
        <v>32</v>
      </c>
      <c r="C416" s="40" t="s">
        <v>176</v>
      </c>
      <c r="D416" s="41">
        <v>-280</v>
      </c>
      <c r="E416" s="44" t="s">
        <v>178</v>
      </c>
      <c r="F416" s="42" t="s">
        <v>38</v>
      </c>
    </row>
    <row r="417" spans="1:6">
      <c r="A417" s="39">
        <f>A416</f>
        <v>45705</v>
      </c>
      <c r="B417" s="40" t="s">
        <v>29</v>
      </c>
      <c r="C417" s="40" t="s">
        <v>176</v>
      </c>
      <c r="D417" s="41">
        <v>-498.98</v>
      </c>
      <c r="E417" s="43" t="s">
        <v>179</v>
      </c>
      <c r="F417" s="42" t="s">
        <v>38</v>
      </c>
    </row>
    <row r="418" spans="1:6">
      <c r="A418" s="39">
        <f>A417</f>
        <v>45705</v>
      </c>
      <c r="B418" s="40" t="s">
        <v>25</v>
      </c>
      <c r="C418" s="40" t="s">
        <v>41</v>
      </c>
      <c r="D418" s="41">
        <v>-1.3</v>
      </c>
      <c r="E418" s="43" t="s">
        <v>42</v>
      </c>
      <c r="F418" s="42" t="s">
        <v>0</v>
      </c>
    </row>
    <row r="419" spans="1:6">
      <c r="A419" s="39">
        <v>45705</v>
      </c>
      <c r="B419" s="40" t="s">
        <v>25</v>
      </c>
      <c r="C419" s="40" t="s">
        <v>60</v>
      </c>
      <c r="D419" s="41">
        <v>-29.95</v>
      </c>
      <c r="E419" s="43" t="s">
        <v>180</v>
      </c>
      <c r="F419" s="42" t="s">
        <v>38</v>
      </c>
    </row>
    <row r="420" spans="1:6">
      <c r="A420" s="39">
        <v>45706</v>
      </c>
      <c r="B420" s="40" t="s">
        <v>25</v>
      </c>
      <c r="C420" s="40" t="s">
        <v>41</v>
      </c>
      <c r="D420" s="41">
        <v>-1.3</v>
      </c>
      <c r="E420" s="43" t="s">
        <v>42</v>
      </c>
      <c r="F420" s="42" t="s">
        <v>0</v>
      </c>
    </row>
    <row r="421" spans="1:6">
      <c r="A421" s="39">
        <f>A420</f>
        <v>45706</v>
      </c>
      <c r="B421" s="40" t="s">
        <v>17</v>
      </c>
      <c r="C421" s="40" t="s">
        <v>54</v>
      </c>
      <c r="D421" s="41">
        <v>-7.68</v>
      </c>
      <c r="E421" s="43" t="str">
        <f>C421</f>
        <v>Medicamentos</v>
      </c>
      <c r="F421" s="42" t="s">
        <v>1</v>
      </c>
    </row>
    <row r="422" spans="1:6">
      <c r="A422" s="39">
        <v>45707</v>
      </c>
      <c r="B422" s="40" t="s">
        <v>25</v>
      </c>
      <c r="C422" s="40" t="s">
        <v>41</v>
      </c>
      <c r="D422" s="41">
        <v>-1.3</v>
      </c>
      <c r="E422" s="43" t="s">
        <v>42</v>
      </c>
      <c r="F422" s="42" t="s">
        <v>0</v>
      </c>
    </row>
    <row r="423" spans="1:6">
      <c r="A423" s="39">
        <f>A422</f>
        <v>45707</v>
      </c>
      <c r="B423" s="40" t="s">
        <v>20</v>
      </c>
      <c r="C423" s="40" t="s">
        <v>46</v>
      </c>
      <c r="D423" s="41">
        <v>-500</v>
      </c>
      <c r="E423" s="43" t="str">
        <f>C423</f>
        <v>Traspaso</v>
      </c>
      <c r="F423" s="42" t="s">
        <v>0</v>
      </c>
    </row>
    <row r="424" spans="1:6">
      <c r="A424" s="39">
        <f>A423</f>
        <v>45707</v>
      </c>
      <c r="B424" s="40" t="s">
        <v>181</v>
      </c>
      <c r="C424" s="40" t="s">
        <v>46</v>
      </c>
      <c r="D424" s="41">
        <v>500</v>
      </c>
      <c r="E424" s="43" t="str">
        <f>C424</f>
        <v>Traspaso</v>
      </c>
      <c r="F424" s="42" t="s">
        <v>0</v>
      </c>
    </row>
    <row r="425" spans="1:6">
      <c r="A425" s="39">
        <f>A424</f>
        <v>45707</v>
      </c>
      <c r="B425" s="40" t="s">
        <v>20</v>
      </c>
      <c r="C425" s="40" t="s">
        <v>46</v>
      </c>
      <c r="D425" s="41">
        <v>-500</v>
      </c>
      <c r="E425" s="43" t="str">
        <f>C425</f>
        <v>Traspaso</v>
      </c>
      <c r="F425" s="42" t="s">
        <v>0</v>
      </c>
    </row>
    <row r="426" spans="1:6">
      <c r="A426" s="39">
        <f>A425</f>
        <v>45707</v>
      </c>
      <c r="B426" s="40" t="s">
        <v>182</v>
      </c>
      <c r="C426" s="40" t="s">
        <v>46</v>
      </c>
      <c r="D426" s="41">
        <v>500</v>
      </c>
      <c r="E426" s="43" t="str">
        <f>C426</f>
        <v>Traspaso</v>
      </c>
      <c r="F426" s="42" t="s">
        <v>0</v>
      </c>
    </row>
    <row r="427" spans="1:6">
      <c r="A427" s="39">
        <v>45707</v>
      </c>
      <c r="B427" s="40" t="s">
        <v>26</v>
      </c>
      <c r="C427" s="40" t="s">
        <v>34</v>
      </c>
      <c r="D427" s="41">
        <v>0.18</v>
      </c>
      <c r="E427" s="43" t="s">
        <v>183</v>
      </c>
      <c r="F427" s="42" t="s">
        <v>0</v>
      </c>
    </row>
    <row r="428" spans="1:6">
      <c r="A428" s="39">
        <f>A426</f>
        <v>45707</v>
      </c>
      <c r="B428" s="40" t="s">
        <v>20</v>
      </c>
      <c r="C428" s="40" t="s">
        <v>46</v>
      </c>
      <c r="D428" s="41">
        <v>-525</v>
      </c>
      <c r="E428" s="43" t="str">
        <f>C428</f>
        <v>Traspaso</v>
      </c>
      <c r="F428" s="42" t="s">
        <v>0</v>
      </c>
    </row>
    <row r="429" spans="1:6">
      <c r="A429" s="39">
        <f>A428</f>
        <v>45707</v>
      </c>
      <c r="B429" s="40" t="s">
        <v>24</v>
      </c>
      <c r="C429" s="40" t="s">
        <v>46</v>
      </c>
      <c r="D429" s="41">
        <v>525</v>
      </c>
      <c r="E429" s="43" t="str">
        <f>C429</f>
        <v>Traspaso</v>
      </c>
      <c r="F429" s="42" t="s">
        <v>0</v>
      </c>
    </row>
    <row r="430" spans="1:6">
      <c r="A430" s="39">
        <f>A429</f>
        <v>45707</v>
      </c>
      <c r="B430" s="40" t="s">
        <v>25</v>
      </c>
      <c r="C430" s="40" t="s">
        <v>73</v>
      </c>
      <c r="D430" s="41">
        <v>-76</v>
      </c>
      <c r="E430" s="43" t="s">
        <v>85</v>
      </c>
      <c r="F430" s="42" t="s">
        <v>38</v>
      </c>
    </row>
    <row r="431" spans="1:6">
      <c r="A431" s="39">
        <v>45708</v>
      </c>
      <c r="B431" s="40" t="s">
        <v>32</v>
      </c>
      <c r="C431" s="40" t="s">
        <v>46</v>
      </c>
      <c r="D431" s="41">
        <v>-150</v>
      </c>
      <c r="E431" s="43" t="str">
        <f>C431</f>
        <v>Traspaso</v>
      </c>
      <c r="F431" s="42" t="s">
        <v>1</v>
      </c>
    </row>
    <row r="432" spans="1:6">
      <c r="A432" s="39">
        <f>A431</f>
        <v>45708</v>
      </c>
      <c r="B432" s="40" t="s">
        <v>19</v>
      </c>
      <c r="C432" s="40" t="s">
        <v>46</v>
      </c>
      <c r="D432" s="41">
        <v>150</v>
      </c>
      <c r="E432" s="43" t="str">
        <f>C432</f>
        <v>Traspaso</v>
      </c>
      <c r="F432" s="42" t="s">
        <v>1</v>
      </c>
    </row>
    <row r="433" spans="1:6">
      <c r="A433" s="39">
        <f>A432</f>
        <v>45708</v>
      </c>
      <c r="B433" s="40" t="s">
        <v>17</v>
      </c>
      <c r="C433" s="40" t="s">
        <v>36</v>
      </c>
      <c r="D433" s="41">
        <v>-5</v>
      </c>
      <c r="E433" s="43" t="s">
        <v>84</v>
      </c>
      <c r="F433" s="42" t="s">
        <v>1</v>
      </c>
    </row>
    <row r="434" spans="1:6">
      <c r="A434" s="39">
        <f>A433</f>
        <v>45708</v>
      </c>
      <c r="B434" s="40" t="s">
        <v>32</v>
      </c>
      <c r="C434" s="40" t="s">
        <v>119</v>
      </c>
      <c r="D434" s="41">
        <v>-38.5</v>
      </c>
      <c r="E434" s="43" t="s">
        <v>184</v>
      </c>
      <c r="F434" s="42" t="s">
        <v>1</v>
      </c>
    </row>
    <row r="435" spans="1:6">
      <c r="A435" s="39">
        <f>A434</f>
        <v>45708</v>
      </c>
      <c r="B435" s="40" t="s">
        <v>25</v>
      </c>
      <c r="C435" s="40" t="s">
        <v>41</v>
      </c>
      <c r="D435" s="41">
        <v>-1.3</v>
      </c>
      <c r="E435" s="43" t="s">
        <v>42</v>
      </c>
      <c r="F435" s="42" t="s">
        <v>0</v>
      </c>
    </row>
    <row r="436" spans="1:6">
      <c r="A436" s="39">
        <v>45708</v>
      </c>
      <c r="B436" s="40" t="s">
        <v>19</v>
      </c>
      <c r="C436" s="40" t="s">
        <v>119</v>
      </c>
      <c r="D436" s="41">
        <v>-140</v>
      </c>
      <c r="E436" s="43" t="s">
        <v>185</v>
      </c>
      <c r="F436" s="42" t="s">
        <v>1</v>
      </c>
    </row>
    <row r="437" spans="1:6">
      <c r="A437" s="39">
        <v>45709</v>
      </c>
      <c r="B437" s="40" t="s">
        <v>32</v>
      </c>
      <c r="C437" s="40" t="s">
        <v>41</v>
      </c>
      <c r="D437" s="41">
        <v>100</v>
      </c>
      <c r="E437" s="43" t="s">
        <v>186</v>
      </c>
      <c r="F437" s="42" t="s">
        <v>38</v>
      </c>
    </row>
    <row r="438" spans="1:6">
      <c r="A438" s="39">
        <f>A437</f>
        <v>45709</v>
      </c>
      <c r="B438" s="40" t="s">
        <v>19</v>
      </c>
      <c r="C438" s="40" t="s">
        <v>36</v>
      </c>
      <c r="D438" s="41">
        <v>-0.6</v>
      </c>
      <c r="E438" s="43" t="s">
        <v>70</v>
      </c>
      <c r="F438" s="42" t="s">
        <v>1</v>
      </c>
    </row>
    <row r="439" spans="1:6">
      <c r="A439" s="39">
        <f>A438</f>
        <v>45709</v>
      </c>
      <c r="B439" s="40" t="s">
        <v>19</v>
      </c>
      <c r="C439" s="40" t="s">
        <v>36</v>
      </c>
      <c r="D439" s="41">
        <v>-4</v>
      </c>
      <c r="E439" s="43" t="s">
        <v>69</v>
      </c>
      <c r="F439" s="42" t="s">
        <v>38</v>
      </c>
    </row>
    <row r="440" spans="1:6">
      <c r="A440" s="39">
        <f>A439</f>
        <v>45709</v>
      </c>
      <c r="B440" s="40" t="s">
        <v>25</v>
      </c>
      <c r="C440" s="40" t="s">
        <v>41</v>
      </c>
      <c r="D440" s="41">
        <f>-1.3-2.5</f>
        <v>-3.8</v>
      </c>
      <c r="E440" s="43" t="s">
        <v>42</v>
      </c>
      <c r="F440" s="42" t="s">
        <v>0</v>
      </c>
    </row>
    <row r="441" spans="1:6">
      <c r="A441" s="39">
        <v>45710</v>
      </c>
      <c r="B441" s="40" t="s">
        <v>16</v>
      </c>
      <c r="C441" s="40" t="s">
        <v>36</v>
      </c>
      <c r="D441" s="41">
        <v>-74.239999999999995</v>
      </c>
      <c r="E441" s="43" t="s">
        <v>37</v>
      </c>
      <c r="F441" s="42" t="s">
        <v>38</v>
      </c>
    </row>
    <row r="442" spans="1:6">
      <c r="A442" s="39">
        <f>A441</f>
        <v>45710</v>
      </c>
      <c r="B442" s="40" t="s">
        <v>16</v>
      </c>
      <c r="C442" s="40" t="s">
        <v>73</v>
      </c>
      <c r="D442" s="41">
        <v>-60</v>
      </c>
      <c r="E442" s="43" t="s">
        <v>187</v>
      </c>
      <c r="F442" s="42" t="s">
        <v>38</v>
      </c>
    </row>
    <row r="443" spans="1:6">
      <c r="A443" s="39">
        <f>A442</f>
        <v>45710</v>
      </c>
      <c r="B443" s="40" t="s">
        <v>19</v>
      </c>
      <c r="C443" s="40" t="s">
        <v>44</v>
      </c>
      <c r="D443" s="41">
        <v>50</v>
      </c>
      <c r="E443" s="43" t="s">
        <v>188</v>
      </c>
      <c r="F443" s="42" t="s">
        <v>1</v>
      </c>
    </row>
    <row r="444" spans="1:6">
      <c r="A444" s="39">
        <v>45712</v>
      </c>
      <c r="B444" s="40" t="s">
        <v>25</v>
      </c>
      <c r="C444" s="40" t="s">
        <v>50</v>
      </c>
      <c r="D444" s="41">
        <v>-70</v>
      </c>
      <c r="E444" s="43" t="s">
        <v>189</v>
      </c>
      <c r="F444" s="42" t="s">
        <v>0</v>
      </c>
    </row>
    <row r="445" spans="1:6">
      <c r="A445" s="39">
        <f>A444</f>
        <v>45712</v>
      </c>
      <c r="B445" s="40" t="s">
        <v>16</v>
      </c>
      <c r="C445" s="40" t="s">
        <v>41</v>
      </c>
      <c r="D445" s="41">
        <v>-1.3</v>
      </c>
      <c r="E445" s="43" t="s">
        <v>42</v>
      </c>
      <c r="F445" s="42" t="s">
        <v>0</v>
      </c>
    </row>
    <row r="446" spans="1:6">
      <c r="A446" s="39">
        <f>A445</f>
        <v>45712</v>
      </c>
      <c r="B446" s="40" t="s">
        <v>19</v>
      </c>
      <c r="C446" s="40" t="s">
        <v>36</v>
      </c>
      <c r="D446" s="41">
        <v>-1.6</v>
      </c>
      <c r="E446" s="43" t="s">
        <v>84</v>
      </c>
      <c r="F446" s="42" t="s">
        <v>1</v>
      </c>
    </row>
    <row r="447" spans="1:6">
      <c r="A447" s="39">
        <f>A446</f>
        <v>45712</v>
      </c>
      <c r="B447" s="40" t="s">
        <v>16</v>
      </c>
      <c r="C447" s="40" t="s">
        <v>46</v>
      </c>
      <c r="D447" s="41">
        <v>-1000</v>
      </c>
      <c r="E447" s="43" t="str">
        <f>C447</f>
        <v>Traspaso</v>
      </c>
      <c r="F447" s="42" t="s">
        <v>0</v>
      </c>
    </row>
    <row r="448" spans="1:6">
      <c r="A448" s="39">
        <f>A447</f>
        <v>45712</v>
      </c>
      <c r="B448" s="40" t="s">
        <v>174</v>
      </c>
      <c r="C448" s="40" t="s">
        <v>46</v>
      </c>
      <c r="D448" s="41">
        <v>1000</v>
      </c>
      <c r="E448" s="43" t="str">
        <f>C448</f>
        <v>Traspaso</v>
      </c>
      <c r="F448" s="42" t="s">
        <v>0</v>
      </c>
    </row>
    <row r="449" spans="1:6">
      <c r="A449" s="39">
        <f>A448</f>
        <v>45712</v>
      </c>
      <c r="B449" s="40" t="s">
        <v>24</v>
      </c>
      <c r="C449" s="40" t="s">
        <v>46</v>
      </c>
      <c r="D449" s="41">
        <v>-300</v>
      </c>
      <c r="E449" s="43" t="str">
        <f>C449</f>
        <v>Traspaso</v>
      </c>
      <c r="F449" s="42" t="s">
        <v>0</v>
      </c>
    </row>
    <row r="450" spans="1:6">
      <c r="A450" s="39">
        <f>A449</f>
        <v>45712</v>
      </c>
      <c r="B450" s="40" t="s">
        <v>26</v>
      </c>
      <c r="C450" s="40" t="s">
        <v>46</v>
      </c>
      <c r="D450" s="41">
        <v>300</v>
      </c>
      <c r="E450" s="43" t="str">
        <f>C450</f>
        <v>Traspaso</v>
      </c>
      <c r="F450" s="42" t="s">
        <v>0</v>
      </c>
    </row>
    <row r="451" spans="1:6">
      <c r="A451" s="39">
        <v>45713</v>
      </c>
      <c r="B451" s="40" t="s">
        <v>16</v>
      </c>
      <c r="C451" s="40" t="s">
        <v>41</v>
      </c>
      <c r="D451" s="41">
        <v>-1.3</v>
      </c>
      <c r="E451" s="43" t="s">
        <v>42</v>
      </c>
      <c r="F451" s="42" t="s">
        <v>0</v>
      </c>
    </row>
    <row r="452" spans="1:6">
      <c r="A452" s="39">
        <f>A451</f>
        <v>45713</v>
      </c>
      <c r="B452" s="40" t="s">
        <v>16</v>
      </c>
      <c r="C452" s="40" t="s">
        <v>44</v>
      </c>
      <c r="D452" s="41">
        <v>-20.329999999999998</v>
      </c>
      <c r="E452" s="43" t="s">
        <v>190</v>
      </c>
      <c r="F452" s="42" t="s">
        <v>0</v>
      </c>
    </row>
    <row r="453" spans="1:6">
      <c r="A453" s="39">
        <f>A452</f>
        <v>45713</v>
      </c>
      <c r="B453" s="40" t="s">
        <v>19</v>
      </c>
      <c r="C453" s="40" t="s">
        <v>36</v>
      </c>
      <c r="D453" s="41">
        <v>-1.6</v>
      </c>
      <c r="E453" s="43" t="s">
        <v>84</v>
      </c>
      <c r="F453" s="42" t="s">
        <v>1</v>
      </c>
    </row>
    <row r="454" spans="1:6">
      <c r="A454" s="39">
        <f>A453</f>
        <v>45713</v>
      </c>
      <c r="B454" s="40" t="s">
        <v>24</v>
      </c>
      <c r="C454" s="40" t="s">
        <v>34</v>
      </c>
      <c r="D454" s="41">
        <v>-100</v>
      </c>
      <c r="E454" s="43" t="s">
        <v>191</v>
      </c>
      <c r="F454" s="42" t="s">
        <v>0</v>
      </c>
    </row>
    <row r="455" spans="1:6">
      <c r="A455" s="39">
        <v>45713</v>
      </c>
      <c r="B455" s="40" t="s">
        <v>31</v>
      </c>
      <c r="C455" s="40" t="s">
        <v>110</v>
      </c>
      <c r="D455" s="41">
        <v>1955.54</v>
      </c>
      <c r="E455" s="43" t="s">
        <v>110</v>
      </c>
      <c r="F455" s="42" t="s">
        <v>1</v>
      </c>
    </row>
    <row r="456" spans="1:6">
      <c r="A456" s="39">
        <v>45714</v>
      </c>
      <c r="B456" s="40" t="s">
        <v>16</v>
      </c>
      <c r="C456" s="40" t="s">
        <v>41</v>
      </c>
      <c r="D456" s="41">
        <v>-1.3</v>
      </c>
      <c r="E456" s="43" t="s">
        <v>42</v>
      </c>
      <c r="F456" s="42" t="s">
        <v>0</v>
      </c>
    </row>
    <row r="457" spans="1:6">
      <c r="A457" s="39">
        <f>A456</f>
        <v>45714</v>
      </c>
      <c r="B457" s="40" t="s">
        <v>19</v>
      </c>
      <c r="C457" s="40" t="s">
        <v>36</v>
      </c>
      <c r="D457" s="41">
        <v>-0.6</v>
      </c>
      <c r="E457" s="43" t="s">
        <v>70</v>
      </c>
      <c r="F457" s="42" t="s">
        <v>1</v>
      </c>
    </row>
    <row r="458" spans="1:6">
      <c r="A458" s="39">
        <f>A457</f>
        <v>45714</v>
      </c>
      <c r="B458" s="40" t="s">
        <v>17</v>
      </c>
      <c r="C458" s="40" t="s">
        <v>76</v>
      </c>
      <c r="D458" s="41">
        <v>-16</v>
      </c>
      <c r="E458" s="43" t="s">
        <v>192</v>
      </c>
      <c r="F458" s="42" t="s">
        <v>1</v>
      </c>
    </row>
    <row r="459" spans="1:6">
      <c r="A459" s="39">
        <f>A458</f>
        <v>45714</v>
      </c>
      <c r="B459" s="40" t="s">
        <v>17</v>
      </c>
      <c r="C459" s="40" t="s">
        <v>44</v>
      </c>
      <c r="D459" s="41">
        <v>-18.989999999999998</v>
      </c>
      <c r="E459" s="43" t="s">
        <v>193</v>
      </c>
      <c r="F459" s="42" t="s">
        <v>1</v>
      </c>
    </row>
    <row r="460" spans="1:6">
      <c r="A460" s="39">
        <f>A459</f>
        <v>45714</v>
      </c>
      <c r="B460" s="40" t="s">
        <v>32</v>
      </c>
      <c r="C460" s="40" t="s">
        <v>44</v>
      </c>
      <c r="D460" s="41">
        <v>19</v>
      </c>
      <c r="E460" s="43" t="s">
        <v>193</v>
      </c>
      <c r="F460" s="42" t="s">
        <v>1</v>
      </c>
    </row>
    <row r="461" spans="1:6">
      <c r="A461" s="39">
        <f>A460</f>
        <v>45714</v>
      </c>
      <c r="B461" s="40" t="s">
        <v>19</v>
      </c>
      <c r="C461" s="40" t="s">
        <v>44</v>
      </c>
      <c r="D461" s="41">
        <v>-33</v>
      </c>
      <c r="E461" s="43" t="s">
        <v>102</v>
      </c>
      <c r="F461" s="42" t="s">
        <v>38</v>
      </c>
    </row>
    <row r="462" spans="1:6">
      <c r="A462" s="39">
        <f>A461</f>
        <v>45714</v>
      </c>
      <c r="B462" s="40" t="s">
        <v>16</v>
      </c>
      <c r="C462" s="40" t="s">
        <v>36</v>
      </c>
      <c r="D462" s="41">
        <v>-6.05</v>
      </c>
      <c r="E462" s="43" t="str">
        <f>C462</f>
        <v>Comida</v>
      </c>
      <c r="F462" s="42" t="s">
        <v>0</v>
      </c>
    </row>
    <row r="463" spans="1:6">
      <c r="A463" s="39">
        <f>A462</f>
        <v>45714</v>
      </c>
      <c r="B463" s="40" t="s">
        <v>24</v>
      </c>
      <c r="C463" s="40" t="s">
        <v>110</v>
      </c>
      <c r="D463" s="41">
        <v>1973.17</v>
      </c>
      <c r="E463" s="43" t="s">
        <v>118</v>
      </c>
      <c r="F463" s="42" t="s">
        <v>0</v>
      </c>
    </row>
    <row r="464" spans="1:6">
      <c r="A464" s="39">
        <v>45715</v>
      </c>
      <c r="B464" s="40" t="s">
        <v>16</v>
      </c>
      <c r="C464" s="40" t="s">
        <v>41</v>
      </c>
      <c r="D464" s="41">
        <v>-1.3</v>
      </c>
      <c r="E464" s="43" t="s">
        <v>42</v>
      </c>
      <c r="F464" s="42" t="s">
        <v>0</v>
      </c>
    </row>
    <row r="465" spans="1:6">
      <c r="A465" s="39">
        <f>A464</f>
        <v>45715</v>
      </c>
      <c r="B465" s="40" t="s">
        <v>25</v>
      </c>
      <c r="C465" s="40" t="s">
        <v>43</v>
      </c>
      <c r="D465" s="41">
        <v>-35.880000000000003</v>
      </c>
      <c r="E465" s="43" t="str">
        <f>C465</f>
        <v>Comunidad</v>
      </c>
      <c r="F465" s="42" t="s">
        <v>0</v>
      </c>
    </row>
    <row r="466" spans="1:6">
      <c r="A466" s="39">
        <f>A465</f>
        <v>45715</v>
      </c>
      <c r="B466" s="40" t="s">
        <v>25</v>
      </c>
      <c r="C466" s="40" t="s">
        <v>43</v>
      </c>
      <c r="D466" s="41">
        <v>-45.86</v>
      </c>
      <c r="E466" s="43" t="str">
        <f>C466</f>
        <v>Comunidad</v>
      </c>
      <c r="F466" s="42" t="s">
        <v>0</v>
      </c>
    </row>
    <row r="467" spans="1:6">
      <c r="A467" s="39">
        <v>45715</v>
      </c>
      <c r="B467" s="40" t="s">
        <v>32</v>
      </c>
      <c r="C467" s="40" t="s">
        <v>119</v>
      </c>
      <c r="D467" s="41">
        <v>-97.89</v>
      </c>
      <c r="E467" s="43" t="s">
        <v>194</v>
      </c>
      <c r="F467" s="42" t="s">
        <v>1</v>
      </c>
    </row>
    <row r="468" spans="1:6">
      <c r="A468" s="39">
        <v>45715</v>
      </c>
      <c r="B468" s="40" t="s">
        <v>19</v>
      </c>
      <c r="C468" s="40" t="s">
        <v>36</v>
      </c>
      <c r="D468" s="41">
        <v>-4.2</v>
      </c>
      <c r="E468" s="43" t="s">
        <v>84</v>
      </c>
      <c r="F468" s="42" t="s">
        <v>1</v>
      </c>
    </row>
    <row r="469" spans="1:6">
      <c r="A469" s="39">
        <v>45715</v>
      </c>
      <c r="B469" s="40" t="s">
        <v>26</v>
      </c>
      <c r="C469" s="40" t="s">
        <v>46</v>
      </c>
      <c r="D469" s="41">
        <v>-1000</v>
      </c>
      <c r="E469" s="43" t="str">
        <f>C469</f>
        <v>Traspaso</v>
      </c>
      <c r="F469" s="42" t="s">
        <v>0</v>
      </c>
    </row>
    <row r="470" spans="1:6">
      <c r="A470" s="39">
        <v>45715</v>
      </c>
      <c r="B470" s="40" t="s">
        <v>24</v>
      </c>
      <c r="C470" s="40" t="s">
        <v>46</v>
      </c>
      <c r="D470" s="41">
        <v>1000</v>
      </c>
      <c r="E470" s="43" t="str">
        <f>C470</f>
        <v>Traspaso</v>
      </c>
      <c r="F470" s="42" t="s">
        <v>0</v>
      </c>
    </row>
    <row r="471" spans="1:6">
      <c r="A471" s="39">
        <v>45716</v>
      </c>
      <c r="B471" s="40" t="s">
        <v>24</v>
      </c>
      <c r="C471" s="40" t="s">
        <v>46</v>
      </c>
      <c r="D471" s="41">
        <v>-1378.24</v>
      </c>
      <c r="E471" s="43" t="str">
        <f>C471</f>
        <v>Traspaso</v>
      </c>
      <c r="F471" s="42" t="s">
        <v>0</v>
      </c>
    </row>
    <row r="472" spans="1:6">
      <c r="A472" s="39">
        <f>A471</f>
        <v>45716</v>
      </c>
      <c r="B472" s="40" t="s">
        <v>16</v>
      </c>
      <c r="C472" s="40" t="s">
        <v>46</v>
      </c>
      <c r="D472" s="41">
        <v>1378.24</v>
      </c>
      <c r="E472" s="43" t="str">
        <f>C472</f>
        <v>Traspaso</v>
      </c>
      <c r="F472" s="42" t="s">
        <v>0</v>
      </c>
    </row>
    <row r="473" spans="1:6">
      <c r="A473" s="39">
        <f>A472</f>
        <v>45716</v>
      </c>
      <c r="B473" s="40" t="s">
        <v>24</v>
      </c>
      <c r="C473" s="40" t="s">
        <v>46</v>
      </c>
      <c r="D473" s="41">
        <v>-1968.58</v>
      </c>
      <c r="E473" s="43" t="str">
        <f>C473</f>
        <v>Traspaso</v>
      </c>
      <c r="F473" s="42" t="s">
        <v>0</v>
      </c>
    </row>
    <row r="474" spans="1:6">
      <c r="A474" s="39">
        <f>A473</f>
        <v>45716</v>
      </c>
      <c r="B474" s="40" t="s">
        <v>16</v>
      </c>
      <c r="C474" s="40" t="s">
        <v>46</v>
      </c>
      <c r="D474" s="41">
        <v>1968.58</v>
      </c>
      <c r="E474" s="43" t="str">
        <f>C474</f>
        <v>Traspaso</v>
      </c>
      <c r="F474" s="42" t="s">
        <v>0</v>
      </c>
    </row>
    <row r="475" spans="1:6">
      <c r="A475" s="39">
        <f>A474</f>
        <v>45716</v>
      </c>
      <c r="B475" s="40" t="s">
        <v>32</v>
      </c>
      <c r="C475" s="40" t="s">
        <v>46</v>
      </c>
      <c r="D475" s="41">
        <v>-570.9</v>
      </c>
      <c r="E475" s="43" t="str">
        <f>C475</f>
        <v>Traspaso</v>
      </c>
      <c r="F475" s="42" t="s">
        <v>1</v>
      </c>
    </row>
    <row r="476" spans="1:6">
      <c r="A476" s="39">
        <f>A475</f>
        <v>45716</v>
      </c>
      <c r="B476" s="40" t="s">
        <v>17</v>
      </c>
      <c r="C476" s="40" t="s">
        <v>46</v>
      </c>
      <c r="D476" s="41">
        <v>570.9</v>
      </c>
      <c r="E476" s="43" t="str">
        <f>C476</f>
        <v>Traspaso</v>
      </c>
      <c r="F476" s="42" t="s">
        <v>1</v>
      </c>
    </row>
    <row r="477" spans="1:6">
      <c r="A477" s="39">
        <f>A476</f>
        <v>45716</v>
      </c>
      <c r="B477" s="40" t="s">
        <v>19</v>
      </c>
      <c r="C477" s="40" t="s">
        <v>36</v>
      </c>
      <c r="D477" s="41">
        <v>-1.2</v>
      </c>
      <c r="E477" s="43" t="s">
        <v>84</v>
      </c>
      <c r="F477" s="42" t="s">
        <v>1</v>
      </c>
    </row>
    <row r="478" spans="1:6">
      <c r="A478" s="39">
        <f>A477</f>
        <v>45716</v>
      </c>
      <c r="B478" s="40" t="s">
        <v>19</v>
      </c>
      <c r="C478" s="40" t="s">
        <v>105</v>
      </c>
      <c r="D478" s="41">
        <v>-5</v>
      </c>
      <c r="E478" s="43" t="s">
        <v>106</v>
      </c>
      <c r="F478" s="42" t="s">
        <v>1</v>
      </c>
    </row>
    <row r="479" spans="1:6">
      <c r="A479" s="39">
        <v>45716</v>
      </c>
      <c r="B479" s="40" t="s">
        <v>17</v>
      </c>
      <c r="C479" s="40" t="s">
        <v>41</v>
      </c>
      <c r="D479" s="41">
        <v>-16</v>
      </c>
      <c r="E479" s="43" t="s">
        <v>195</v>
      </c>
      <c r="F479" s="42" t="s">
        <v>1</v>
      </c>
    </row>
    <row r="480" spans="1:6">
      <c r="A480" s="39">
        <f>A478</f>
        <v>45716</v>
      </c>
      <c r="B480" s="40" t="s">
        <v>132</v>
      </c>
      <c r="C480" s="40" t="s">
        <v>46</v>
      </c>
      <c r="D480" s="41">
        <v>-5000</v>
      </c>
      <c r="E480" s="43" t="s">
        <v>113</v>
      </c>
      <c r="F480" s="42" t="s">
        <v>0</v>
      </c>
    </row>
    <row r="481" spans="1:6">
      <c r="A481" s="39">
        <f>A480</f>
        <v>45716</v>
      </c>
      <c r="B481" s="40" t="s">
        <v>24</v>
      </c>
      <c r="C481" s="40" t="s">
        <v>46</v>
      </c>
      <c r="D481" s="41">
        <v>5000</v>
      </c>
      <c r="E481" s="43" t="str">
        <f>C481</f>
        <v>Traspaso</v>
      </c>
      <c r="F481" s="42" t="s">
        <v>0</v>
      </c>
    </row>
    <row r="482" spans="1:6">
      <c r="A482" s="39">
        <f>A481</f>
        <v>45716</v>
      </c>
      <c r="B482" s="40" t="s">
        <v>16</v>
      </c>
      <c r="C482" s="40" t="s">
        <v>41</v>
      </c>
      <c r="D482" s="41">
        <v>-7.2</v>
      </c>
      <c r="E482" s="43" t="s">
        <v>42</v>
      </c>
      <c r="F482" s="42" t="s">
        <v>0</v>
      </c>
    </row>
    <row r="483" spans="1:6">
      <c r="A483" s="39">
        <v>45717</v>
      </c>
      <c r="B483" s="40" t="s">
        <v>29</v>
      </c>
      <c r="C483" s="40" t="s">
        <v>34</v>
      </c>
      <c r="D483" s="41">
        <v>0.45</v>
      </c>
      <c r="E483" s="43"/>
      <c r="F483" s="42" t="s">
        <v>1</v>
      </c>
    </row>
    <row r="484" spans="1:6">
      <c r="A484" s="39">
        <v>45717</v>
      </c>
      <c r="B484" s="40" t="s">
        <v>33</v>
      </c>
      <c r="C484" s="40" t="s">
        <v>34</v>
      </c>
      <c r="D484" s="41">
        <v>51.18</v>
      </c>
      <c r="E484" s="43"/>
      <c r="F484" s="42" t="s">
        <v>1</v>
      </c>
    </row>
    <row r="485" spans="1:6">
      <c r="A485" s="39">
        <v>45717</v>
      </c>
      <c r="B485" s="40" t="s">
        <v>26</v>
      </c>
      <c r="C485" s="40" t="s">
        <v>34</v>
      </c>
      <c r="D485" s="41">
        <v>5.93</v>
      </c>
      <c r="E485" s="43" t="str">
        <f>C485</f>
        <v>Intereses</v>
      </c>
      <c r="F485" s="42" t="s">
        <v>0</v>
      </c>
    </row>
    <row r="486" spans="1:6">
      <c r="A486" s="39">
        <f>A485</f>
        <v>45717</v>
      </c>
      <c r="B486" s="40" t="s">
        <v>22</v>
      </c>
      <c r="C486" s="40" t="s">
        <v>34</v>
      </c>
      <c r="D486" s="41">
        <v>0.69</v>
      </c>
      <c r="E486" s="43" t="str">
        <f>C486</f>
        <v>Intereses</v>
      </c>
      <c r="F486" s="42" t="s">
        <v>0</v>
      </c>
    </row>
    <row r="487" spans="1:6">
      <c r="A487" s="39">
        <f>A486</f>
        <v>45717</v>
      </c>
      <c r="B487" s="40" t="s">
        <v>25</v>
      </c>
      <c r="C487" s="40" t="s">
        <v>39</v>
      </c>
      <c r="D487" s="41">
        <v>800</v>
      </c>
      <c r="E487" s="43" t="s">
        <v>196</v>
      </c>
      <c r="F487" s="42" t="s">
        <v>0</v>
      </c>
    </row>
    <row r="488" spans="1:6">
      <c r="A488" s="39">
        <f>A487</f>
        <v>45717</v>
      </c>
      <c r="B488" s="40" t="s">
        <v>16</v>
      </c>
      <c r="C488" s="40" t="s">
        <v>36</v>
      </c>
      <c r="D488" s="41">
        <v>-120.2</v>
      </c>
      <c r="E488" s="43" t="s">
        <v>96</v>
      </c>
      <c r="F488" s="42" t="s">
        <v>38</v>
      </c>
    </row>
    <row r="489" spans="1:6">
      <c r="A489" s="39">
        <v>45718</v>
      </c>
      <c r="B489" s="40" t="s">
        <v>16</v>
      </c>
      <c r="C489" s="40" t="s">
        <v>52</v>
      </c>
      <c r="D489" s="41">
        <v>-7</v>
      </c>
      <c r="E489" s="43" t="s">
        <v>79</v>
      </c>
      <c r="F489" s="42" t="s">
        <v>0</v>
      </c>
    </row>
    <row r="490" spans="1:6">
      <c r="A490" s="39">
        <f>A489</f>
        <v>45718</v>
      </c>
      <c r="B490" s="40" t="s">
        <v>16</v>
      </c>
      <c r="C490" s="40" t="s">
        <v>58</v>
      </c>
      <c r="D490" s="41">
        <v>-67.7</v>
      </c>
      <c r="E490" s="43" t="s">
        <v>197</v>
      </c>
      <c r="F490" s="42" t="s">
        <v>38</v>
      </c>
    </row>
    <row r="491" spans="1:6">
      <c r="A491" s="39">
        <f>A490</f>
        <v>45718</v>
      </c>
      <c r="B491" s="40" t="s">
        <v>16</v>
      </c>
      <c r="C491" s="40" t="s">
        <v>58</v>
      </c>
      <c r="D491" s="41">
        <v>-20.88</v>
      </c>
      <c r="E491" s="43" t="s">
        <v>198</v>
      </c>
      <c r="F491" s="42" t="s">
        <v>38</v>
      </c>
    </row>
    <row r="492" spans="1:6">
      <c r="A492" s="39">
        <v>45719</v>
      </c>
      <c r="B492" s="40" t="s">
        <v>25</v>
      </c>
      <c r="C492" s="40" t="s">
        <v>43</v>
      </c>
      <c r="D492" s="41">
        <v>-60</v>
      </c>
      <c r="E492" s="43" t="s">
        <v>124</v>
      </c>
      <c r="F492" s="42" t="s">
        <v>38</v>
      </c>
    </row>
    <row r="493" spans="1:6">
      <c r="A493" s="39">
        <f>A492</f>
        <v>45719</v>
      </c>
      <c r="B493" s="40" t="s">
        <v>16</v>
      </c>
      <c r="C493" s="40" t="s">
        <v>41</v>
      </c>
      <c r="D493" s="41">
        <v>-1.3</v>
      </c>
      <c r="E493" s="43" t="s">
        <v>42</v>
      </c>
      <c r="F493" s="42" t="s">
        <v>0</v>
      </c>
    </row>
    <row r="494" spans="1:6">
      <c r="A494" s="39">
        <f>A493</f>
        <v>45719</v>
      </c>
      <c r="B494" s="40" t="s">
        <v>132</v>
      </c>
      <c r="C494" s="40" t="s">
        <v>46</v>
      </c>
      <c r="D494" s="41">
        <v>-7500</v>
      </c>
      <c r="E494" s="43" t="str">
        <f>C494</f>
        <v>Traspaso</v>
      </c>
      <c r="F494" s="42" t="s">
        <v>0</v>
      </c>
    </row>
    <row r="495" spans="1:6">
      <c r="A495" s="39">
        <f>A494</f>
        <v>45719</v>
      </c>
      <c r="B495" s="40" t="s">
        <v>26</v>
      </c>
      <c r="C495" s="40" t="s">
        <v>46</v>
      </c>
      <c r="D495" s="41">
        <v>7500</v>
      </c>
      <c r="E495" s="43" t="str">
        <f>C495</f>
        <v>Traspaso</v>
      </c>
      <c r="F495" s="42" t="s">
        <v>0</v>
      </c>
    </row>
    <row r="496" spans="1:6">
      <c r="A496" s="39">
        <v>45719</v>
      </c>
      <c r="B496" s="40" t="s">
        <v>32</v>
      </c>
      <c r="C496" s="40" t="s">
        <v>54</v>
      </c>
      <c r="D496" s="41">
        <v>-57.71</v>
      </c>
      <c r="E496" s="43" t="s">
        <v>55</v>
      </c>
      <c r="F496" s="42" t="s">
        <v>1</v>
      </c>
    </row>
    <row r="497" spans="1:6">
      <c r="A497" s="39">
        <f>A496</f>
        <v>45719</v>
      </c>
      <c r="B497" s="40" t="s">
        <v>31</v>
      </c>
      <c r="C497" s="40" t="s">
        <v>46</v>
      </c>
      <c r="D497" s="41">
        <v>-1000</v>
      </c>
      <c r="E497" s="43" t="str">
        <f>C497</f>
        <v>Traspaso</v>
      </c>
      <c r="F497" s="42" t="s">
        <v>1</v>
      </c>
    </row>
    <row r="498" spans="1:6">
      <c r="A498" s="39">
        <f>A497</f>
        <v>45719</v>
      </c>
      <c r="B498" s="40" t="s">
        <v>32</v>
      </c>
      <c r="C498" s="40" t="s">
        <v>46</v>
      </c>
      <c r="D498" s="41">
        <v>1000</v>
      </c>
      <c r="E498" s="43" t="str">
        <f>C498</f>
        <v>Traspaso</v>
      </c>
      <c r="F498" s="42" t="s">
        <v>1</v>
      </c>
    </row>
    <row r="499" spans="1:6">
      <c r="A499" s="39">
        <f>A498</f>
        <v>45719</v>
      </c>
      <c r="B499" s="40" t="s">
        <v>32</v>
      </c>
      <c r="C499" s="40" t="s">
        <v>92</v>
      </c>
      <c r="D499" s="41">
        <v>100</v>
      </c>
      <c r="E499" s="43" t="s">
        <v>199</v>
      </c>
      <c r="F499" s="42" t="s">
        <v>38</v>
      </c>
    </row>
    <row r="500" spans="1:6">
      <c r="A500" s="39">
        <f>A499</f>
        <v>45719</v>
      </c>
      <c r="B500" s="40" t="s">
        <v>24</v>
      </c>
      <c r="C500" s="40" t="s">
        <v>46</v>
      </c>
      <c r="D500" s="41">
        <v>-1253.57</v>
      </c>
      <c r="E500" s="43" t="str">
        <f>C500</f>
        <v>Traspaso</v>
      </c>
      <c r="F500" s="42" t="s">
        <v>0</v>
      </c>
    </row>
    <row r="501" spans="1:6">
      <c r="A501" s="39">
        <f>A500</f>
        <v>45719</v>
      </c>
      <c r="B501" s="40" t="s">
        <v>26</v>
      </c>
      <c r="C501" s="40" t="s">
        <v>46</v>
      </c>
      <c r="D501" s="41">
        <v>1253.57</v>
      </c>
      <c r="E501" s="43" t="str">
        <f>C501</f>
        <v>Traspaso</v>
      </c>
      <c r="F501" s="42" t="s">
        <v>0</v>
      </c>
    </row>
    <row r="502" spans="1:6">
      <c r="A502" s="39">
        <f>A501</f>
        <v>45719</v>
      </c>
      <c r="B502" s="40" t="s">
        <v>31</v>
      </c>
      <c r="C502" s="40" t="s">
        <v>46</v>
      </c>
      <c r="D502" s="41">
        <v>-300</v>
      </c>
      <c r="E502" s="43" t="str">
        <f>C502</f>
        <v>Traspaso</v>
      </c>
      <c r="F502" s="42" t="s">
        <v>1</v>
      </c>
    </row>
    <row r="503" spans="1:6">
      <c r="A503" s="39">
        <f>A502</f>
        <v>45719</v>
      </c>
      <c r="B503" s="40" t="s">
        <v>29</v>
      </c>
      <c r="C503" s="40" t="s">
        <v>46</v>
      </c>
      <c r="D503" s="41">
        <v>300</v>
      </c>
      <c r="E503" s="43" t="str">
        <f>C503</f>
        <v>Traspaso</v>
      </c>
      <c r="F503" s="42" t="s">
        <v>1</v>
      </c>
    </row>
    <row r="504" spans="1:6">
      <c r="A504" s="39">
        <f>A503</f>
        <v>45719</v>
      </c>
      <c r="B504" s="40" t="s">
        <v>19</v>
      </c>
      <c r="C504" s="40" t="s">
        <v>36</v>
      </c>
      <c r="D504" s="41">
        <v>-1.4</v>
      </c>
      <c r="E504" s="43" t="s">
        <v>84</v>
      </c>
      <c r="F504" s="42" t="s">
        <v>1</v>
      </c>
    </row>
    <row r="505" spans="1:6" ht="12.75" customHeight="1">
      <c r="A505" s="39">
        <f>A504</f>
        <v>45719</v>
      </c>
      <c r="B505" s="40" t="s">
        <v>29</v>
      </c>
      <c r="C505" s="40" t="s">
        <v>176</v>
      </c>
      <c r="D505" s="41">
        <v>-156</v>
      </c>
      <c r="E505" s="44" t="s">
        <v>200</v>
      </c>
      <c r="F505" s="42" t="s">
        <v>38</v>
      </c>
    </row>
    <row r="506" spans="1:6">
      <c r="A506" s="39">
        <f>A505</f>
        <v>45719</v>
      </c>
      <c r="B506" s="40" t="s">
        <v>132</v>
      </c>
      <c r="C506" s="40" t="s">
        <v>46</v>
      </c>
      <c r="D506" s="41">
        <v>-180</v>
      </c>
      <c r="E506" s="43" t="str">
        <f>C506</f>
        <v>Traspaso</v>
      </c>
      <c r="F506" s="42" t="s">
        <v>0</v>
      </c>
    </row>
    <row r="507" spans="1:6">
      <c r="A507" s="39">
        <f>A506</f>
        <v>45719</v>
      </c>
      <c r="B507" s="40" t="s">
        <v>10</v>
      </c>
      <c r="C507" s="40" t="s">
        <v>46</v>
      </c>
      <c r="D507" s="41">
        <v>180</v>
      </c>
      <c r="E507" s="43" t="str">
        <f>C507</f>
        <v>Traspaso</v>
      </c>
      <c r="F507" s="42" t="s">
        <v>0</v>
      </c>
    </row>
    <row r="508" spans="1:6">
      <c r="A508" s="39">
        <f>A507</f>
        <v>45719</v>
      </c>
      <c r="B508" s="40" t="s">
        <v>26</v>
      </c>
      <c r="C508" s="40" t="s">
        <v>46</v>
      </c>
      <c r="D508" s="41">
        <v>-1030</v>
      </c>
      <c r="E508" s="43" t="str">
        <f>C508</f>
        <v>Traspaso</v>
      </c>
      <c r="F508" s="42" t="s">
        <v>0</v>
      </c>
    </row>
    <row r="509" spans="1:6">
      <c r="A509" s="39">
        <f>A508</f>
        <v>45719</v>
      </c>
      <c r="B509" s="40" t="s">
        <v>13</v>
      </c>
      <c r="C509" s="40" t="s">
        <v>46</v>
      </c>
      <c r="D509" s="41">
        <v>1030</v>
      </c>
      <c r="E509" s="43" t="str">
        <f>C509</f>
        <v>Traspaso</v>
      </c>
      <c r="F509" s="42" t="s">
        <v>0</v>
      </c>
    </row>
    <row r="510" spans="1:6">
      <c r="A510" s="39">
        <v>45719</v>
      </c>
      <c r="B510" s="40" t="s">
        <v>33</v>
      </c>
      <c r="C510" s="40" t="s">
        <v>46</v>
      </c>
      <c r="D510" s="41">
        <v>-70</v>
      </c>
      <c r="E510" s="43"/>
      <c r="F510" s="42" t="s">
        <v>1</v>
      </c>
    </row>
    <row r="511" spans="1:6">
      <c r="A511" s="39">
        <v>45719</v>
      </c>
      <c r="B511" s="40" t="s">
        <v>201</v>
      </c>
      <c r="C511" s="40" t="s">
        <v>46</v>
      </c>
      <c r="D511" s="41">
        <v>70</v>
      </c>
      <c r="E511" s="43"/>
      <c r="F511" s="42" t="s">
        <v>1</v>
      </c>
    </row>
    <row r="512" spans="1:6">
      <c r="A512" s="39">
        <v>45720</v>
      </c>
      <c r="B512" s="40" t="s">
        <v>16</v>
      </c>
      <c r="C512" s="40" t="s">
        <v>41</v>
      </c>
      <c r="D512" s="41">
        <v>-1.3</v>
      </c>
      <c r="E512" s="43" t="s">
        <v>42</v>
      </c>
      <c r="F512" s="42" t="s">
        <v>0</v>
      </c>
    </row>
    <row r="513" spans="1:6">
      <c r="A513" s="39">
        <f>A512</f>
        <v>45720</v>
      </c>
      <c r="B513" s="40" t="s">
        <v>29</v>
      </c>
      <c r="C513" s="40" t="s">
        <v>176</v>
      </c>
      <c r="D513" s="41">
        <v>-54.6</v>
      </c>
      <c r="E513" s="43" t="s">
        <v>202</v>
      </c>
      <c r="F513" s="42" t="s">
        <v>38</v>
      </c>
    </row>
    <row r="514" spans="1:6">
      <c r="A514" s="39">
        <f>A513</f>
        <v>45720</v>
      </c>
      <c r="B514" s="40" t="s">
        <v>19</v>
      </c>
      <c r="C514" s="40" t="s">
        <v>36</v>
      </c>
      <c r="D514" s="41">
        <v>-2.2000000000000002</v>
      </c>
      <c r="E514" s="43" t="s">
        <v>84</v>
      </c>
      <c r="F514" s="42" t="s">
        <v>1</v>
      </c>
    </row>
    <row r="515" spans="1:6">
      <c r="A515" s="39">
        <v>45720</v>
      </c>
      <c r="B515" s="40" t="s">
        <v>16</v>
      </c>
      <c r="C515" s="40" t="s">
        <v>36</v>
      </c>
      <c r="D515" s="41">
        <v>-9.59</v>
      </c>
      <c r="E515" s="43" t="s">
        <v>203</v>
      </c>
      <c r="F515" s="42" t="s">
        <v>38</v>
      </c>
    </row>
    <row r="516" spans="1:6">
      <c r="A516" s="39">
        <v>45721</v>
      </c>
      <c r="B516" s="40" t="s">
        <v>25</v>
      </c>
      <c r="C516" s="40" t="s">
        <v>43</v>
      </c>
      <c r="D516" s="41">
        <v>-20</v>
      </c>
      <c r="E516" s="43" t="s">
        <v>204</v>
      </c>
      <c r="F516" s="42" t="s">
        <v>0</v>
      </c>
    </row>
    <row r="517" spans="1:6">
      <c r="A517" s="39">
        <f>A516</f>
        <v>45721</v>
      </c>
      <c r="B517" s="40" t="s">
        <v>16</v>
      </c>
      <c r="C517" s="40" t="s">
        <v>41</v>
      </c>
      <c r="D517" s="41">
        <v>-1.3</v>
      </c>
      <c r="E517" s="43" t="s">
        <v>42</v>
      </c>
      <c r="F517" s="42" t="s">
        <v>0</v>
      </c>
    </row>
    <row r="518" spans="1:6">
      <c r="A518" s="39">
        <f>A517</f>
        <v>45721</v>
      </c>
      <c r="B518" s="40" t="s">
        <v>32</v>
      </c>
      <c r="C518" s="40" t="s">
        <v>52</v>
      </c>
      <c r="D518" s="41">
        <v>-74</v>
      </c>
      <c r="E518" s="43" t="s">
        <v>205</v>
      </c>
      <c r="F518" s="42" t="s">
        <v>38</v>
      </c>
    </row>
    <row r="519" spans="1:6">
      <c r="A519" s="39">
        <f>A518</f>
        <v>45721</v>
      </c>
      <c r="B519" s="40" t="s">
        <v>32</v>
      </c>
      <c r="C519" s="40" t="s">
        <v>43</v>
      </c>
      <c r="D519" s="41">
        <v>-20</v>
      </c>
      <c r="E519" s="43" t="s">
        <v>206</v>
      </c>
      <c r="F519" s="42" t="s">
        <v>38</v>
      </c>
    </row>
    <row r="520" spans="1:6">
      <c r="A520" s="39">
        <v>45722</v>
      </c>
      <c r="B520" s="40" t="s">
        <v>16</v>
      </c>
      <c r="C520" s="40" t="s">
        <v>41</v>
      </c>
      <c r="D520" s="41">
        <v>-1.3</v>
      </c>
      <c r="E520" s="43" t="s">
        <v>42</v>
      </c>
      <c r="F520" s="42" t="s">
        <v>0</v>
      </c>
    </row>
    <row r="521" spans="1:6">
      <c r="A521" s="39">
        <f>A520</f>
        <v>45722</v>
      </c>
      <c r="B521" s="40" t="s">
        <v>132</v>
      </c>
      <c r="C521" s="40" t="s">
        <v>46</v>
      </c>
      <c r="D521" s="41">
        <v>-1320</v>
      </c>
      <c r="E521" s="43" t="str">
        <f>C521</f>
        <v>Traspaso</v>
      </c>
      <c r="F521" s="42" t="s">
        <v>0</v>
      </c>
    </row>
    <row r="522" spans="1:6">
      <c r="A522" s="39">
        <f>A521</f>
        <v>45722</v>
      </c>
      <c r="B522" s="40" t="s">
        <v>151</v>
      </c>
      <c r="C522" s="40" t="s">
        <v>46</v>
      </c>
      <c r="D522" s="41">
        <v>1320</v>
      </c>
      <c r="E522" s="43" t="str">
        <f>C522</f>
        <v>Traspaso</v>
      </c>
      <c r="F522" s="42" t="s">
        <v>0</v>
      </c>
    </row>
    <row r="523" spans="1:6">
      <c r="A523" s="39">
        <f>A522</f>
        <v>45722</v>
      </c>
      <c r="B523" s="40" t="s">
        <v>19</v>
      </c>
      <c r="C523" s="40" t="s">
        <v>36</v>
      </c>
      <c r="D523" s="41">
        <v>-1.4</v>
      </c>
      <c r="E523" s="43" t="s">
        <v>84</v>
      </c>
      <c r="F523" s="42" t="s">
        <v>1</v>
      </c>
    </row>
    <row r="524" spans="1:6">
      <c r="A524" s="39">
        <f>A523</f>
        <v>45722</v>
      </c>
      <c r="B524" s="40" t="s">
        <v>32</v>
      </c>
      <c r="C524" s="40" t="s">
        <v>47</v>
      </c>
      <c r="D524" s="41">
        <v>389.08</v>
      </c>
      <c r="E524" s="43" t="s">
        <v>207</v>
      </c>
      <c r="F524" s="42" t="s">
        <v>1</v>
      </c>
    </row>
    <row r="525" spans="1:6">
      <c r="A525" s="39">
        <v>45722</v>
      </c>
      <c r="B525" s="40" t="s">
        <v>25</v>
      </c>
      <c r="C525" s="40" t="s">
        <v>47</v>
      </c>
      <c r="D525" s="41">
        <v>-389.08</v>
      </c>
      <c r="E525" s="43" t="s">
        <v>118</v>
      </c>
      <c r="F525" s="42" t="s">
        <v>0</v>
      </c>
    </row>
    <row r="526" spans="1:6">
      <c r="A526" s="39">
        <v>45723</v>
      </c>
      <c r="B526" s="40" t="s">
        <v>28</v>
      </c>
      <c r="C526" s="40" t="s">
        <v>46</v>
      </c>
      <c r="D526" s="41">
        <v>-3000</v>
      </c>
      <c r="E526" s="43" t="str">
        <f>C526</f>
        <v>Traspaso</v>
      </c>
      <c r="F526" s="42" t="s">
        <v>1</v>
      </c>
    </row>
    <row r="527" spans="1:6">
      <c r="A527" s="39">
        <f>A526</f>
        <v>45723</v>
      </c>
      <c r="B527" s="40" t="s">
        <v>32</v>
      </c>
      <c r="C527" s="40" t="s">
        <v>46</v>
      </c>
      <c r="D527" s="41">
        <v>3000</v>
      </c>
      <c r="E527" s="43" t="str">
        <f>C527</f>
        <v>Traspaso</v>
      </c>
      <c r="F527" s="42" t="s">
        <v>1</v>
      </c>
    </row>
    <row r="528" spans="1:6">
      <c r="A528" s="39">
        <f>A527</f>
        <v>45723</v>
      </c>
      <c r="B528" s="40" t="s">
        <v>32</v>
      </c>
      <c r="C528" s="40" t="s">
        <v>44</v>
      </c>
      <c r="D528" s="41">
        <v>-4.5</v>
      </c>
      <c r="E528" s="43" t="s">
        <v>208</v>
      </c>
      <c r="F528" s="42" t="s">
        <v>1</v>
      </c>
    </row>
    <row r="529" spans="1:6">
      <c r="A529" s="39">
        <f>A528</f>
        <v>45723</v>
      </c>
      <c r="B529" s="40" t="s">
        <v>32</v>
      </c>
      <c r="C529" s="40" t="s">
        <v>46</v>
      </c>
      <c r="D529" s="41">
        <v>-3000</v>
      </c>
      <c r="E529" s="43" t="str">
        <f>C529</f>
        <v>Traspaso</v>
      </c>
      <c r="F529" s="42" t="s">
        <v>1</v>
      </c>
    </row>
    <row r="530" spans="1:6">
      <c r="A530" s="39">
        <f>A529</f>
        <v>45723</v>
      </c>
      <c r="B530" s="40" t="s">
        <v>33</v>
      </c>
      <c r="C530" s="40" t="s">
        <v>46</v>
      </c>
      <c r="D530" s="41">
        <v>3000</v>
      </c>
      <c r="E530" s="43" t="str">
        <f>C530</f>
        <v>Traspaso</v>
      </c>
      <c r="F530" s="42" t="s">
        <v>1</v>
      </c>
    </row>
    <row r="531" spans="1:6">
      <c r="A531" s="39">
        <f>A530</f>
        <v>45723</v>
      </c>
      <c r="B531" s="40" t="s">
        <v>132</v>
      </c>
      <c r="C531" s="40" t="s">
        <v>34</v>
      </c>
      <c r="D531" s="41">
        <v>1.79</v>
      </c>
      <c r="E531" s="43" t="str">
        <f>C531</f>
        <v>Intereses</v>
      </c>
      <c r="F531" s="42" t="s">
        <v>0</v>
      </c>
    </row>
    <row r="532" spans="1:6">
      <c r="A532" s="39">
        <f>A531</f>
        <v>45723</v>
      </c>
      <c r="B532" s="40" t="s">
        <v>19</v>
      </c>
      <c r="C532" s="40" t="s">
        <v>36</v>
      </c>
      <c r="D532" s="41">
        <v>-5.5</v>
      </c>
      <c r="E532" s="43" t="s">
        <v>84</v>
      </c>
      <c r="F532" s="42" t="s">
        <v>1</v>
      </c>
    </row>
    <row r="533" spans="1:6">
      <c r="A533" s="39">
        <f>A532</f>
        <v>45723</v>
      </c>
      <c r="B533" s="40" t="s">
        <v>16</v>
      </c>
      <c r="C533" s="40" t="s">
        <v>52</v>
      </c>
      <c r="D533" s="41">
        <v>-7.5</v>
      </c>
      <c r="E533" s="43" t="s">
        <v>79</v>
      </c>
      <c r="F533" s="42" t="s">
        <v>0</v>
      </c>
    </row>
    <row r="534" spans="1:6">
      <c r="A534" s="39">
        <v>45723</v>
      </c>
      <c r="B534" s="40" t="s">
        <v>26</v>
      </c>
      <c r="C534" s="40" t="s">
        <v>34</v>
      </c>
      <c r="D534" s="41">
        <v>52.54</v>
      </c>
      <c r="E534" s="43" t="s">
        <v>209</v>
      </c>
      <c r="F534" s="42" t="s">
        <v>0</v>
      </c>
    </row>
    <row r="535" spans="1:6">
      <c r="A535" s="39">
        <v>45723</v>
      </c>
      <c r="B535" s="40" t="s">
        <v>29</v>
      </c>
      <c r="C535" s="40" t="s">
        <v>41</v>
      </c>
      <c r="D535" s="41">
        <v>-144</v>
      </c>
      <c r="E535" s="43" t="s">
        <v>210</v>
      </c>
      <c r="F535" s="42" t="s">
        <v>38</v>
      </c>
    </row>
    <row r="536" spans="1:6">
      <c r="A536" s="39">
        <v>45724</v>
      </c>
      <c r="B536" s="40" t="s">
        <v>16</v>
      </c>
      <c r="C536" s="40" t="s">
        <v>36</v>
      </c>
      <c r="D536" s="41">
        <v>-85.18</v>
      </c>
      <c r="E536" s="43" t="s">
        <v>37</v>
      </c>
      <c r="F536" s="42" t="s">
        <v>38</v>
      </c>
    </row>
    <row r="537" spans="1:6">
      <c r="A537" s="39">
        <f>A536</f>
        <v>45724</v>
      </c>
      <c r="B537" s="40" t="s">
        <v>24</v>
      </c>
      <c r="C537" s="40" t="s">
        <v>58</v>
      </c>
      <c r="D537" s="41">
        <v>-870</v>
      </c>
      <c r="E537" s="44" t="s">
        <v>211</v>
      </c>
      <c r="F537" s="42" t="s">
        <v>0</v>
      </c>
    </row>
    <row r="538" spans="1:6">
      <c r="A538" s="39">
        <v>45725</v>
      </c>
      <c r="B538" s="40" t="s">
        <v>16</v>
      </c>
      <c r="C538" s="40" t="s">
        <v>54</v>
      </c>
      <c r="D538" s="41">
        <v>-2.86</v>
      </c>
      <c r="E538" s="43" t="s">
        <v>212</v>
      </c>
      <c r="F538" s="42" t="s">
        <v>0</v>
      </c>
    </row>
    <row r="539" spans="1:6">
      <c r="A539" s="39">
        <v>45726</v>
      </c>
      <c r="B539" s="40" t="s">
        <v>16</v>
      </c>
      <c r="C539" s="40" t="s">
        <v>41</v>
      </c>
      <c r="D539" s="41">
        <v>-1.3</v>
      </c>
      <c r="E539" s="43" t="s">
        <v>42</v>
      </c>
      <c r="F539" s="42" t="s">
        <v>0</v>
      </c>
    </row>
    <row r="540" spans="1:6">
      <c r="A540" s="39">
        <v>45726</v>
      </c>
      <c r="B540" s="40" t="s">
        <v>29</v>
      </c>
      <c r="C540" s="40" t="s">
        <v>92</v>
      </c>
      <c r="D540" s="41">
        <v>7.5</v>
      </c>
      <c r="E540" s="43" t="s">
        <v>213</v>
      </c>
      <c r="F540" s="42" t="s">
        <v>1</v>
      </c>
    </row>
    <row r="541" spans="1:6">
      <c r="A541" s="39">
        <f>A539</f>
        <v>45726</v>
      </c>
      <c r="B541" s="40" t="s">
        <v>32</v>
      </c>
      <c r="C541" s="40" t="s">
        <v>60</v>
      </c>
      <c r="D541" s="41">
        <v>-21</v>
      </c>
      <c r="E541" s="43" t="s">
        <v>68</v>
      </c>
      <c r="F541" s="42" t="s">
        <v>1</v>
      </c>
    </row>
    <row r="542" spans="1:6">
      <c r="A542" s="39">
        <f>A541</f>
        <v>45726</v>
      </c>
      <c r="B542" s="40" t="s">
        <v>19</v>
      </c>
      <c r="C542" s="40" t="s">
        <v>36</v>
      </c>
      <c r="D542" s="41">
        <v>-1.6</v>
      </c>
      <c r="E542" s="43" t="s">
        <v>84</v>
      </c>
      <c r="F542" s="42" t="s">
        <v>1</v>
      </c>
    </row>
    <row r="543" spans="1:6">
      <c r="A543" s="39">
        <f>A542</f>
        <v>45726</v>
      </c>
      <c r="B543" s="40" t="s">
        <v>19</v>
      </c>
      <c r="C543" s="40" t="s">
        <v>36</v>
      </c>
      <c r="D543" s="41">
        <v>-2.29</v>
      </c>
      <c r="E543" s="43" t="s">
        <v>69</v>
      </c>
      <c r="F543" s="42" t="s">
        <v>38</v>
      </c>
    </row>
    <row r="544" spans="1:6">
      <c r="A544" s="39">
        <f>A543</f>
        <v>45726</v>
      </c>
      <c r="B544" s="40" t="s">
        <v>32</v>
      </c>
      <c r="C544" s="40" t="s">
        <v>119</v>
      </c>
      <c r="D544" s="41">
        <v>-38.71</v>
      </c>
      <c r="E544" s="43" t="s">
        <v>194</v>
      </c>
      <c r="F544" s="42" t="s">
        <v>1</v>
      </c>
    </row>
    <row r="545" spans="1:6">
      <c r="A545" s="39">
        <f>A544</f>
        <v>45726</v>
      </c>
      <c r="B545" s="40" t="s">
        <v>32</v>
      </c>
      <c r="C545" s="40" t="s">
        <v>76</v>
      </c>
      <c r="D545" s="41">
        <v>-19</v>
      </c>
      <c r="E545" s="43" t="s">
        <v>214</v>
      </c>
      <c r="F545" s="42" t="s">
        <v>1</v>
      </c>
    </row>
    <row r="546" spans="1:6">
      <c r="A546" s="39">
        <v>45727</v>
      </c>
      <c r="B546" s="40" t="s">
        <v>16</v>
      </c>
      <c r="C546" s="40" t="s">
        <v>41</v>
      </c>
      <c r="D546" s="41">
        <v>-1.3</v>
      </c>
      <c r="E546" s="43" t="s">
        <v>42</v>
      </c>
      <c r="F546" s="42" t="s">
        <v>0</v>
      </c>
    </row>
    <row r="547" spans="1:6">
      <c r="A547" s="39">
        <f>A546</f>
        <v>45727</v>
      </c>
      <c r="B547" s="40" t="s">
        <v>17</v>
      </c>
      <c r="C547" s="40" t="s">
        <v>36</v>
      </c>
      <c r="D547" s="41">
        <v>-5.5</v>
      </c>
      <c r="E547" s="43" t="s">
        <v>84</v>
      </c>
      <c r="F547" s="42" t="s">
        <v>1</v>
      </c>
    </row>
    <row r="548" spans="1:6">
      <c r="A548" s="39">
        <f>A547</f>
        <v>45727</v>
      </c>
      <c r="B548" s="40" t="s">
        <v>17</v>
      </c>
      <c r="C548" s="40" t="s">
        <v>105</v>
      </c>
      <c r="D548" s="41">
        <v>-108.5</v>
      </c>
      <c r="E548" s="43" t="str">
        <f>C548</f>
        <v>Peluquería</v>
      </c>
      <c r="F548" s="42" t="s">
        <v>1</v>
      </c>
    </row>
    <row r="549" spans="1:6">
      <c r="A549" s="39">
        <v>45728</v>
      </c>
      <c r="B549" s="40" t="s">
        <v>16</v>
      </c>
      <c r="C549" s="40" t="s">
        <v>41</v>
      </c>
      <c r="D549" s="41">
        <v>-1.3</v>
      </c>
      <c r="E549" s="43" t="s">
        <v>42</v>
      </c>
      <c r="F549" s="42" t="s">
        <v>0</v>
      </c>
    </row>
    <row r="550" spans="1:6">
      <c r="A550" s="39">
        <f>A549</f>
        <v>45728</v>
      </c>
      <c r="B550" s="40" t="s">
        <v>19</v>
      </c>
      <c r="C550" s="40" t="s">
        <v>76</v>
      </c>
      <c r="D550" s="41">
        <v>-5</v>
      </c>
      <c r="E550" s="43" t="s">
        <v>215</v>
      </c>
      <c r="F550" s="42" t="s">
        <v>1</v>
      </c>
    </row>
    <row r="551" spans="1:6">
      <c r="A551" s="39">
        <f>A550</f>
        <v>45728</v>
      </c>
      <c r="B551" s="40" t="s">
        <v>19</v>
      </c>
      <c r="C551" s="40" t="s">
        <v>36</v>
      </c>
      <c r="D551" s="41">
        <v>-1.6</v>
      </c>
      <c r="E551" s="43" t="s">
        <v>84</v>
      </c>
      <c r="F551" s="42" t="s">
        <v>1</v>
      </c>
    </row>
    <row r="552" spans="1:6">
      <c r="A552" s="39">
        <f>A551</f>
        <v>45728</v>
      </c>
      <c r="B552" s="40" t="s">
        <v>32</v>
      </c>
      <c r="C552" s="40" t="s">
        <v>81</v>
      </c>
      <c r="D552" s="41">
        <v>-35</v>
      </c>
      <c r="E552" s="43" t="s">
        <v>82</v>
      </c>
      <c r="F552" s="42" t="s">
        <v>38</v>
      </c>
    </row>
    <row r="553" spans="1:6">
      <c r="A553" s="39">
        <v>45728</v>
      </c>
      <c r="B553" s="40" t="s">
        <v>16</v>
      </c>
      <c r="C553" s="40" t="s">
        <v>41</v>
      </c>
      <c r="D553" s="41">
        <v>-18.3</v>
      </c>
      <c r="E553" s="43" t="s">
        <v>216</v>
      </c>
      <c r="F553" s="42" t="s">
        <v>38</v>
      </c>
    </row>
    <row r="554" spans="1:6">
      <c r="A554" s="39">
        <v>45728</v>
      </c>
      <c r="B554" s="40" t="s">
        <v>17</v>
      </c>
      <c r="C554" s="40" t="s">
        <v>36</v>
      </c>
      <c r="D554" s="41">
        <v>-13.5</v>
      </c>
      <c r="E554" s="43" t="s">
        <v>217</v>
      </c>
      <c r="F554" s="42" t="s">
        <v>38</v>
      </c>
    </row>
    <row r="555" spans="1:6">
      <c r="A555" s="39">
        <v>45729</v>
      </c>
      <c r="B555" s="40" t="s">
        <v>16</v>
      </c>
      <c r="C555" s="40" t="s">
        <v>58</v>
      </c>
      <c r="D555" s="41">
        <v>-29.09</v>
      </c>
      <c r="E555" s="43" t="s">
        <v>218</v>
      </c>
      <c r="F555" s="42" t="s">
        <v>38</v>
      </c>
    </row>
    <row r="556" spans="1:6">
      <c r="A556" s="39">
        <f>A555</f>
        <v>45729</v>
      </c>
      <c r="B556" s="40" t="s">
        <v>19</v>
      </c>
      <c r="C556" s="40" t="s">
        <v>36</v>
      </c>
      <c r="D556" s="41">
        <v>-2.2000000000000002</v>
      </c>
      <c r="E556" s="43" t="s">
        <v>84</v>
      </c>
      <c r="F556" s="42" t="s">
        <v>1</v>
      </c>
    </row>
    <row r="557" spans="1:6">
      <c r="A557" s="39">
        <f>A556</f>
        <v>45729</v>
      </c>
      <c r="B557" s="40" t="s">
        <v>19</v>
      </c>
      <c r="C557" s="40" t="s">
        <v>36</v>
      </c>
      <c r="D557" s="41">
        <v>-4</v>
      </c>
      <c r="E557" s="43" t="s">
        <v>69</v>
      </c>
      <c r="F557" s="42" t="s">
        <v>38</v>
      </c>
    </row>
    <row r="558" spans="1:6">
      <c r="A558" s="39">
        <v>45729</v>
      </c>
      <c r="B558" s="40" t="s">
        <v>26</v>
      </c>
      <c r="C558" s="40" t="s">
        <v>34</v>
      </c>
      <c r="D558" s="41">
        <v>0.32</v>
      </c>
      <c r="E558" s="43" t="s">
        <v>219</v>
      </c>
      <c r="F558" s="42" t="s">
        <v>0</v>
      </c>
    </row>
    <row r="559" spans="1:6">
      <c r="A559" s="39">
        <f>A557</f>
        <v>45729</v>
      </c>
      <c r="B559" s="40" t="s">
        <v>16</v>
      </c>
      <c r="C559" s="40" t="s">
        <v>36</v>
      </c>
      <c r="D559" s="41">
        <v>-8.0500000000000007</v>
      </c>
      <c r="E559" s="43" t="s">
        <v>37</v>
      </c>
      <c r="F559" s="42" t="s">
        <v>38</v>
      </c>
    </row>
    <row r="560" spans="1:6">
      <c r="A560" s="39">
        <v>45730</v>
      </c>
      <c r="B560" s="40" t="s">
        <v>29</v>
      </c>
      <c r="C560" s="40" t="s">
        <v>41</v>
      </c>
      <c r="D560" s="41">
        <v>-20</v>
      </c>
      <c r="E560" s="43" t="s">
        <v>220</v>
      </c>
      <c r="F560" s="42" t="s">
        <v>38</v>
      </c>
    </row>
    <row r="561" spans="1:6">
      <c r="A561" s="39">
        <v>45730</v>
      </c>
      <c r="B561" s="40" t="s">
        <v>16</v>
      </c>
      <c r="C561" s="40" t="s">
        <v>52</v>
      </c>
      <c r="D561" s="41">
        <v>-5</v>
      </c>
      <c r="E561" s="43" t="s">
        <v>79</v>
      </c>
      <c r="F561" s="42" t="s">
        <v>0</v>
      </c>
    </row>
    <row r="562" spans="1:6">
      <c r="A562" s="39">
        <f>A561</f>
        <v>45730</v>
      </c>
      <c r="B562" s="40" t="s">
        <v>17</v>
      </c>
      <c r="C562" s="40" t="s">
        <v>36</v>
      </c>
      <c r="D562" s="41">
        <v>-7.5</v>
      </c>
      <c r="E562" s="43" t="s">
        <v>84</v>
      </c>
      <c r="F562" s="42" t="s">
        <v>1</v>
      </c>
    </row>
    <row r="563" spans="1:6">
      <c r="A563" s="39">
        <v>45730</v>
      </c>
      <c r="B563" s="40" t="s">
        <v>16</v>
      </c>
      <c r="C563" s="40" t="s">
        <v>36</v>
      </c>
      <c r="D563" s="41">
        <v>-70.819999999999993</v>
      </c>
      <c r="E563" s="43" t="s">
        <v>37</v>
      </c>
      <c r="F563" s="42" t="s">
        <v>38</v>
      </c>
    </row>
    <row r="564" spans="1:6">
      <c r="A564" s="39">
        <v>45730</v>
      </c>
      <c r="B564" s="40" t="s">
        <v>31</v>
      </c>
      <c r="C564" s="40" t="s">
        <v>34</v>
      </c>
      <c r="D564" s="41">
        <v>52.84</v>
      </c>
      <c r="E564" s="43" t="s">
        <v>49</v>
      </c>
      <c r="F564" s="42" t="s">
        <v>1</v>
      </c>
    </row>
    <row r="565" spans="1:6">
      <c r="A565" s="39">
        <v>45731</v>
      </c>
      <c r="B565" s="40" t="s">
        <v>16</v>
      </c>
      <c r="C565" s="40" t="s">
        <v>41</v>
      </c>
      <c r="D565" s="41">
        <v>-55.9</v>
      </c>
      <c r="E565" s="43" t="s">
        <v>221</v>
      </c>
      <c r="F565" s="42" t="s">
        <v>38</v>
      </c>
    </row>
    <row r="566" spans="1:6">
      <c r="A566" s="39">
        <v>45731</v>
      </c>
      <c r="B566" s="40" t="s">
        <v>19</v>
      </c>
      <c r="C566" s="40" t="s">
        <v>44</v>
      </c>
      <c r="D566" s="41">
        <v>-10</v>
      </c>
      <c r="E566" s="43" t="s">
        <v>222</v>
      </c>
      <c r="F566" s="42" t="s">
        <v>38</v>
      </c>
    </row>
    <row r="567" spans="1:6">
      <c r="A567" s="39">
        <v>45731</v>
      </c>
      <c r="B567" s="40" t="s">
        <v>17</v>
      </c>
      <c r="C567" s="40" t="s">
        <v>41</v>
      </c>
      <c r="D567" s="41">
        <v>-13</v>
      </c>
      <c r="E567" s="43" t="s">
        <v>223</v>
      </c>
      <c r="F567" s="42" t="s">
        <v>38</v>
      </c>
    </row>
    <row r="568" spans="1:6">
      <c r="A568" s="39">
        <v>45733</v>
      </c>
      <c r="B568" s="40" t="s">
        <v>16</v>
      </c>
      <c r="C568" s="40" t="s">
        <v>41</v>
      </c>
      <c r="D568" s="41">
        <v>-1.3</v>
      </c>
      <c r="E568" s="43" t="s">
        <v>42</v>
      </c>
      <c r="F568" s="42" t="s">
        <v>0</v>
      </c>
    </row>
    <row r="569" spans="1:6">
      <c r="A569" s="39">
        <f>A568</f>
        <v>45733</v>
      </c>
      <c r="B569" s="40" t="s">
        <v>26</v>
      </c>
      <c r="C569" s="40" t="s">
        <v>34</v>
      </c>
      <c r="D569" s="41">
        <v>0.17</v>
      </c>
      <c r="E569" s="43" t="s">
        <v>224</v>
      </c>
      <c r="F569" s="42" t="s">
        <v>0</v>
      </c>
    </row>
    <row r="570" spans="1:6">
      <c r="A570" s="39">
        <f>A569</f>
        <v>45733</v>
      </c>
      <c r="B570" s="40" t="s">
        <v>26</v>
      </c>
      <c r="C570" s="40" t="s">
        <v>46</v>
      </c>
      <c r="D570" s="41">
        <v>-1000.3</v>
      </c>
      <c r="E570" s="43" t="str">
        <f>C570</f>
        <v>Traspaso</v>
      </c>
      <c r="F570" s="42" t="s">
        <v>0</v>
      </c>
    </row>
    <row r="571" spans="1:6">
      <c r="A571" s="39">
        <f>A570</f>
        <v>45733</v>
      </c>
      <c r="B571" s="46" t="s">
        <v>13</v>
      </c>
      <c r="C571" s="40" t="s">
        <v>46</v>
      </c>
      <c r="D571" s="41">
        <v>1000.3</v>
      </c>
      <c r="E571" s="43" t="str">
        <f>C571</f>
        <v>Traspaso</v>
      </c>
      <c r="F571" s="42" t="s">
        <v>0</v>
      </c>
    </row>
    <row r="572" spans="1:6">
      <c r="A572" s="39">
        <f>A571</f>
        <v>45733</v>
      </c>
      <c r="B572" s="40" t="s">
        <v>26</v>
      </c>
      <c r="C572" s="40" t="s">
        <v>46</v>
      </c>
      <c r="D572" s="41">
        <v>-2100</v>
      </c>
      <c r="E572" s="43" t="str">
        <f>C572</f>
        <v>Traspaso</v>
      </c>
      <c r="F572" s="42" t="s">
        <v>0</v>
      </c>
    </row>
    <row r="573" spans="1:6">
      <c r="A573" s="39">
        <f>A572</f>
        <v>45733</v>
      </c>
      <c r="B573" s="46" t="s">
        <v>13</v>
      </c>
      <c r="C573" s="40" t="s">
        <v>46</v>
      </c>
      <c r="D573" s="41">
        <v>2100</v>
      </c>
      <c r="E573" s="43" t="str">
        <f>C573</f>
        <v>Traspaso</v>
      </c>
      <c r="F573" s="42" t="s">
        <v>0</v>
      </c>
    </row>
    <row r="574" spans="1:6">
      <c r="A574" s="39">
        <v>45733</v>
      </c>
      <c r="B574" s="40" t="s">
        <v>16</v>
      </c>
      <c r="C574" s="40" t="s">
        <v>52</v>
      </c>
      <c r="D574" s="41">
        <v>-1.75</v>
      </c>
      <c r="E574" s="43" t="s">
        <v>225</v>
      </c>
      <c r="F574" s="42" t="s">
        <v>0</v>
      </c>
    </row>
    <row r="575" spans="1:6">
      <c r="A575" s="39">
        <f>A574</f>
        <v>45733</v>
      </c>
      <c r="B575" s="40" t="s">
        <v>132</v>
      </c>
      <c r="C575" s="40" t="s">
        <v>34</v>
      </c>
      <c r="D575" s="41">
        <v>0.23</v>
      </c>
      <c r="E575" s="43" t="s">
        <v>209</v>
      </c>
      <c r="F575" s="42" t="s">
        <v>0</v>
      </c>
    </row>
    <row r="576" spans="1:6">
      <c r="A576" s="39">
        <f>A575</f>
        <v>45733</v>
      </c>
      <c r="B576" s="40" t="s">
        <v>24</v>
      </c>
      <c r="C576" s="40" t="s">
        <v>34</v>
      </c>
      <c r="D576" s="41">
        <v>1.64</v>
      </c>
      <c r="E576" s="43" t="str">
        <f>C576</f>
        <v>Intereses</v>
      </c>
      <c r="F576" s="42" t="s">
        <v>0</v>
      </c>
    </row>
    <row r="577" spans="1:6">
      <c r="A577" s="39">
        <v>45733</v>
      </c>
      <c r="B577" s="40" t="s">
        <v>32</v>
      </c>
      <c r="C577" s="40" t="s">
        <v>46</v>
      </c>
      <c r="D577" s="41">
        <v>-500</v>
      </c>
      <c r="E577" s="43"/>
      <c r="F577" s="42" t="s">
        <v>1</v>
      </c>
    </row>
    <row r="578" spans="1:6">
      <c r="A578" s="39">
        <v>45733</v>
      </c>
      <c r="B578" s="40" t="s">
        <v>29</v>
      </c>
      <c r="C578" s="40" t="s">
        <v>46</v>
      </c>
      <c r="D578" s="41">
        <v>500</v>
      </c>
      <c r="E578" s="43"/>
      <c r="F578" s="42" t="s">
        <v>1</v>
      </c>
    </row>
    <row r="579" spans="1:6">
      <c r="A579" s="39">
        <v>45733</v>
      </c>
      <c r="B579" s="40" t="s">
        <v>32</v>
      </c>
      <c r="C579" s="40" t="s">
        <v>44</v>
      </c>
      <c r="D579" s="41">
        <v>-10.48</v>
      </c>
      <c r="E579" s="43" t="s">
        <v>80</v>
      </c>
      <c r="F579" s="42" t="s">
        <v>1</v>
      </c>
    </row>
    <row r="580" spans="1:6">
      <c r="A580" s="39">
        <v>45733</v>
      </c>
      <c r="B580" s="40" t="s">
        <v>29</v>
      </c>
      <c r="C580" s="40" t="s">
        <v>41</v>
      </c>
      <c r="D580" s="41">
        <v>-78</v>
      </c>
      <c r="E580" s="43" t="s">
        <v>226</v>
      </c>
      <c r="F580" s="42" t="s">
        <v>38</v>
      </c>
    </row>
    <row r="581" spans="1:6">
      <c r="A581" s="39">
        <v>45734</v>
      </c>
      <c r="B581" s="40" t="s">
        <v>19</v>
      </c>
      <c r="C581" s="40" t="s">
        <v>36</v>
      </c>
      <c r="D581" s="41">
        <v>-1.6</v>
      </c>
      <c r="E581" s="43" t="s">
        <v>84</v>
      </c>
      <c r="F581" s="42" t="s">
        <v>1</v>
      </c>
    </row>
    <row r="582" spans="1:6">
      <c r="A582" s="39">
        <f>A581</f>
        <v>45734</v>
      </c>
      <c r="B582" s="40" t="s">
        <v>26</v>
      </c>
      <c r="C582" s="40" t="s">
        <v>34</v>
      </c>
      <c r="D582" s="41">
        <v>0.65</v>
      </c>
      <c r="E582" s="43" t="s">
        <v>227</v>
      </c>
      <c r="F582" s="42" t="s">
        <v>0</v>
      </c>
    </row>
    <row r="583" spans="1:6">
      <c r="A583" s="39">
        <f>A582</f>
        <v>45734</v>
      </c>
      <c r="B583" s="40" t="s">
        <v>16</v>
      </c>
      <c r="C583" s="40" t="s">
        <v>73</v>
      </c>
      <c r="D583" s="41">
        <v>-79</v>
      </c>
      <c r="E583" s="43" t="s">
        <v>85</v>
      </c>
      <c r="F583" s="42" t="s">
        <v>38</v>
      </c>
    </row>
    <row r="584" spans="1:6">
      <c r="A584" s="39">
        <v>45735</v>
      </c>
      <c r="B584" s="40" t="s">
        <v>25</v>
      </c>
      <c r="C584" s="40" t="s">
        <v>44</v>
      </c>
      <c r="D584" s="41">
        <v>-141.82</v>
      </c>
      <c r="E584" s="43" t="s">
        <v>228</v>
      </c>
      <c r="F584" s="42" t="s">
        <v>0</v>
      </c>
    </row>
    <row r="585" spans="1:6">
      <c r="A585" s="39">
        <f>A584</f>
        <v>45735</v>
      </c>
      <c r="B585" s="40" t="s">
        <v>132</v>
      </c>
      <c r="C585" s="40" t="s">
        <v>46</v>
      </c>
      <c r="D585" s="41">
        <v>-125</v>
      </c>
      <c r="E585" s="43" t="str">
        <f>C585</f>
        <v>Traspaso</v>
      </c>
      <c r="F585" s="42" t="s">
        <v>0</v>
      </c>
    </row>
    <row r="586" spans="1:6">
      <c r="A586" s="39">
        <f>A585</f>
        <v>45735</v>
      </c>
      <c r="B586" s="40" t="s">
        <v>10</v>
      </c>
      <c r="C586" s="40" t="s">
        <v>46</v>
      </c>
      <c r="D586" s="41">
        <v>125</v>
      </c>
      <c r="E586" s="43" t="str">
        <f>C586</f>
        <v>Traspaso</v>
      </c>
      <c r="F586" s="42" t="s">
        <v>0</v>
      </c>
    </row>
    <row r="587" spans="1:6">
      <c r="A587" s="39">
        <f>A586</f>
        <v>45735</v>
      </c>
      <c r="B587" s="40" t="s">
        <v>17</v>
      </c>
      <c r="C587" s="40" t="s">
        <v>73</v>
      </c>
      <c r="D587" s="41">
        <v>-56</v>
      </c>
      <c r="E587" s="43" t="s">
        <v>107</v>
      </c>
      <c r="F587" s="42" t="s">
        <v>38</v>
      </c>
    </row>
    <row r="588" spans="1:6">
      <c r="A588" s="39">
        <v>45736</v>
      </c>
      <c r="B588" s="40" t="s">
        <v>19</v>
      </c>
      <c r="C588" s="40" t="s">
        <v>36</v>
      </c>
      <c r="D588" s="41">
        <v>-2</v>
      </c>
      <c r="E588" s="43" t="s">
        <v>84</v>
      </c>
      <c r="F588" s="42" t="s">
        <v>1</v>
      </c>
    </row>
    <row r="589" spans="1:6">
      <c r="A589" s="39">
        <f>A588</f>
        <v>45736</v>
      </c>
      <c r="B589" s="40" t="s">
        <v>132</v>
      </c>
      <c r="C589" s="40" t="s">
        <v>76</v>
      </c>
      <c r="D589" s="41">
        <v>-20.329999999999998</v>
      </c>
      <c r="E589" s="43" t="s">
        <v>229</v>
      </c>
      <c r="F589" s="42" t="s">
        <v>0</v>
      </c>
    </row>
    <row r="590" spans="1:6">
      <c r="A590" s="39">
        <f>A589</f>
        <v>45736</v>
      </c>
      <c r="B590" s="40" t="s">
        <v>125</v>
      </c>
      <c r="C590" s="40" t="s">
        <v>46</v>
      </c>
      <c r="D590" s="41">
        <v>-529.64</v>
      </c>
      <c r="E590" s="43" t="str">
        <f>C590</f>
        <v>Traspaso</v>
      </c>
      <c r="F590" s="42" t="s">
        <v>0</v>
      </c>
    </row>
    <row r="591" spans="1:6">
      <c r="A591" s="39">
        <f>A590</f>
        <v>45736</v>
      </c>
      <c r="B591" s="40" t="s">
        <v>109</v>
      </c>
      <c r="C591" s="40" t="s">
        <v>46</v>
      </c>
      <c r="D591" s="41">
        <v>529.64</v>
      </c>
      <c r="E591" s="43" t="str">
        <f>C591</f>
        <v>Traspaso</v>
      </c>
      <c r="F591" s="42" t="s">
        <v>0</v>
      </c>
    </row>
    <row r="592" spans="1:6">
      <c r="A592" s="39">
        <v>45737</v>
      </c>
      <c r="B592" s="40" t="s">
        <v>19</v>
      </c>
      <c r="C592" s="40" t="s">
        <v>36</v>
      </c>
      <c r="D592" s="41">
        <v>-0.6</v>
      </c>
      <c r="E592" s="43" t="s">
        <v>70</v>
      </c>
      <c r="F592" s="42" t="s">
        <v>1</v>
      </c>
    </row>
    <row r="593" spans="1:6">
      <c r="A593" s="39">
        <f>A592</f>
        <v>45737</v>
      </c>
      <c r="B593" s="40" t="s">
        <v>17</v>
      </c>
      <c r="C593" s="40" t="s">
        <v>36</v>
      </c>
      <c r="D593" s="41">
        <v>-5.5</v>
      </c>
      <c r="E593" s="43" t="s">
        <v>84</v>
      </c>
      <c r="F593" s="42" t="s">
        <v>1</v>
      </c>
    </row>
    <row r="594" spans="1:6">
      <c r="A594" s="39">
        <f>A593</f>
        <v>45737</v>
      </c>
      <c r="B594" s="40" t="s">
        <v>16</v>
      </c>
      <c r="C594" s="40" t="s">
        <v>36</v>
      </c>
      <c r="D594" s="41">
        <v>-7.66</v>
      </c>
      <c r="E594" s="43" t="s">
        <v>230</v>
      </c>
      <c r="F594" s="42" t="s">
        <v>38</v>
      </c>
    </row>
    <row r="595" spans="1:6">
      <c r="A595" s="39">
        <f>A594</f>
        <v>45737</v>
      </c>
      <c r="B595" s="40" t="s">
        <v>16</v>
      </c>
      <c r="C595" s="40" t="s">
        <v>52</v>
      </c>
      <c r="D595" s="41">
        <v>-7.5</v>
      </c>
      <c r="E595" s="43" t="s">
        <v>79</v>
      </c>
      <c r="F595" s="42" t="s">
        <v>0</v>
      </c>
    </row>
    <row r="596" spans="1:6">
      <c r="A596" s="39">
        <v>45737</v>
      </c>
      <c r="B596" s="40" t="s">
        <v>17</v>
      </c>
      <c r="C596" s="40" t="s">
        <v>36</v>
      </c>
      <c r="D596" s="41">
        <v>-6.02</v>
      </c>
      <c r="E596" s="43" t="s">
        <v>143</v>
      </c>
      <c r="F596" s="42" t="s">
        <v>38</v>
      </c>
    </row>
    <row r="597" spans="1:6">
      <c r="A597" s="39">
        <v>45738</v>
      </c>
      <c r="B597" s="40" t="s">
        <v>132</v>
      </c>
      <c r="C597" s="40" t="s">
        <v>44</v>
      </c>
      <c r="D597" s="41">
        <v>-37.380000000000003</v>
      </c>
      <c r="E597" s="43" t="s">
        <v>231</v>
      </c>
      <c r="F597" s="42" t="s">
        <v>0</v>
      </c>
    </row>
    <row r="598" spans="1:6">
      <c r="A598" s="39">
        <f>A597</f>
        <v>45738</v>
      </c>
      <c r="B598" s="40" t="s">
        <v>16</v>
      </c>
      <c r="C598" s="40" t="s">
        <v>36</v>
      </c>
      <c r="D598" s="41">
        <v>-99.45</v>
      </c>
      <c r="E598" s="43" t="s">
        <v>37</v>
      </c>
      <c r="F598" s="42" t="s">
        <v>38</v>
      </c>
    </row>
    <row r="599" spans="1:6">
      <c r="A599" s="39">
        <v>45738</v>
      </c>
      <c r="B599" s="40" t="s">
        <v>16</v>
      </c>
      <c r="C599" s="40" t="s">
        <v>58</v>
      </c>
      <c r="D599" s="41">
        <v>-22.15</v>
      </c>
      <c r="E599" s="43" t="s">
        <v>198</v>
      </c>
      <c r="F599" s="42" t="s">
        <v>38</v>
      </c>
    </row>
    <row r="600" spans="1:6">
      <c r="A600" s="39">
        <v>45740</v>
      </c>
      <c r="B600" s="40" t="s">
        <v>19</v>
      </c>
      <c r="C600" s="40" t="s">
        <v>36</v>
      </c>
      <c r="D600" s="41">
        <v>-1.6</v>
      </c>
      <c r="E600" s="43" t="s">
        <v>84</v>
      </c>
      <c r="F600" s="42" t="s">
        <v>1</v>
      </c>
    </row>
    <row r="601" spans="1:6">
      <c r="A601" s="39">
        <f>A600</f>
        <v>45740</v>
      </c>
      <c r="B601" s="40" t="s">
        <v>19</v>
      </c>
      <c r="C601" s="40" t="s">
        <v>50</v>
      </c>
      <c r="D601" s="41">
        <v>500</v>
      </c>
      <c r="E601" s="43" t="s">
        <v>232</v>
      </c>
      <c r="F601" s="42" t="s">
        <v>1</v>
      </c>
    </row>
    <row r="602" spans="1:6">
      <c r="A602" s="39">
        <f>A601</f>
        <v>45740</v>
      </c>
      <c r="B602" s="40" t="s">
        <v>29</v>
      </c>
      <c r="C602" s="40" t="s">
        <v>176</v>
      </c>
      <c r="D602" s="41">
        <v>-52.8</v>
      </c>
      <c r="E602" s="43" t="s">
        <v>233</v>
      </c>
      <c r="F602" s="42" t="s">
        <v>38</v>
      </c>
    </row>
    <row r="603" spans="1:6">
      <c r="A603" s="39">
        <f>A602</f>
        <v>45740</v>
      </c>
      <c r="B603" s="40" t="s">
        <v>16</v>
      </c>
      <c r="C603" s="40" t="s">
        <v>41</v>
      </c>
      <c r="D603" s="41">
        <v>-1.3</v>
      </c>
      <c r="E603" s="43" t="s">
        <v>42</v>
      </c>
      <c r="F603" s="42" t="s">
        <v>0</v>
      </c>
    </row>
    <row r="604" spans="1:6">
      <c r="A604" s="39">
        <v>45741</v>
      </c>
      <c r="B604" s="40" t="s">
        <v>16</v>
      </c>
      <c r="C604" s="40" t="s">
        <v>41</v>
      </c>
      <c r="D604" s="41">
        <v>-1.3</v>
      </c>
      <c r="E604" s="43" t="s">
        <v>42</v>
      </c>
      <c r="F604" s="42" t="s">
        <v>0</v>
      </c>
    </row>
    <row r="605" spans="1:6">
      <c r="A605" s="39">
        <f>A604</f>
        <v>45741</v>
      </c>
      <c r="B605" s="40" t="s">
        <v>16</v>
      </c>
      <c r="C605" s="40" t="s">
        <v>46</v>
      </c>
      <c r="D605" s="41">
        <v>-1000</v>
      </c>
      <c r="E605" s="43" t="s">
        <v>234</v>
      </c>
      <c r="F605" s="42" t="s">
        <v>0</v>
      </c>
    </row>
    <row r="606" spans="1:6">
      <c r="A606" s="39">
        <f>A605</f>
        <v>45741</v>
      </c>
      <c r="B606" s="40" t="s">
        <v>174</v>
      </c>
      <c r="C606" s="40" t="s">
        <v>46</v>
      </c>
      <c r="D606" s="41">
        <v>1000</v>
      </c>
      <c r="E606" s="43" t="str">
        <f>C606</f>
        <v>Traspaso</v>
      </c>
      <c r="F606" s="42" t="s">
        <v>0</v>
      </c>
    </row>
    <row r="607" spans="1:6">
      <c r="A607" s="39">
        <f>A606</f>
        <v>45741</v>
      </c>
      <c r="B607" s="40" t="s">
        <v>24</v>
      </c>
      <c r="C607" s="40" t="s">
        <v>46</v>
      </c>
      <c r="D607" s="41">
        <v>-1131.6400000000001</v>
      </c>
      <c r="E607" s="43" t="str">
        <f>C607</f>
        <v>Traspaso</v>
      </c>
      <c r="F607" s="42" t="s">
        <v>0</v>
      </c>
    </row>
    <row r="608" spans="1:6">
      <c r="A608" s="39">
        <f>A607</f>
        <v>45741</v>
      </c>
      <c r="B608" s="40" t="s">
        <v>132</v>
      </c>
      <c r="C608" s="40" t="s">
        <v>46</v>
      </c>
      <c r="D608" s="41">
        <v>1131.6400000000001</v>
      </c>
      <c r="E608" s="43" t="str">
        <f>C608</f>
        <v>Traspaso</v>
      </c>
      <c r="F608" s="42" t="s">
        <v>0</v>
      </c>
    </row>
    <row r="609" spans="1:6">
      <c r="A609" s="39">
        <f>A608</f>
        <v>45741</v>
      </c>
      <c r="B609" s="40" t="s">
        <v>25</v>
      </c>
      <c r="C609" s="40" t="s">
        <v>89</v>
      </c>
      <c r="D609" s="41">
        <v>-10.17</v>
      </c>
      <c r="E609" s="43" t="s">
        <v>124</v>
      </c>
      <c r="F609" s="42" t="s">
        <v>38</v>
      </c>
    </row>
    <row r="610" spans="1:6">
      <c r="A610" s="39">
        <f>A609</f>
        <v>45741</v>
      </c>
      <c r="B610" s="40" t="s">
        <v>26</v>
      </c>
      <c r="C610" s="40" t="s">
        <v>46</v>
      </c>
      <c r="D610" s="41">
        <v>-1000</v>
      </c>
      <c r="E610" s="43" t="str">
        <f>C610</f>
        <v>Traspaso</v>
      </c>
      <c r="F610" s="42" t="s">
        <v>0</v>
      </c>
    </row>
    <row r="611" spans="1:6">
      <c r="A611" s="39">
        <f>A610</f>
        <v>45741</v>
      </c>
      <c r="B611" s="40" t="s">
        <v>132</v>
      </c>
      <c r="C611" s="40" t="s">
        <v>46</v>
      </c>
      <c r="D611" s="41">
        <v>1000</v>
      </c>
      <c r="E611" s="43" t="str">
        <f>C611</f>
        <v>Traspaso</v>
      </c>
      <c r="F611" s="42" t="s">
        <v>0</v>
      </c>
    </row>
    <row r="612" spans="1:6">
      <c r="A612" s="39">
        <f>A611</f>
        <v>45741</v>
      </c>
      <c r="B612" s="40" t="s">
        <v>132</v>
      </c>
      <c r="C612" s="40" t="s">
        <v>46</v>
      </c>
      <c r="D612" s="41">
        <v>-1000</v>
      </c>
      <c r="E612" s="43" t="s">
        <v>113</v>
      </c>
      <c r="F612" s="42" t="s">
        <v>0</v>
      </c>
    </row>
    <row r="613" spans="1:6">
      <c r="A613" s="39">
        <f>A612</f>
        <v>45741</v>
      </c>
      <c r="B613" s="40" t="s">
        <v>174</v>
      </c>
      <c r="C613" s="40" t="s">
        <v>46</v>
      </c>
      <c r="D613" s="41">
        <v>1000</v>
      </c>
      <c r="E613" s="43" t="s">
        <v>235</v>
      </c>
      <c r="F613" s="42" t="s">
        <v>0</v>
      </c>
    </row>
    <row r="614" spans="1:6">
      <c r="A614" s="39">
        <f>A613</f>
        <v>45741</v>
      </c>
      <c r="B614" s="40" t="s">
        <v>132</v>
      </c>
      <c r="C614" s="40" t="s">
        <v>44</v>
      </c>
      <c r="D614" s="41">
        <v>-27.09</v>
      </c>
      <c r="E614" s="43" t="s">
        <v>236</v>
      </c>
      <c r="F614" s="42" t="s">
        <v>0</v>
      </c>
    </row>
    <row r="615" spans="1:6">
      <c r="A615" s="39">
        <f>A614</f>
        <v>45741</v>
      </c>
      <c r="B615" s="40" t="s">
        <v>16</v>
      </c>
      <c r="C615" s="40" t="s">
        <v>36</v>
      </c>
      <c r="D615" s="41">
        <v>-9.83</v>
      </c>
      <c r="E615" s="43" t="s">
        <v>37</v>
      </c>
      <c r="F615" s="42" t="s">
        <v>38</v>
      </c>
    </row>
    <row r="616" spans="1:6">
      <c r="A616" s="39">
        <f>A615</f>
        <v>45741</v>
      </c>
      <c r="B616" s="40" t="s">
        <v>16</v>
      </c>
      <c r="C616" s="40" t="s">
        <v>52</v>
      </c>
      <c r="D616" s="41">
        <v>-50</v>
      </c>
      <c r="E616" s="43" t="s">
        <v>90</v>
      </c>
      <c r="F616" s="42" t="s">
        <v>0</v>
      </c>
    </row>
    <row r="617" spans="1:6">
      <c r="A617" s="39">
        <v>45742</v>
      </c>
      <c r="B617" s="40" t="s">
        <v>16</v>
      </c>
      <c r="C617" s="40" t="s">
        <v>41</v>
      </c>
      <c r="D617" s="41">
        <v>-1.3</v>
      </c>
      <c r="E617" s="43" t="s">
        <v>42</v>
      </c>
      <c r="F617" s="42" t="s">
        <v>0</v>
      </c>
    </row>
    <row r="618" spans="1:6">
      <c r="A618" s="39">
        <f>A617</f>
        <v>45742</v>
      </c>
      <c r="B618" s="40" t="s">
        <v>24</v>
      </c>
      <c r="C618" s="40" t="s">
        <v>110</v>
      </c>
      <c r="D618" s="41">
        <v>1973.17</v>
      </c>
      <c r="E618" s="43" t="str">
        <f>C618</f>
        <v>Nómina</v>
      </c>
      <c r="F618" s="42" t="s">
        <v>0</v>
      </c>
    </row>
    <row r="619" spans="1:6">
      <c r="A619" s="39">
        <f>A618</f>
        <v>45742</v>
      </c>
      <c r="B619" s="40" t="s">
        <v>19</v>
      </c>
      <c r="C619" s="40" t="s">
        <v>44</v>
      </c>
      <c r="D619" s="41">
        <v>-2.5</v>
      </c>
      <c r="E619" s="43" t="s">
        <v>237</v>
      </c>
      <c r="F619" s="42" t="s">
        <v>38</v>
      </c>
    </row>
    <row r="620" spans="1:6">
      <c r="A620" s="39">
        <f>A619</f>
        <v>45742</v>
      </c>
      <c r="B620" s="40" t="s">
        <v>19</v>
      </c>
      <c r="C620" s="40" t="s">
        <v>36</v>
      </c>
      <c r="D620" s="41">
        <v>-2.8</v>
      </c>
      <c r="E620" s="43" t="s">
        <v>84</v>
      </c>
      <c r="F620" s="42" t="s">
        <v>1</v>
      </c>
    </row>
    <row r="621" spans="1:6">
      <c r="A621" s="39">
        <v>45743</v>
      </c>
      <c r="B621" s="40" t="s">
        <v>132</v>
      </c>
      <c r="C621" s="40" t="s">
        <v>76</v>
      </c>
      <c r="D621" s="41">
        <v>-20.02</v>
      </c>
      <c r="E621" s="43" t="s">
        <v>238</v>
      </c>
      <c r="F621" s="42" t="s">
        <v>0</v>
      </c>
    </row>
    <row r="622" spans="1:6">
      <c r="A622" s="39">
        <f>A621</f>
        <v>45743</v>
      </c>
      <c r="B622" s="40" t="s">
        <v>16</v>
      </c>
      <c r="C622" s="40" t="s">
        <v>41</v>
      </c>
      <c r="D622" s="41">
        <v>-1.3</v>
      </c>
      <c r="E622" s="43" t="s">
        <v>42</v>
      </c>
      <c r="F622" s="42" t="s">
        <v>0</v>
      </c>
    </row>
    <row r="623" spans="1:6">
      <c r="A623" s="39">
        <f>A622</f>
        <v>45743</v>
      </c>
      <c r="B623" s="40" t="s">
        <v>16</v>
      </c>
      <c r="C623" s="40" t="s">
        <v>46</v>
      </c>
      <c r="D623" s="41">
        <v>-1000</v>
      </c>
      <c r="E623" s="43" t="str">
        <f>C623</f>
        <v>Traspaso</v>
      </c>
      <c r="F623" s="42" t="s">
        <v>0</v>
      </c>
    </row>
    <row r="624" spans="1:6">
      <c r="A624" s="39">
        <f>A623</f>
        <v>45743</v>
      </c>
      <c r="B624" s="40" t="s">
        <v>239</v>
      </c>
      <c r="C624" s="40" t="s">
        <v>46</v>
      </c>
      <c r="D624" s="41">
        <v>1000</v>
      </c>
      <c r="E624" s="43" t="str">
        <f>C624</f>
        <v>Traspaso</v>
      </c>
      <c r="F624" s="42" t="s">
        <v>0</v>
      </c>
    </row>
    <row r="625" spans="1:6">
      <c r="A625" s="39">
        <f>A624</f>
        <v>45743</v>
      </c>
      <c r="B625" s="40" t="s">
        <v>26</v>
      </c>
      <c r="C625" s="40" t="s">
        <v>46</v>
      </c>
      <c r="D625" s="41">
        <v>-2000</v>
      </c>
      <c r="E625" s="43" t="str">
        <f>C625</f>
        <v>Traspaso</v>
      </c>
      <c r="F625" s="42" t="s">
        <v>0</v>
      </c>
    </row>
    <row r="626" spans="1:6">
      <c r="A626" s="39">
        <f>A625</f>
        <v>45743</v>
      </c>
      <c r="B626" s="40" t="s">
        <v>132</v>
      </c>
      <c r="C626" s="40" t="s">
        <v>46</v>
      </c>
      <c r="D626" s="41">
        <v>2000</v>
      </c>
      <c r="E626" s="43" t="str">
        <f>C626</f>
        <v>Traspaso</v>
      </c>
      <c r="F626" s="42" t="s">
        <v>0</v>
      </c>
    </row>
    <row r="627" spans="1:6">
      <c r="A627" s="39">
        <f>A626</f>
        <v>45743</v>
      </c>
      <c r="B627" s="40" t="s">
        <v>132</v>
      </c>
      <c r="C627" s="40" t="s">
        <v>46</v>
      </c>
      <c r="D627" s="41">
        <v>-1000</v>
      </c>
      <c r="E627" s="43" t="str">
        <f>C627</f>
        <v>Traspaso</v>
      </c>
      <c r="F627" s="42" t="s">
        <v>0</v>
      </c>
    </row>
    <row r="628" spans="1:6">
      <c r="A628" s="39">
        <f>A627</f>
        <v>45743</v>
      </c>
      <c r="B628" s="40" t="s">
        <v>239</v>
      </c>
      <c r="C628" s="40" t="s">
        <v>46</v>
      </c>
      <c r="D628" s="41">
        <v>1000</v>
      </c>
      <c r="E628" s="43" t="str">
        <f>C628</f>
        <v>Traspaso</v>
      </c>
      <c r="F628" s="42" t="s">
        <v>0</v>
      </c>
    </row>
    <row r="629" spans="1:6">
      <c r="A629" s="39">
        <f>A628</f>
        <v>45743</v>
      </c>
      <c r="B629" s="40" t="s">
        <v>19</v>
      </c>
      <c r="C629" s="40" t="s">
        <v>36</v>
      </c>
      <c r="D629" s="41">
        <v>-2</v>
      </c>
      <c r="E629" s="43" t="s">
        <v>84</v>
      </c>
      <c r="F629" s="42" t="s">
        <v>1</v>
      </c>
    </row>
    <row r="630" spans="1:6">
      <c r="A630" s="39">
        <f>A629</f>
        <v>45743</v>
      </c>
      <c r="B630" s="40" t="s">
        <v>29</v>
      </c>
      <c r="C630" s="40" t="s">
        <v>92</v>
      </c>
      <c r="D630" s="41">
        <v>2</v>
      </c>
      <c r="E630" s="43" t="s">
        <v>240</v>
      </c>
      <c r="F630" s="42" t="s">
        <v>38</v>
      </c>
    </row>
    <row r="631" spans="1:6">
      <c r="A631" s="39">
        <f>A630</f>
        <v>45743</v>
      </c>
      <c r="B631" s="40" t="s">
        <v>31</v>
      </c>
      <c r="C631" s="40" t="s">
        <v>110</v>
      </c>
      <c r="D631" s="41">
        <v>1955.54</v>
      </c>
      <c r="E631" s="43" t="str">
        <f>C631</f>
        <v>Nómina</v>
      </c>
      <c r="F631" s="42" t="s">
        <v>1</v>
      </c>
    </row>
    <row r="632" spans="1:6">
      <c r="A632" s="39">
        <v>45743</v>
      </c>
      <c r="B632" s="40" t="s">
        <v>19</v>
      </c>
      <c r="C632" s="40" t="s">
        <v>54</v>
      </c>
      <c r="D632" s="41">
        <v>-80</v>
      </c>
      <c r="E632" s="43" t="s">
        <v>241</v>
      </c>
      <c r="F632" s="42" t="s">
        <v>1</v>
      </c>
    </row>
    <row r="633" spans="1:6">
      <c r="A633" s="39">
        <v>45743</v>
      </c>
      <c r="B633" s="40" t="s">
        <v>25</v>
      </c>
      <c r="C633" s="40" t="s">
        <v>43</v>
      </c>
      <c r="D633" s="41">
        <v>-45.86</v>
      </c>
      <c r="E633" s="43" t="s">
        <v>242</v>
      </c>
      <c r="F633" s="42" t="s">
        <v>0</v>
      </c>
    </row>
    <row r="634" spans="1:6">
      <c r="A634" s="39">
        <v>45744</v>
      </c>
      <c r="B634" s="40" t="s">
        <v>16</v>
      </c>
      <c r="C634" s="40" t="s">
        <v>44</v>
      </c>
      <c r="D634" s="41">
        <v>-44.38</v>
      </c>
      <c r="E634" s="43" t="s">
        <v>243</v>
      </c>
      <c r="F634" s="42" t="s">
        <v>0</v>
      </c>
    </row>
    <row r="635" spans="1:6">
      <c r="A635" s="39">
        <f>A634</f>
        <v>45744</v>
      </c>
      <c r="B635" s="40" t="s">
        <v>16</v>
      </c>
      <c r="C635" s="40" t="s">
        <v>52</v>
      </c>
      <c r="D635" s="41">
        <v>-5</v>
      </c>
      <c r="E635" s="43" t="s">
        <v>225</v>
      </c>
      <c r="F635" s="42" t="s">
        <v>0</v>
      </c>
    </row>
    <row r="636" spans="1:6">
      <c r="A636" s="39">
        <f>A635</f>
        <v>45744</v>
      </c>
      <c r="B636" s="40" t="s">
        <v>16</v>
      </c>
      <c r="C636" s="40" t="s">
        <v>58</v>
      </c>
      <c r="D636" s="41">
        <v>-18.559999999999999</v>
      </c>
      <c r="E636" s="43" t="s">
        <v>244</v>
      </c>
      <c r="F636" s="42" t="s">
        <v>38</v>
      </c>
    </row>
    <row r="637" spans="1:6">
      <c r="A637" s="39">
        <f>A636</f>
        <v>45744</v>
      </c>
      <c r="B637" s="40" t="s">
        <v>239</v>
      </c>
      <c r="C637" s="40" t="s">
        <v>54</v>
      </c>
      <c r="D637" s="41">
        <v>-80</v>
      </c>
      <c r="E637" s="43" t="s">
        <v>245</v>
      </c>
      <c r="F637" s="42" t="s">
        <v>0</v>
      </c>
    </row>
    <row r="638" spans="1:6">
      <c r="A638" s="39">
        <f>A637</f>
        <v>45744</v>
      </c>
      <c r="B638" s="40" t="s">
        <v>239</v>
      </c>
      <c r="C638" s="40" t="s">
        <v>46</v>
      </c>
      <c r="D638" s="41">
        <v>-3000</v>
      </c>
      <c r="E638" s="43" t="s">
        <v>246</v>
      </c>
      <c r="F638" s="42" t="s">
        <v>0</v>
      </c>
    </row>
    <row r="639" spans="1:6">
      <c r="A639" s="39">
        <f>A638</f>
        <v>45744</v>
      </c>
      <c r="B639" s="40" t="s">
        <v>247</v>
      </c>
      <c r="C639" s="40" t="s">
        <v>46</v>
      </c>
      <c r="D639" s="41">
        <v>3000</v>
      </c>
      <c r="E639" s="43" t="s">
        <v>246</v>
      </c>
      <c r="F639" s="42" t="s">
        <v>0</v>
      </c>
    </row>
    <row r="640" spans="1:6">
      <c r="A640" s="39">
        <f>A639</f>
        <v>45744</v>
      </c>
      <c r="B640" s="40" t="s">
        <v>132</v>
      </c>
      <c r="C640" s="40" t="s">
        <v>46</v>
      </c>
      <c r="D640" s="41">
        <v>-2000</v>
      </c>
      <c r="E640" s="43" t="str">
        <f>C640</f>
        <v>Traspaso</v>
      </c>
      <c r="F640" s="42" t="s">
        <v>0</v>
      </c>
    </row>
    <row r="641" spans="1:6">
      <c r="A641" s="39">
        <f>A640</f>
        <v>45744</v>
      </c>
      <c r="B641" s="40" t="s">
        <v>239</v>
      </c>
      <c r="C641" s="40" t="s">
        <v>46</v>
      </c>
      <c r="D641" s="41">
        <v>2000</v>
      </c>
      <c r="E641" s="43" t="str">
        <f>C641</f>
        <v>Traspaso</v>
      </c>
      <c r="F641" s="42" t="s">
        <v>0</v>
      </c>
    </row>
    <row r="642" spans="1:6">
      <c r="A642" s="39">
        <f>A641</f>
        <v>45744</v>
      </c>
      <c r="B642" s="40" t="s">
        <v>24</v>
      </c>
      <c r="C642" s="40" t="s">
        <v>46</v>
      </c>
      <c r="D642" s="41">
        <v>-1335.17</v>
      </c>
      <c r="E642" s="43" t="str">
        <f>C642</f>
        <v>Traspaso</v>
      </c>
      <c r="F642" s="42" t="s">
        <v>0</v>
      </c>
    </row>
    <row r="643" spans="1:6">
      <c r="A643" s="39">
        <f>A642</f>
        <v>45744</v>
      </c>
      <c r="B643" s="40" t="s">
        <v>239</v>
      </c>
      <c r="C643" s="40" t="s">
        <v>46</v>
      </c>
      <c r="D643" s="41">
        <v>1335.17</v>
      </c>
      <c r="E643" s="43" t="str">
        <f>C643</f>
        <v>Traspaso</v>
      </c>
      <c r="F643" s="42" t="s">
        <v>0</v>
      </c>
    </row>
    <row r="644" spans="1:6">
      <c r="A644" s="39">
        <v>45744</v>
      </c>
      <c r="B644" s="40" t="s">
        <v>17</v>
      </c>
      <c r="C644" s="40" t="s">
        <v>76</v>
      </c>
      <c r="D644" s="41">
        <v>-12.5</v>
      </c>
      <c r="E644" s="43" t="s">
        <v>248</v>
      </c>
      <c r="F644" s="42" t="s">
        <v>1</v>
      </c>
    </row>
    <row r="645" spans="1:6">
      <c r="A645" s="39">
        <v>45744</v>
      </c>
      <c r="B645" s="40" t="s">
        <v>17</v>
      </c>
      <c r="C645" s="40" t="s">
        <v>76</v>
      </c>
      <c r="D645" s="41">
        <v>-5.95</v>
      </c>
      <c r="E645" s="43" t="s">
        <v>249</v>
      </c>
      <c r="F645" s="42" t="s">
        <v>1</v>
      </c>
    </row>
    <row r="646" spans="1:6">
      <c r="A646" s="39">
        <v>45745</v>
      </c>
      <c r="B646" s="40" t="s">
        <v>17</v>
      </c>
      <c r="C646" s="40" t="s">
        <v>58</v>
      </c>
      <c r="D646" s="41">
        <v>-499.99</v>
      </c>
      <c r="E646" s="43" t="s">
        <v>250</v>
      </c>
      <c r="F646" s="42" t="s">
        <v>38</v>
      </c>
    </row>
    <row r="647" spans="1:6">
      <c r="A647" s="39">
        <v>45746</v>
      </c>
      <c r="B647" s="40" t="s">
        <v>19</v>
      </c>
      <c r="C647" s="40" t="s">
        <v>41</v>
      </c>
      <c r="D647" s="41">
        <v>-28</v>
      </c>
      <c r="E647" s="43" t="s">
        <v>251</v>
      </c>
      <c r="F647" s="42" t="s">
        <v>38</v>
      </c>
    </row>
    <row r="648" spans="1:6">
      <c r="A648" s="39">
        <v>45747</v>
      </c>
      <c r="B648" s="40" t="s">
        <v>32</v>
      </c>
      <c r="C648" s="40" t="s">
        <v>92</v>
      </c>
      <c r="D648" s="41">
        <v>100</v>
      </c>
      <c r="E648" s="43" t="s">
        <v>252</v>
      </c>
      <c r="F648" s="42" t="s">
        <v>38</v>
      </c>
    </row>
    <row r="649" spans="1:6">
      <c r="A649" s="39">
        <v>45747</v>
      </c>
      <c r="B649" s="40" t="s">
        <v>32</v>
      </c>
      <c r="C649" s="40" t="s">
        <v>46</v>
      </c>
      <c r="D649" s="41">
        <v>-259.98</v>
      </c>
      <c r="E649" s="43" t="str">
        <f>C649</f>
        <v>Traspaso</v>
      </c>
      <c r="F649" s="42" t="s">
        <v>1</v>
      </c>
    </row>
    <row r="650" spans="1:6">
      <c r="A650" s="39">
        <f>A649</f>
        <v>45747</v>
      </c>
      <c r="B650" s="40" t="s">
        <v>17</v>
      </c>
      <c r="C650" s="40" t="s">
        <v>46</v>
      </c>
      <c r="D650" s="41">
        <v>259.98</v>
      </c>
      <c r="E650" s="43" t="str">
        <f>C650</f>
        <v>Traspaso</v>
      </c>
      <c r="F650" s="42" t="s">
        <v>1</v>
      </c>
    </row>
    <row r="651" spans="1:6">
      <c r="A651" s="39">
        <v>45745</v>
      </c>
      <c r="B651" s="40" t="s">
        <v>16</v>
      </c>
      <c r="C651" s="40" t="s">
        <v>41</v>
      </c>
      <c r="D651" s="41">
        <v>-5</v>
      </c>
      <c r="E651" s="43" t="s">
        <v>253</v>
      </c>
      <c r="F651" s="42" t="s">
        <v>38</v>
      </c>
    </row>
    <row r="652" spans="1:6">
      <c r="A652" s="39">
        <f>A651</f>
        <v>45745</v>
      </c>
      <c r="B652" s="40" t="s">
        <v>16</v>
      </c>
      <c r="C652" s="40" t="s">
        <v>36</v>
      </c>
      <c r="D652" s="41">
        <v>-121.43</v>
      </c>
      <c r="E652" s="43" t="s">
        <v>37</v>
      </c>
      <c r="F652" s="42" t="s">
        <v>38</v>
      </c>
    </row>
    <row r="653" spans="1:6">
      <c r="A653" s="39">
        <f>A652</f>
        <v>45745</v>
      </c>
      <c r="B653" s="40" t="s">
        <v>16</v>
      </c>
      <c r="C653" s="40" t="s">
        <v>36</v>
      </c>
      <c r="D653" s="41">
        <v>-10.5</v>
      </c>
      <c r="E653" s="43" t="s">
        <v>137</v>
      </c>
      <c r="F653" s="42" t="s">
        <v>38</v>
      </c>
    </row>
    <row r="654" spans="1:6">
      <c r="A654" s="39">
        <v>45747</v>
      </c>
      <c r="B654" s="40" t="s">
        <v>24</v>
      </c>
      <c r="C654" s="40" t="s">
        <v>46</v>
      </c>
      <c r="D654" s="41">
        <v>-1638</v>
      </c>
      <c r="E654" s="43" t="str">
        <f>C654</f>
        <v>Traspaso</v>
      </c>
      <c r="F654" s="42" t="s">
        <v>0</v>
      </c>
    </row>
    <row r="655" spans="1:6">
      <c r="A655" s="39">
        <f>A654</f>
        <v>45747</v>
      </c>
      <c r="B655" s="40" t="s">
        <v>16</v>
      </c>
      <c r="C655" s="40" t="s">
        <v>46</v>
      </c>
      <c r="D655" s="41">
        <v>1638</v>
      </c>
      <c r="E655" s="43" t="str">
        <f>C655</f>
        <v>Traspaso</v>
      </c>
      <c r="F655" s="42" t="s">
        <v>0</v>
      </c>
    </row>
    <row r="656" spans="1:6">
      <c r="A656" s="39">
        <f>A655</f>
        <v>45747</v>
      </c>
      <c r="B656" s="40" t="s">
        <v>16</v>
      </c>
      <c r="C656" s="40" t="s">
        <v>41</v>
      </c>
      <c r="D656" s="41">
        <v>-1.3</v>
      </c>
      <c r="E656" s="43" t="s">
        <v>42</v>
      </c>
      <c r="F656" s="42" t="s">
        <v>0</v>
      </c>
    </row>
    <row r="657" spans="1:6">
      <c r="A657" s="39">
        <f>A656</f>
        <v>45747</v>
      </c>
      <c r="B657" s="40" t="s">
        <v>16</v>
      </c>
      <c r="C657" s="40" t="s">
        <v>44</v>
      </c>
      <c r="D657" s="41">
        <v>-249</v>
      </c>
      <c r="E657" s="43" t="s">
        <v>254</v>
      </c>
      <c r="F657" s="42" t="s">
        <v>0</v>
      </c>
    </row>
    <row r="658" spans="1:6">
      <c r="A658" s="39">
        <f>A657</f>
        <v>45747</v>
      </c>
      <c r="B658" s="40" t="s">
        <v>24</v>
      </c>
      <c r="C658" s="40" t="s">
        <v>46</v>
      </c>
      <c r="D658" s="41">
        <v>-500</v>
      </c>
      <c r="E658" s="43" t="str">
        <f>C658</f>
        <v>Traspaso</v>
      </c>
      <c r="F658" s="42" t="s">
        <v>0</v>
      </c>
    </row>
    <row r="659" spans="1:6">
      <c r="A659" s="39">
        <f>A658</f>
        <v>45747</v>
      </c>
      <c r="B659" s="40" t="s">
        <v>239</v>
      </c>
      <c r="C659" s="40" t="s">
        <v>46</v>
      </c>
      <c r="D659" s="41">
        <v>500</v>
      </c>
      <c r="E659" s="43" t="str">
        <f>C659</f>
        <v>Traspaso</v>
      </c>
      <c r="F659" s="42" t="s">
        <v>0</v>
      </c>
    </row>
    <row r="660" spans="1:6">
      <c r="A660" s="39">
        <v>45747</v>
      </c>
      <c r="B660" s="40" t="s">
        <v>132</v>
      </c>
      <c r="C660" s="40" t="s">
        <v>46</v>
      </c>
      <c r="D660" s="41">
        <v>-907.24</v>
      </c>
      <c r="E660" s="43" t="s">
        <v>255</v>
      </c>
      <c r="F660" s="42" t="s">
        <v>0</v>
      </c>
    </row>
    <row r="661" spans="1:6">
      <c r="A661" s="39">
        <v>45747</v>
      </c>
      <c r="B661" s="40" t="s">
        <v>151</v>
      </c>
      <c r="C661" s="40" t="s">
        <v>46</v>
      </c>
      <c r="D661" s="41">
        <v>907.24</v>
      </c>
      <c r="E661" s="43" t="s">
        <v>255</v>
      </c>
      <c r="F661" s="42" t="s">
        <v>0</v>
      </c>
    </row>
    <row r="662" spans="1:6">
      <c r="A662" s="39">
        <v>45747</v>
      </c>
      <c r="B662" s="40" t="s">
        <v>16</v>
      </c>
      <c r="C662" s="40" t="s">
        <v>52</v>
      </c>
      <c r="D662" s="41">
        <v>-8</v>
      </c>
      <c r="E662" s="43" t="s">
        <v>225</v>
      </c>
      <c r="F662" s="42" t="s">
        <v>0</v>
      </c>
    </row>
    <row r="663" spans="1:6">
      <c r="A663" s="39">
        <v>45747</v>
      </c>
      <c r="B663" s="40" t="s">
        <v>31</v>
      </c>
      <c r="C663" s="40" t="s">
        <v>46</v>
      </c>
      <c r="D663" s="41">
        <v>-1000</v>
      </c>
      <c r="E663" s="43" t="s">
        <v>113</v>
      </c>
      <c r="F663" s="42" t="s">
        <v>1</v>
      </c>
    </row>
    <row r="664" spans="1:6">
      <c r="A664" s="39">
        <v>45747</v>
      </c>
      <c r="B664" s="40" t="s">
        <v>32</v>
      </c>
      <c r="C664" s="40" t="s">
        <v>46</v>
      </c>
      <c r="D664" s="41">
        <v>1000</v>
      </c>
      <c r="E664" s="43" t="s">
        <v>113</v>
      </c>
      <c r="F664" s="42" t="s">
        <v>1</v>
      </c>
    </row>
    <row r="665" spans="1:6">
      <c r="A665" s="39">
        <v>45747</v>
      </c>
      <c r="B665" s="40" t="s">
        <v>17</v>
      </c>
      <c r="C665" s="40" t="s">
        <v>46</v>
      </c>
      <c r="D665" s="41">
        <v>-200</v>
      </c>
      <c r="E665" s="43" t="s">
        <v>113</v>
      </c>
      <c r="F665" s="42" t="s">
        <v>1</v>
      </c>
    </row>
    <row r="666" spans="1:6">
      <c r="A666" s="39">
        <v>45747</v>
      </c>
      <c r="B666" s="40" t="s">
        <v>256</v>
      </c>
      <c r="C666" s="40" t="s">
        <v>46</v>
      </c>
      <c r="D666" s="41">
        <v>200</v>
      </c>
      <c r="E666" s="43" t="s">
        <v>113</v>
      </c>
      <c r="F666" s="42" t="s">
        <v>1</v>
      </c>
    </row>
    <row r="667" spans="1:6">
      <c r="A667" s="39">
        <v>45747</v>
      </c>
      <c r="B667" s="40" t="s">
        <v>32</v>
      </c>
      <c r="C667" s="40" t="s">
        <v>46</v>
      </c>
      <c r="D667" s="41">
        <v>-500</v>
      </c>
      <c r="E667" s="43" t="s">
        <v>113</v>
      </c>
      <c r="F667" s="42" t="s">
        <v>1</v>
      </c>
    </row>
    <row r="668" spans="1:6">
      <c r="A668" s="39">
        <v>45747</v>
      </c>
      <c r="B668" s="40" t="s">
        <v>256</v>
      </c>
      <c r="C668" s="40" t="s">
        <v>46</v>
      </c>
      <c r="D668" s="41">
        <v>500</v>
      </c>
      <c r="E668" s="43" t="s">
        <v>113</v>
      </c>
      <c r="F668" s="42" t="s">
        <v>1</v>
      </c>
    </row>
    <row r="669" spans="1:6">
      <c r="A669" s="39">
        <v>45747</v>
      </c>
      <c r="B669" s="40" t="s">
        <v>25</v>
      </c>
      <c r="C669" s="40" t="s">
        <v>43</v>
      </c>
      <c r="D669" s="41">
        <v>-60</v>
      </c>
      <c r="E669" s="43" t="s">
        <v>124</v>
      </c>
      <c r="F669" s="42" t="s">
        <v>38</v>
      </c>
    </row>
    <row r="670" spans="1:6">
      <c r="A670" s="39">
        <v>45748</v>
      </c>
      <c r="B670" s="40" t="s">
        <v>132</v>
      </c>
      <c r="C670" s="40" t="s">
        <v>39</v>
      </c>
      <c r="D670" s="41">
        <v>800</v>
      </c>
      <c r="E670" s="43" t="s">
        <v>257</v>
      </c>
      <c r="F670" s="42" t="s">
        <v>0</v>
      </c>
    </row>
    <row r="671" spans="1:6">
      <c r="A671" s="39">
        <f>A670</f>
        <v>45748</v>
      </c>
      <c r="B671" s="40" t="s">
        <v>19</v>
      </c>
      <c r="C671" s="40" t="s">
        <v>44</v>
      </c>
      <c r="D671" s="41">
        <v>-1.54</v>
      </c>
      <c r="E671" s="43" t="s">
        <v>258</v>
      </c>
      <c r="F671" s="42" t="s">
        <v>1</v>
      </c>
    </row>
    <row r="672" spans="1:6">
      <c r="A672" s="39">
        <f>A671</f>
        <v>45748</v>
      </c>
      <c r="B672" s="40" t="s">
        <v>16</v>
      </c>
      <c r="C672" s="40" t="s">
        <v>41</v>
      </c>
      <c r="D672" s="41">
        <v>-1.3</v>
      </c>
      <c r="E672" s="43" t="s">
        <v>42</v>
      </c>
      <c r="F672" s="42" t="s">
        <v>0</v>
      </c>
    </row>
    <row r="673" spans="1:6">
      <c r="A673" s="39">
        <f>A672</f>
        <v>45748</v>
      </c>
      <c r="B673" s="40" t="s">
        <v>32</v>
      </c>
      <c r="C673" s="40" t="s">
        <v>54</v>
      </c>
      <c r="D673" s="41">
        <v>-57.71</v>
      </c>
      <c r="E673" s="43" t="s">
        <v>123</v>
      </c>
      <c r="F673" s="42" t="s">
        <v>1</v>
      </c>
    </row>
    <row r="674" spans="1:6">
      <c r="A674" s="39">
        <f>A673</f>
        <v>45748</v>
      </c>
      <c r="B674" s="40" t="s">
        <v>33</v>
      </c>
      <c r="C674" s="40" t="s">
        <v>34</v>
      </c>
      <c r="D674" s="41">
        <v>57.2</v>
      </c>
      <c r="E674" s="43" t="str">
        <f>C674</f>
        <v>Intereses</v>
      </c>
      <c r="F674" s="42" t="s">
        <v>1</v>
      </c>
    </row>
    <row r="675" spans="1:6">
      <c r="A675" s="39">
        <f>A674</f>
        <v>45748</v>
      </c>
      <c r="B675" s="40" t="s">
        <v>29</v>
      </c>
      <c r="C675" s="40" t="s">
        <v>58</v>
      </c>
      <c r="D675" s="41">
        <v>-249.99</v>
      </c>
      <c r="E675" s="43" t="s">
        <v>259</v>
      </c>
      <c r="F675" s="42" t="s">
        <v>38</v>
      </c>
    </row>
    <row r="676" spans="1:6">
      <c r="A676" s="39">
        <f>A675</f>
        <v>45748</v>
      </c>
      <c r="B676" s="40" t="s">
        <v>29</v>
      </c>
      <c r="C676" s="40" t="s">
        <v>34</v>
      </c>
      <c r="D676" s="41">
        <v>0.21</v>
      </c>
      <c r="E676" s="43" t="str">
        <f>C676</f>
        <v>Intereses</v>
      </c>
      <c r="F676" s="42" t="s">
        <v>1</v>
      </c>
    </row>
    <row r="677" spans="1:6">
      <c r="A677" s="39">
        <v>45748</v>
      </c>
      <c r="B677" s="40" t="s">
        <v>24</v>
      </c>
      <c r="C677" s="40" t="s">
        <v>46</v>
      </c>
      <c r="D677" s="41">
        <v>-50</v>
      </c>
      <c r="E677" s="43" t="s">
        <v>113</v>
      </c>
      <c r="F677" s="42" t="s">
        <v>0</v>
      </c>
    </row>
    <row r="678" spans="1:6">
      <c r="A678" s="39">
        <v>45748</v>
      </c>
      <c r="B678" s="40" t="s">
        <v>260</v>
      </c>
      <c r="C678" s="40" t="s">
        <v>46</v>
      </c>
      <c r="D678" s="41">
        <v>50</v>
      </c>
      <c r="E678" s="43" t="s">
        <v>113</v>
      </c>
      <c r="F678" s="42" t="s">
        <v>0</v>
      </c>
    </row>
    <row r="679" spans="1:6">
      <c r="A679" s="39">
        <v>45748</v>
      </c>
      <c r="B679" s="40" t="s">
        <v>239</v>
      </c>
      <c r="C679" s="40" t="s">
        <v>34</v>
      </c>
      <c r="D679" s="41">
        <v>0.12</v>
      </c>
      <c r="E679" s="43" t="str">
        <f>C679</f>
        <v>Intereses</v>
      </c>
      <c r="F679" s="42" t="s">
        <v>0</v>
      </c>
    </row>
    <row r="680" spans="1:6">
      <c r="A680" s="39">
        <v>45748</v>
      </c>
      <c r="B680" s="40" t="s">
        <v>239</v>
      </c>
      <c r="C680" s="40" t="s">
        <v>47</v>
      </c>
      <c r="D680" s="41">
        <v>-39.119999999999997</v>
      </c>
      <c r="E680" s="43" t="s">
        <v>196</v>
      </c>
      <c r="F680" s="42" t="s">
        <v>0</v>
      </c>
    </row>
    <row r="681" spans="1:6">
      <c r="A681" s="39">
        <v>45748</v>
      </c>
      <c r="B681" s="40" t="s">
        <v>26</v>
      </c>
      <c r="C681" s="40" t="s">
        <v>34</v>
      </c>
      <c r="D681" s="41">
        <v>12.27</v>
      </c>
      <c r="E681" s="43" t="str">
        <f>C681</f>
        <v>Intereses</v>
      </c>
      <c r="F681" s="42" t="s">
        <v>0</v>
      </c>
    </row>
    <row r="682" spans="1:6">
      <c r="A682" s="39">
        <f>A681</f>
        <v>45748</v>
      </c>
      <c r="B682" s="40" t="s">
        <v>256</v>
      </c>
      <c r="C682" s="40" t="s">
        <v>34</v>
      </c>
      <c r="D682" s="41">
        <v>0.01</v>
      </c>
      <c r="E682" s="43" t="str">
        <f>C682</f>
        <v>Intereses</v>
      </c>
      <c r="F682" s="42" t="s">
        <v>1</v>
      </c>
    </row>
    <row r="683" spans="1:6">
      <c r="A683" s="39">
        <f>A682</f>
        <v>45748</v>
      </c>
      <c r="B683" s="40" t="s">
        <v>256</v>
      </c>
      <c r="C683" s="40" t="s">
        <v>50</v>
      </c>
      <c r="D683" s="41">
        <v>500</v>
      </c>
      <c r="E683" s="43" t="s">
        <v>261</v>
      </c>
      <c r="F683" s="42" t="s">
        <v>1</v>
      </c>
    </row>
    <row r="684" spans="1:6">
      <c r="A684" s="39">
        <f>A683</f>
        <v>45748</v>
      </c>
      <c r="B684" s="40" t="s">
        <v>25</v>
      </c>
      <c r="C684" s="40" t="s">
        <v>43</v>
      </c>
      <c r="D684" s="41">
        <v>-35.880000000000003</v>
      </c>
      <c r="E684" s="43" t="s">
        <v>262</v>
      </c>
      <c r="F684" s="42" t="s">
        <v>0</v>
      </c>
    </row>
    <row r="685" spans="1:6">
      <c r="A685" s="39">
        <f>A684</f>
        <v>45748</v>
      </c>
      <c r="B685" s="40" t="s">
        <v>19</v>
      </c>
      <c r="C685" s="40" t="s">
        <v>36</v>
      </c>
      <c r="D685" s="41">
        <v>-4</v>
      </c>
      <c r="E685" s="43" t="s">
        <v>162</v>
      </c>
      <c r="F685" s="42" t="s">
        <v>1</v>
      </c>
    </row>
    <row r="686" spans="1:6">
      <c r="A686" s="39">
        <f>A685</f>
        <v>45748</v>
      </c>
      <c r="B686" s="40" t="s">
        <v>19</v>
      </c>
      <c r="C686" s="40" t="s">
        <v>52</v>
      </c>
      <c r="D686" s="41">
        <v>-15</v>
      </c>
      <c r="E686" s="43" t="s">
        <v>263</v>
      </c>
      <c r="F686" s="42" t="s">
        <v>1</v>
      </c>
    </row>
    <row r="687" spans="1:6">
      <c r="A687" s="39">
        <f>A686</f>
        <v>45748</v>
      </c>
      <c r="B687" s="40" t="s">
        <v>256</v>
      </c>
      <c r="C687" s="40" t="s">
        <v>47</v>
      </c>
      <c r="D687" s="41">
        <v>39.119999999999997</v>
      </c>
      <c r="E687" s="43" t="s">
        <v>264</v>
      </c>
      <c r="F687" s="42" t="s">
        <v>1</v>
      </c>
    </row>
    <row r="688" spans="1:6">
      <c r="A688" s="39">
        <v>45748</v>
      </c>
      <c r="B688" s="40" t="s">
        <v>132</v>
      </c>
      <c r="C688" s="40" t="s">
        <v>46</v>
      </c>
      <c r="D688" s="41">
        <v>-200</v>
      </c>
      <c r="E688" s="43" t="str">
        <f>C688</f>
        <v>Traspaso</v>
      </c>
      <c r="F688" s="42" t="s">
        <v>0</v>
      </c>
    </row>
    <row r="689" spans="1:6">
      <c r="A689" s="39">
        <v>45748</v>
      </c>
      <c r="B689" s="40" t="s">
        <v>151</v>
      </c>
      <c r="C689" s="40" t="s">
        <v>46</v>
      </c>
      <c r="D689" s="41">
        <v>200</v>
      </c>
      <c r="E689" s="43" t="str">
        <f>C689</f>
        <v>Traspaso</v>
      </c>
      <c r="F689" s="42" t="s">
        <v>0</v>
      </c>
    </row>
    <row r="690" spans="1:6">
      <c r="A690" s="39">
        <v>45748</v>
      </c>
      <c r="B690" s="40" t="s">
        <v>182</v>
      </c>
      <c r="C690" s="40" t="s">
        <v>34</v>
      </c>
      <c r="D690" s="41">
        <v>0.55000000000000004</v>
      </c>
      <c r="E690" s="43" t="s">
        <v>35</v>
      </c>
      <c r="F690" s="42" t="s">
        <v>0</v>
      </c>
    </row>
    <row r="691" spans="1:6">
      <c r="A691" s="39">
        <v>45749</v>
      </c>
      <c r="B691" s="40" t="s">
        <v>16</v>
      </c>
      <c r="C691" s="40" t="s">
        <v>41</v>
      </c>
      <c r="D691" s="41">
        <v>-3</v>
      </c>
      <c r="E691" s="43" t="s">
        <v>42</v>
      </c>
      <c r="F691" s="42" t="s">
        <v>0</v>
      </c>
    </row>
    <row r="692" spans="1:6">
      <c r="A692" s="39">
        <f>A691</f>
        <v>45749</v>
      </c>
      <c r="B692" s="40" t="s">
        <v>19</v>
      </c>
      <c r="C692" s="40" t="s">
        <v>36</v>
      </c>
      <c r="D692" s="41">
        <v>-4.5</v>
      </c>
      <c r="E692" s="43" t="s">
        <v>84</v>
      </c>
      <c r="F692" s="42" t="s">
        <v>1</v>
      </c>
    </row>
    <row r="693" spans="1:6">
      <c r="A693" s="39">
        <f>A692</f>
        <v>45749</v>
      </c>
      <c r="B693" s="40" t="s">
        <v>19</v>
      </c>
      <c r="C693" s="40" t="s">
        <v>54</v>
      </c>
      <c r="D693" s="41">
        <v>-15.81</v>
      </c>
      <c r="E693" s="43" t="s">
        <v>265</v>
      </c>
      <c r="F693" s="42" t="s">
        <v>1</v>
      </c>
    </row>
    <row r="694" spans="1:6">
      <c r="A694" s="39">
        <f>A693</f>
        <v>45749</v>
      </c>
      <c r="B694" s="40" t="s">
        <v>239</v>
      </c>
      <c r="C694" s="40" t="s">
        <v>46</v>
      </c>
      <c r="D694" s="41">
        <v>-500</v>
      </c>
      <c r="E694" s="43" t="str">
        <f>C694</f>
        <v>Traspaso</v>
      </c>
      <c r="F694" s="42" t="s">
        <v>0</v>
      </c>
    </row>
    <row r="695" spans="1:6">
      <c r="A695" s="39">
        <f>A694</f>
        <v>45749</v>
      </c>
      <c r="B695" s="40" t="s">
        <v>182</v>
      </c>
      <c r="C695" s="40" t="s">
        <v>46</v>
      </c>
      <c r="D695" s="41">
        <v>500</v>
      </c>
      <c r="E695" s="43" t="str">
        <f>C695</f>
        <v>Traspaso</v>
      </c>
      <c r="F695" s="42" t="s">
        <v>0</v>
      </c>
    </row>
    <row r="696" spans="1:6">
      <c r="A696" s="39">
        <f>A695</f>
        <v>45749</v>
      </c>
      <c r="B696" s="40" t="s">
        <v>16</v>
      </c>
      <c r="C696" s="40" t="s">
        <v>46</v>
      </c>
      <c r="D696" s="41">
        <v>-500</v>
      </c>
      <c r="E696" s="43" t="str">
        <f>C696</f>
        <v>Traspaso</v>
      </c>
      <c r="F696" s="42" t="s">
        <v>0</v>
      </c>
    </row>
    <row r="697" spans="1:6">
      <c r="A697" s="39">
        <f>A696</f>
        <v>45749</v>
      </c>
      <c r="B697" s="40" t="s">
        <v>181</v>
      </c>
      <c r="C697" s="40" t="s">
        <v>46</v>
      </c>
      <c r="D697" s="41">
        <v>500</v>
      </c>
      <c r="E697" s="43" t="str">
        <f>C697</f>
        <v>Traspaso</v>
      </c>
      <c r="F697" s="42" t="s">
        <v>0</v>
      </c>
    </row>
    <row r="698" spans="1:6">
      <c r="A698" s="39">
        <f>A697</f>
        <v>45749</v>
      </c>
      <c r="B698" s="40" t="s">
        <v>26</v>
      </c>
      <c r="C698" s="40" t="s">
        <v>34</v>
      </c>
      <c r="D698" s="41">
        <v>0.02</v>
      </c>
      <c r="E698" s="43" t="s">
        <v>266</v>
      </c>
      <c r="F698" s="42" t="s">
        <v>0</v>
      </c>
    </row>
    <row r="699" spans="1:6">
      <c r="A699" s="39">
        <v>45749</v>
      </c>
      <c r="B699" s="40" t="s">
        <v>26</v>
      </c>
      <c r="C699" s="40" t="s">
        <v>46</v>
      </c>
      <c r="D699" s="41">
        <v>-1030</v>
      </c>
      <c r="E699" s="43" t="str">
        <f>C699</f>
        <v>Traspaso</v>
      </c>
      <c r="F699" s="42" t="s">
        <v>0</v>
      </c>
    </row>
    <row r="700" spans="1:6">
      <c r="A700" s="39">
        <v>45749</v>
      </c>
      <c r="B700" s="40" t="s">
        <v>13</v>
      </c>
      <c r="C700" s="40" t="s">
        <v>46</v>
      </c>
      <c r="D700" s="41">
        <v>1030</v>
      </c>
      <c r="E700" s="43" t="str">
        <f>C700</f>
        <v>Traspaso</v>
      </c>
      <c r="F700" s="42" t="s">
        <v>0</v>
      </c>
    </row>
    <row r="701" spans="1:6">
      <c r="A701" s="39">
        <v>45749</v>
      </c>
      <c r="B701" s="40" t="s">
        <v>19</v>
      </c>
      <c r="C701" s="40" t="s">
        <v>44</v>
      </c>
      <c r="D701" s="41">
        <v>-33</v>
      </c>
      <c r="E701" s="43" t="s">
        <v>102</v>
      </c>
      <c r="F701" s="42" t="s">
        <v>38</v>
      </c>
    </row>
    <row r="702" spans="1:6">
      <c r="A702" s="39">
        <v>45749</v>
      </c>
      <c r="B702" s="40" t="s">
        <v>33</v>
      </c>
      <c r="C702" s="40" t="s">
        <v>46</v>
      </c>
      <c r="D702" s="41">
        <v>-70</v>
      </c>
      <c r="E702" s="43" t="s">
        <v>113</v>
      </c>
      <c r="F702" s="42" t="s">
        <v>1</v>
      </c>
    </row>
    <row r="703" spans="1:6">
      <c r="A703" s="39">
        <v>45749</v>
      </c>
      <c r="B703" s="40" t="s">
        <v>201</v>
      </c>
      <c r="C703" s="40" t="s">
        <v>46</v>
      </c>
      <c r="D703" s="41">
        <v>70</v>
      </c>
      <c r="E703" s="43" t="s">
        <v>113</v>
      </c>
      <c r="F703" s="42" t="s">
        <v>1</v>
      </c>
    </row>
    <row r="704" spans="1:6">
      <c r="A704" s="39">
        <v>45750</v>
      </c>
      <c r="B704" s="40" t="s">
        <v>16</v>
      </c>
      <c r="C704" s="40" t="s">
        <v>41</v>
      </c>
      <c r="D704" s="41">
        <v>-1.3</v>
      </c>
      <c r="E704" s="43" t="s">
        <v>42</v>
      </c>
      <c r="F704" s="42" t="s">
        <v>0</v>
      </c>
    </row>
    <row r="705" spans="1:6">
      <c r="A705" s="39">
        <f>A704</f>
        <v>45750</v>
      </c>
      <c r="B705" s="40" t="s">
        <v>32</v>
      </c>
      <c r="C705" s="40" t="s">
        <v>52</v>
      </c>
      <c r="D705" s="41">
        <v>-74</v>
      </c>
      <c r="E705" s="43" t="s">
        <v>267</v>
      </c>
      <c r="F705" s="42" t="s">
        <v>38</v>
      </c>
    </row>
    <row r="706" spans="1:6">
      <c r="A706" s="39">
        <f>A705</f>
        <v>45750</v>
      </c>
      <c r="B706" s="40" t="s">
        <v>19</v>
      </c>
      <c r="C706" s="40" t="s">
        <v>36</v>
      </c>
      <c r="D706" s="41">
        <v>-5.5</v>
      </c>
      <c r="E706" s="43" t="s">
        <v>84</v>
      </c>
      <c r="F706" s="42" t="s">
        <v>1</v>
      </c>
    </row>
    <row r="707" spans="1:6">
      <c r="A707" s="39">
        <v>45750</v>
      </c>
      <c r="B707" s="40" t="s">
        <v>256</v>
      </c>
      <c r="C707" s="40" t="s">
        <v>44</v>
      </c>
      <c r="D707" s="41">
        <v>-40</v>
      </c>
      <c r="E707" s="43" t="s">
        <v>268</v>
      </c>
      <c r="F707" s="42" t="s">
        <v>1</v>
      </c>
    </row>
    <row r="708" spans="1:6">
      <c r="A708" s="39">
        <v>45751</v>
      </c>
      <c r="B708" s="40" t="s">
        <v>16</v>
      </c>
      <c r="C708" s="40" t="s">
        <v>41</v>
      </c>
      <c r="D708" s="41">
        <v>-1.3</v>
      </c>
      <c r="E708" s="43" t="s">
        <v>42</v>
      </c>
      <c r="F708" s="42" t="s">
        <v>0</v>
      </c>
    </row>
    <row r="709" spans="1:6">
      <c r="A709" s="39">
        <f>A708</f>
        <v>45751</v>
      </c>
      <c r="B709" s="40" t="s">
        <v>31</v>
      </c>
      <c r="C709" s="40" t="s">
        <v>46</v>
      </c>
      <c r="D709" s="41">
        <v>-600</v>
      </c>
      <c r="E709" s="43" t="str">
        <f>C709</f>
        <v>Traspaso</v>
      </c>
      <c r="F709" s="42" t="s">
        <v>1</v>
      </c>
    </row>
    <row r="710" spans="1:6">
      <c r="A710" s="39">
        <f>A709</f>
        <v>45751</v>
      </c>
      <c r="B710" s="40" t="s">
        <v>29</v>
      </c>
      <c r="C710" s="40" t="s">
        <v>46</v>
      </c>
      <c r="D710" s="41">
        <v>600</v>
      </c>
      <c r="E710" s="43" t="str">
        <f>C710</f>
        <v>Traspaso</v>
      </c>
      <c r="F710" s="42" t="s">
        <v>1</v>
      </c>
    </row>
    <row r="711" spans="1:6">
      <c r="A711" s="39">
        <f>A710</f>
        <v>45751</v>
      </c>
      <c r="B711" s="40" t="s">
        <v>32</v>
      </c>
      <c r="C711" s="40" t="s">
        <v>44</v>
      </c>
      <c r="D711" s="41">
        <v>-10.48</v>
      </c>
      <c r="E711" s="43" t="s">
        <v>80</v>
      </c>
      <c r="F711" s="42" t="s">
        <v>1</v>
      </c>
    </row>
    <row r="712" spans="1:6">
      <c r="A712" s="39">
        <f>A711</f>
        <v>45751</v>
      </c>
      <c r="B712" s="40" t="s">
        <v>31</v>
      </c>
      <c r="C712" s="40" t="s">
        <v>176</v>
      </c>
      <c r="D712" s="41">
        <v>-1578.38</v>
      </c>
      <c r="E712" s="43" t="s">
        <v>269</v>
      </c>
      <c r="F712" s="42" t="s">
        <v>38</v>
      </c>
    </row>
    <row r="713" spans="1:6">
      <c r="A713" s="39">
        <f>A712</f>
        <v>45751</v>
      </c>
      <c r="B713" s="40" t="s">
        <v>256</v>
      </c>
      <c r="C713" s="40" t="s">
        <v>92</v>
      </c>
      <c r="D713" s="41">
        <v>15</v>
      </c>
      <c r="E713" s="43" t="s">
        <v>270</v>
      </c>
      <c r="F713" s="42" t="s">
        <v>1</v>
      </c>
    </row>
    <row r="714" spans="1:6">
      <c r="A714" s="39">
        <f>A713</f>
        <v>45751</v>
      </c>
      <c r="B714" s="40" t="s">
        <v>256</v>
      </c>
      <c r="C714" s="40" t="s">
        <v>44</v>
      </c>
      <c r="D714" s="41">
        <v>352.63</v>
      </c>
      <c r="E714" s="43" t="s">
        <v>271</v>
      </c>
      <c r="F714" s="42" t="s">
        <v>1</v>
      </c>
    </row>
    <row r="715" spans="1:6">
      <c r="A715" s="39">
        <f>A714</f>
        <v>45751</v>
      </c>
      <c r="B715" s="40" t="s">
        <v>239</v>
      </c>
      <c r="C715" s="40" t="s">
        <v>34</v>
      </c>
      <c r="D715" s="41">
        <v>20</v>
      </c>
      <c r="E715" s="43" t="s">
        <v>272</v>
      </c>
      <c r="F715" s="42" t="s">
        <v>0</v>
      </c>
    </row>
    <row r="716" spans="1:6">
      <c r="A716" s="39">
        <v>45751</v>
      </c>
      <c r="B716" s="40" t="s">
        <v>19</v>
      </c>
      <c r="C716" s="40" t="s">
        <v>41</v>
      </c>
      <c r="D716" s="41">
        <v>-34</v>
      </c>
      <c r="E716" s="43" t="s">
        <v>273</v>
      </c>
      <c r="F716" s="42" t="s">
        <v>38</v>
      </c>
    </row>
    <row r="717" spans="1:6">
      <c r="A717" s="39">
        <v>45752</v>
      </c>
      <c r="B717" s="40" t="s">
        <v>16</v>
      </c>
      <c r="C717" s="40" t="s">
        <v>36</v>
      </c>
      <c r="D717" s="41">
        <v>-60.93</v>
      </c>
      <c r="E717" s="43" t="s">
        <v>37</v>
      </c>
      <c r="F717" s="42" t="s">
        <v>38</v>
      </c>
    </row>
    <row r="718" spans="1:6">
      <c r="A718" s="39">
        <f>A717</f>
        <v>45752</v>
      </c>
      <c r="B718" s="40" t="s">
        <v>16</v>
      </c>
      <c r="C718" s="40" t="s">
        <v>36</v>
      </c>
      <c r="D718" s="41">
        <v>-19.399999999999999</v>
      </c>
      <c r="E718" s="43" t="s">
        <v>274</v>
      </c>
      <c r="F718" s="42" t="s">
        <v>38</v>
      </c>
    </row>
    <row r="719" spans="1:6">
      <c r="A719" s="39">
        <f>A718</f>
        <v>45752</v>
      </c>
      <c r="B719" s="40" t="s">
        <v>16</v>
      </c>
      <c r="C719" s="40" t="s">
        <v>58</v>
      </c>
      <c r="D719" s="41">
        <v>-145.74</v>
      </c>
      <c r="E719" s="43" t="s">
        <v>275</v>
      </c>
      <c r="F719" s="42" t="s">
        <v>0</v>
      </c>
    </row>
    <row r="720" spans="1:6">
      <c r="A720" s="39">
        <f>A719</f>
        <v>45752</v>
      </c>
      <c r="B720" s="40" t="s">
        <v>16</v>
      </c>
      <c r="C720" s="40" t="s">
        <v>60</v>
      </c>
      <c r="D720" s="41">
        <v>-50</v>
      </c>
      <c r="E720" s="43" t="s">
        <v>276</v>
      </c>
      <c r="F720" s="42" t="s">
        <v>0</v>
      </c>
    </row>
    <row r="721" spans="1:6">
      <c r="A721" s="39">
        <f>A720</f>
        <v>45752</v>
      </c>
      <c r="B721" s="40" t="s">
        <v>16</v>
      </c>
      <c r="C721" s="40" t="s">
        <v>52</v>
      </c>
      <c r="D721" s="41">
        <v>-6</v>
      </c>
      <c r="E721" s="43" t="s">
        <v>79</v>
      </c>
      <c r="F721" s="42" t="s">
        <v>0</v>
      </c>
    </row>
    <row r="722" spans="1:6">
      <c r="A722" s="39">
        <v>45753</v>
      </c>
      <c r="B722" s="40" t="s">
        <v>16</v>
      </c>
      <c r="C722" s="40" t="s">
        <v>46</v>
      </c>
      <c r="D722" s="41">
        <v>-500</v>
      </c>
      <c r="E722" s="43" t="str">
        <f>C722</f>
        <v>Traspaso</v>
      </c>
      <c r="F722" s="42" t="s">
        <v>0</v>
      </c>
    </row>
    <row r="723" spans="1:6">
      <c r="A723" s="39">
        <f>A722</f>
        <v>45753</v>
      </c>
      <c r="B723" s="40" t="s">
        <v>181</v>
      </c>
      <c r="C723" s="40" t="s">
        <v>46</v>
      </c>
      <c r="D723" s="41">
        <v>500</v>
      </c>
      <c r="E723" s="43" t="str">
        <f>C723</f>
        <v>Traspaso</v>
      </c>
      <c r="F723" s="42" t="s">
        <v>0</v>
      </c>
    </row>
    <row r="724" spans="1:6">
      <c r="A724" s="39">
        <v>45754</v>
      </c>
      <c r="B724" s="40" t="s">
        <v>132</v>
      </c>
      <c r="C724" s="40" t="s">
        <v>34</v>
      </c>
      <c r="D724" s="41">
        <v>0.83</v>
      </c>
      <c r="E724" s="43" t="str">
        <f>C724</f>
        <v>Intereses</v>
      </c>
      <c r="F724" s="42" t="s">
        <v>0</v>
      </c>
    </row>
    <row r="725" spans="1:6">
      <c r="A725" s="39">
        <f>A724</f>
        <v>45754</v>
      </c>
      <c r="B725" s="40" t="s">
        <v>239</v>
      </c>
      <c r="C725" s="40" t="s">
        <v>46</v>
      </c>
      <c r="D725" s="41">
        <v>-700</v>
      </c>
      <c r="E725" s="43" t="str">
        <f>C725</f>
        <v>Traspaso</v>
      </c>
      <c r="F725" s="42" t="s">
        <v>0</v>
      </c>
    </row>
    <row r="726" spans="1:6">
      <c r="A726" s="39">
        <f>A725</f>
        <v>45754</v>
      </c>
      <c r="B726" s="40" t="s">
        <v>25</v>
      </c>
      <c r="C726" s="40" t="s">
        <v>46</v>
      </c>
      <c r="D726" s="41">
        <v>700</v>
      </c>
      <c r="E726" s="43" t="str">
        <f>C726</f>
        <v>Traspaso</v>
      </c>
      <c r="F726" s="42" t="s">
        <v>0</v>
      </c>
    </row>
    <row r="727" spans="1:6">
      <c r="A727" s="39">
        <f>A726</f>
        <v>45754</v>
      </c>
      <c r="B727" s="40" t="s">
        <v>25</v>
      </c>
      <c r="C727" s="40" t="s">
        <v>43</v>
      </c>
      <c r="D727" s="41">
        <v>-30</v>
      </c>
      <c r="E727" s="43" t="s">
        <v>66</v>
      </c>
      <c r="F727" s="42" t="s">
        <v>0</v>
      </c>
    </row>
    <row r="728" spans="1:6">
      <c r="A728" s="39">
        <f>A727</f>
        <v>45754</v>
      </c>
      <c r="B728" s="40" t="s">
        <v>25</v>
      </c>
      <c r="C728" s="40" t="s">
        <v>277</v>
      </c>
      <c r="D728" s="41">
        <v>-132.22999999999999</v>
      </c>
      <c r="E728" s="43" t="s">
        <v>124</v>
      </c>
      <c r="F728" s="42" t="s">
        <v>38</v>
      </c>
    </row>
    <row r="729" spans="1:6">
      <c r="A729" s="39">
        <f>A728</f>
        <v>45754</v>
      </c>
      <c r="B729" s="40" t="s">
        <v>24</v>
      </c>
      <c r="C729" s="40" t="s">
        <v>36</v>
      </c>
      <c r="D729" s="41">
        <v>-6</v>
      </c>
      <c r="E729" s="43" t="s">
        <v>42</v>
      </c>
      <c r="F729" s="42" t="s">
        <v>38</v>
      </c>
    </row>
    <row r="730" spans="1:6">
      <c r="A730" s="39">
        <f>A729</f>
        <v>45754</v>
      </c>
      <c r="B730" s="40" t="s">
        <v>26</v>
      </c>
      <c r="C730" s="40" t="s">
        <v>34</v>
      </c>
      <c r="D730" s="41">
        <v>19.7</v>
      </c>
      <c r="E730" s="43" t="s">
        <v>209</v>
      </c>
      <c r="F730" s="42" t="s">
        <v>0</v>
      </c>
    </row>
    <row r="731" spans="1:6">
      <c r="A731" s="39">
        <f>A730</f>
        <v>45754</v>
      </c>
      <c r="B731" s="40" t="s">
        <v>26</v>
      </c>
      <c r="C731" s="40" t="s">
        <v>34</v>
      </c>
      <c r="D731" s="41">
        <v>25.77</v>
      </c>
      <c r="E731" s="43" t="s">
        <v>209</v>
      </c>
      <c r="F731" s="42" t="s">
        <v>0</v>
      </c>
    </row>
    <row r="732" spans="1:6">
      <c r="A732" s="39">
        <f>A731</f>
        <v>45754</v>
      </c>
      <c r="B732" s="40" t="s">
        <v>26</v>
      </c>
      <c r="C732" s="40" t="s">
        <v>34</v>
      </c>
      <c r="D732" s="41">
        <v>34.39</v>
      </c>
      <c r="E732" s="43" t="s">
        <v>209</v>
      </c>
      <c r="F732" s="42" t="s">
        <v>0</v>
      </c>
    </row>
    <row r="733" spans="1:6">
      <c r="A733" s="39">
        <f>A732</f>
        <v>45754</v>
      </c>
      <c r="B733" s="40" t="s">
        <v>19</v>
      </c>
      <c r="C733" s="40" t="s">
        <v>36</v>
      </c>
      <c r="D733" s="41">
        <v>-0.3</v>
      </c>
      <c r="E733" s="43" t="s">
        <v>70</v>
      </c>
      <c r="F733" s="42" t="s">
        <v>1</v>
      </c>
    </row>
    <row r="734" spans="1:6">
      <c r="A734" s="39">
        <f>A733</f>
        <v>45754</v>
      </c>
      <c r="B734" s="40" t="s">
        <v>19</v>
      </c>
      <c r="C734" s="40" t="s">
        <v>62</v>
      </c>
      <c r="D734" s="41">
        <v>-3</v>
      </c>
      <c r="E734" s="43" t="s">
        <v>278</v>
      </c>
      <c r="F734" s="42" t="s">
        <v>38</v>
      </c>
    </row>
    <row r="735" spans="1:6">
      <c r="A735" s="39">
        <f>A734</f>
        <v>45754</v>
      </c>
      <c r="B735" s="40" t="s">
        <v>256</v>
      </c>
      <c r="C735" s="40" t="s">
        <v>50</v>
      </c>
      <c r="D735" s="41">
        <v>500</v>
      </c>
      <c r="E735" s="43" t="s">
        <v>279</v>
      </c>
      <c r="F735" s="42" t="s">
        <v>1</v>
      </c>
    </row>
    <row r="736" spans="1:6">
      <c r="A736" s="39">
        <f>A735</f>
        <v>45754</v>
      </c>
      <c r="B736" s="40" t="s">
        <v>32</v>
      </c>
      <c r="C736" s="40" t="s">
        <v>60</v>
      </c>
      <c r="D736" s="41">
        <v>-21</v>
      </c>
      <c r="E736" s="43" t="s">
        <v>68</v>
      </c>
      <c r="F736" s="42" t="s">
        <v>1</v>
      </c>
    </row>
    <row r="737" spans="1:6">
      <c r="A737" s="39">
        <f>A736</f>
        <v>45754</v>
      </c>
      <c r="B737" s="40" t="s">
        <v>32</v>
      </c>
      <c r="C737" s="40" t="s">
        <v>43</v>
      </c>
      <c r="D737" s="41">
        <v>-30</v>
      </c>
      <c r="E737" s="43" t="s">
        <v>280</v>
      </c>
      <c r="F737" s="42" t="s">
        <v>38</v>
      </c>
    </row>
    <row r="738" spans="1:6">
      <c r="A738" s="39">
        <v>45755</v>
      </c>
      <c r="B738" s="40" t="s">
        <v>16</v>
      </c>
      <c r="C738" s="40" t="s">
        <v>41</v>
      </c>
      <c r="D738" s="41">
        <v>-1.3</v>
      </c>
      <c r="E738" s="43" t="s">
        <v>42</v>
      </c>
      <c r="F738" s="42" t="s">
        <v>0</v>
      </c>
    </row>
    <row r="739" spans="1:6">
      <c r="A739" s="39">
        <f>A738</f>
        <v>45755</v>
      </c>
      <c r="B739" s="40" t="s">
        <v>19</v>
      </c>
      <c r="C739" s="40" t="s">
        <v>36</v>
      </c>
      <c r="D739" s="41">
        <v>-2.2000000000000002</v>
      </c>
      <c r="E739" s="43" t="s">
        <v>70</v>
      </c>
      <c r="F739" s="42" t="s">
        <v>1</v>
      </c>
    </row>
    <row r="740" spans="1:6">
      <c r="A740" s="39">
        <v>45756</v>
      </c>
      <c r="B740" s="40" t="s">
        <v>16</v>
      </c>
      <c r="C740" s="40" t="s">
        <v>41</v>
      </c>
      <c r="D740" s="41">
        <v>-1.3</v>
      </c>
      <c r="E740" s="43" t="s">
        <v>42</v>
      </c>
      <c r="F740" s="42" t="s">
        <v>0</v>
      </c>
    </row>
    <row r="741" spans="1:6">
      <c r="A741" s="39">
        <f>A740</f>
        <v>45756</v>
      </c>
      <c r="B741" s="40" t="s">
        <v>16</v>
      </c>
      <c r="C741" s="40" t="s">
        <v>54</v>
      </c>
      <c r="D741" s="41">
        <v>-2.86</v>
      </c>
      <c r="E741" s="43" t="s">
        <v>136</v>
      </c>
      <c r="F741" s="42" t="s">
        <v>0</v>
      </c>
    </row>
    <row r="742" spans="1:6">
      <c r="A742" s="39">
        <f>A741</f>
        <v>45756</v>
      </c>
      <c r="B742" s="40" t="s">
        <v>132</v>
      </c>
      <c r="C742" s="40" t="s">
        <v>166</v>
      </c>
      <c r="D742" s="41">
        <v>-17.920000000000002</v>
      </c>
      <c r="E742" s="43" t="str">
        <f>C742</f>
        <v>Gas</v>
      </c>
      <c r="F742" s="42" t="s">
        <v>38</v>
      </c>
    </row>
    <row r="743" spans="1:6">
      <c r="A743" s="39">
        <f>A742</f>
        <v>45756</v>
      </c>
      <c r="B743" s="40" t="s">
        <v>19</v>
      </c>
      <c r="C743" s="40" t="s">
        <v>36</v>
      </c>
      <c r="D743" s="41">
        <v>-1.6</v>
      </c>
      <c r="E743" s="43" t="s">
        <v>84</v>
      </c>
      <c r="F743" s="42" t="s">
        <v>1</v>
      </c>
    </row>
    <row r="744" spans="1:6">
      <c r="A744" s="39">
        <f>A743</f>
        <v>45756</v>
      </c>
      <c r="B744" s="40" t="s">
        <v>29</v>
      </c>
      <c r="C744" s="40" t="s">
        <v>92</v>
      </c>
      <c r="D744" s="41">
        <v>12</v>
      </c>
      <c r="E744" s="43" t="s">
        <v>281</v>
      </c>
      <c r="F744" s="42" t="s">
        <v>1</v>
      </c>
    </row>
    <row r="745" spans="1:6">
      <c r="A745" s="39">
        <v>45756</v>
      </c>
      <c r="B745" s="40" t="s">
        <v>239</v>
      </c>
      <c r="C745" s="40" t="s">
        <v>46</v>
      </c>
      <c r="D745" s="41">
        <v>-1500</v>
      </c>
      <c r="E745" s="43" t="str">
        <f>C745</f>
        <v>Traspaso</v>
      </c>
      <c r="F745" s="42" t="s">
        <v>0</v>
      </c>
    </row>
    <row r="746" spans="1:6">
      <c r="A746" s="39">
        <v>45756</v>
      </c>
      <c r="B746" s="40" t="s">
        <v>24</v>
      </c>
      <c r="C746" s="40" t="s">
        <v>46</v>
      </c>
      <c r="D746" s="41">
        <v>1500</v>
      </c>
      <c r="E746" s="43" t="str">
        <f>C746</f>
        <v>Traspaso</v>
      </c>
      <c r="F746" s="42" t="s">
        <v>0</v>
      </c>
    </row>
    <row r="747" spans="1:6">
      <c r="A747" s="39">
        <f>A744</f>
        <v>45756</v>
      </c>
      <c r="B747" s="40" t="s">
        <v>239</v>
      </c>
      <c r="C747" s="40" t="s">
        <v>44</v>
      </c>
      <c r="D747" s="41">
        <v>-20.04</v>
      </c>
      <c r="E747" s="43" t="s">
        <v>282</v>
      </c>
      <c r="F747" s="42" t="s">
        <v>38</v>
      </c>
    </row>
    <row r="748" spans="1:6">
      <c r="A748" s="39">
        <v>45756</v>
      </c>
      <c r="B748" s="40" t="s">
        <v>19</v>
      </c>
      <c r="C748" s="40" t="s">
        <v>41</v>
      </c>
      <c r="D748" s="41">
        <v>-24.8</v>
      </c>
      <c r="E748" s="43" t="s">
        <v>283</v>
      </c>
      <c r="F748" s="42" t="s">
        <v>38</v>
      </c>
    </row>
    <row r="749" spans="1:6">
      <c r="A749" s="39">
        <v>45757</v>
      </c>
      <c r="B749" s="40" t="s">
        <v>16</v>
      </c>
      <c r="C749" s="40" t="s">
        <v>41</v>
      </c>
      <c r="D749" s="41">
        <v>-1.3</v>
      </c>
      <c r="E749" s="43" t="s">
        <v>42</v>
      </c>
      <c r="F749" s="42" t="s">
        <v>0</v>
      </c>
    </row>
    <row r="750" spans="1:6">
      <c r="A750" s="39">
        <v>45757</v>
      </c>
      <c r="B750" s="40" t="s">
        <v>24</v>
      </c>
      <c r="C750" s="40" t="s">
        <v>46</v>
      </c>
      <c r="D750" s="41">
        <v>-44</v>
      </c>
      <c r="E750" s="43" t="str">
        <f>C750</f>
        <v>Traspaso</v>
      </c>
      <c r="F750" s="42" t="s">
        <v>0</v>
      </c>
    </row>
    <row r="751" spans="1:6">
      <c r="A751" s="39">
        <f>A750</f>
        <v>45757</v>
      </c>
      <c r="B751" s="40" t="s">
        <v>239</v>
      </c>
      <c r="C751" s="40" t="s">
        <v>46</v>
      </c>
      <c r="D751" s="41">
        <v>44</v>
      </c>
      <c r="E751" s="43" t="str">
        <f>C751</f>
        <v>Traspaso</v>
      </c>
      <c r="F751" s="42" t="s">
        <v>0</v>
      </c>
    </row>
    <row r="752" spans="1:6">
      <c r="A752" s="39">
        <f>A751</f>
        <v>45757</v>
      </c>
      <c r="B752" s="40" t="s">
        <v>239</v>
      </c>
      <c r="C752" s="40" t="s">
        <v>76</v>
      </c>
      <c r="D752" s="41">
        <v>-28.3</v>
      </c>
      <c r="E752" s="43" t="s">
        <v>284</v>
      </c>
      <c r="F752" s="42" t="s">
        <v>0</v>
      </c>
    </row>
    <row r="753" spans="1:6">
      <c r="A753" s="39">
        <f>A752</f>
        <v>45757</v>
      </c>
      <c r="B753" s="40" t="s">
        <v>26</v>
      </c>
      <c r="C753" s="40" t="s">
        <v>34</v>
      </c>
      <c r="D753" s="41">
        <v>0.78</v>
      </c>
      <c r="E753" s="43" t="s">
        <v>285</v>
      </c>
      <c r="F753" s="42" t="s">
        <v>0</v>
      </c>
    </row>
    <row r="754" spans="1:6">
      <c r="A754" s="39">
        <v>45757</v>
      </c>
      <c r="B754" s="40" t="s">
        <v>19</v>
      </c>
      <c r="C754" s="40" t="s">
        <v>36</v>
      </c>
      <c r="D754" s="41">
        <v>-1.6</v>
      </c>
      <c r="E754" s="43" t="s">
        <v>84</v>
      </c>
      <c r="F754" s="42" t="s">
        <v>1</v>
      </c>
    </row>
    <row r="755" spans="1:6">
      <c r="A755" s="39">
        <v>45757</v>
      </c>
      <c r="B755" s="40" t="s">
        <v>17</v>
      </c>
      <c r="C755" s="40" t="s">
        <v>73</v>
      </c>
      <c r="D755" s="41">
        <v>-54</v>
      </c>
      <c r="E755" s="43" t="s">
        <v>107</v>
      </c>
      <c r="F755" s="42" t="s">
        <v>38</v>
      </c>
    </row>
    <row r="756" spans="1:6">
      <c r="A756" s="39">
        <v>45758</v>
      </c>
      <c r="B756" s="40" t="s">
        <v>16</v>
      </c>
      <c r="C756" s="40" t="s">
        <v>52</v>
      </c>
      <c r="D756" s="41">
        <v>-8</v>
      </c>
      <c r="E756" s="43" t="s">
        <v>79</v>
      </c>
      <c r="F756" s="42" t="s">
        <v>0</v>
      </c>
    </row>
    <row r="757" spans="1:6">
      <c r="A757" s="39">
        <f>A756</f>
        <v>45758</v>
      </c>
      <c r="B757" s="40" t="s">
        <v>16</v>
      </c>
      <c r="C757" s="40" t="s">
        <v>41</v>
      </c>
      <c r="D757" s="41">
        <v>-1.3</v>
      </c>
      <c r="E757" s="43" t="s">
        <v>42</v>
      </c>
      <c r="F757" s="42" t="s">
        <v>0</v>
      </c>
    </row>
    <row r="758" spans="1:6">
      <c r="A758" s="39">
        <f>A757</f>
        <v>45758</v>
      </c>
      <c r="B758" s="40" t="s">
        <v>28</v>
      </c>
      <c r="C758" s="40" t="s">
        <v>46</v>
      </c>
      <c r="D758" s="41">
        <v>-4000</v>
      </c>
      <c r="E758" s="43" t="str">
        <f>C758</f>
        <v>Traspaso</v>
      </c>
      <c r="F758" s="42" t="s">
        <v>1</v>
      </c>
    </row>
    <row r="759" spans="1:6">
      <c r="A759" s="39">
        <f>A758</f>
        <v>45758</v>
      </c>
      <c r="B759" s="40" t="s">
        <v>32</v>
      </c>
      <c r="C759" s="40" t="s">
        <v>46</v>
      </c>
      <c r="D759" s="41">
        <v>4000</v>
      </c>
      <c r="E759" s="43" t="str">
        <f>C759</f>
        <v>Traspaso</v>
      </c>
      <c r="F759" s="42" t="s">
        <v>1</v>
      </c>
    </row>
    <row r="760" spans="1:6">
      <c r="A760" s="39">
        <f>A759</f>
        <v>45758</v>
      </c>
      <c r="B760" s="40" t="s">
        <v>32</v>
      </c>
      <c r="C760" s="40" t="s">
        <v>44</v>
      </c>
      <c r="D760" s="41">
        <v>-6</v>
      </c>
      <c r="E760" s="43" t="s">
        <v>286</v>
      </c>
      <c r="F760" s="42" t="s">
        <v>1</v>
      </c>
    </row>
    <row r="761" spans="1:6">
      <c r="A761" s="39">
        <f>A760</f>
        <v>45758</v>
      </c>
      <c r="B761" s="40" t="s">
        <v>32</v>
      </c>
      <c r="C761" s="40" t="s">
        <v>46</v>
      </c>
      <c r="D761" s="41">
        <v>-4000</v>
      </c>
      <c r="E761" s="43" t="str">
        <f>C761</f>
        <v>Traspaso</v>
      </c>
      <c r="F761" s="42" t="s">
        <v>1</v>
      </c>
    </row>
    <row r="762" spans="1:6">
      <c r="A762" s="39">
        <f>A761</f>
        <v>45758</v>
      </c>
      <c r="B762" s="40" t="s">
        <v>256</v>
      </c>
      <c r="C762" s="40" t="s">
        <v>46</v>
      </c>
      <c r="D762" s="41">
        <v>4000</v>
      </c>
      <c r="E762" s="43" t="str">
        <f>C762</f>
        <v>Traspaso</v>
      </c>
      <c r="F762" s="42" t="s">
        <v>1</v>
      </c>
    </row>
    <row r="763" spans="1:6">
      <c r="A763" s="39">
        <f>A762</f>
        <v>45758</v>
      </c>
      <c r="B763" s="40" t="s">
        <v>19</v>
      </c>
      <c r="C763" s="40" t="s">
        <v>36</v>
      </c>
      <c r="D763" s="41">
        <v>-3</v>
      </c>
      <c r="E763" s="43" t="s">
        <v>84</v>
      </c>
      <c r="F763" s="42" t="s">
        <v>1</v>
      </c>
    </row>
    <row r="764" spans="1:6">
      <c r="A764" s="39">
        <f>A763</f>
        <v>45758</v>
      </c>
      <c r="B764" s="40" t="s">
        <v>19</v>
      </c>
      <c r="C764" s="40" t="s">
        <v>41</v>
      </c>
      <c r="D764" s="41">
        <v>-15</v>
      </c>
      <c r="E764" s="43" t="s">
        <v>195</v>
      </c>
      <c r="F764" s="42" t="s">
        <v>1</v>
      </c>
    </row>
    <row r="765" spans="1:6">
      <c r="A765" s="39">
        <f>A764</f>
        <v>45758</v>
      </c>
      <c r="B765" s="40" t="s">
        <v>239</v>
      </c>
      <c r="C765" s="40" t="s">
        <v>76</v>
      </c>
      <c r="D765" s="41">
        <v>-21.373999999999999</v>
      </c>
      <c r="E765" s="43" t="s">
        <v>284</v>
      </c>
      <c r="F765" s="42" t="s">
        <v>0</v>
      </c>
    </row>
    <row r="766" spans="1:6">
      <c r="A766" s="39">
        <f>A765</f>
        <v>45758</v>
      </c>
      <c r="B766" s="40" t="s">
        <v>16</v>
      </c>
      <c r="C766" s="40" t="s">
        <v>36</v>
      </c>
      <c r="D766" s="41">
        <v>-56.04</v>
      </c>
      <c r="E766" s="43" t="s">
        <v>37</v>
      </c>
      <c r="F766" s="42" t="s">
        <v>38</v>
      </c>
    </row>
    <row r="767" spans="1:6">
      <c r="A767" s="39">
        <v>45758</v>
      </c>
      <c r="B767" s="40" t="s">
        <v>19</v>
      </c>
      <c r="C767" s="40" t="s">
        <v>76</v>
      </c>
      <c r="D767" s="41">
        <v>-2.5</v>
      </c>
      <c r="E767" s="43" t="s">
        <v>287</v>
      </c>
      <c r="F767" s="42" t="s">
        <v>1</v>
      </c>
    </row>
    <row r="768" spans="1:6">
      <c r="A768" s="39">
        <v>45758</v>
      </c>
      <c r="B768" s="40" t="s">
        <v>19</v>
      </c>
      <c r="C768" s="40" t="s">
        <v>76</v>
      </c>
      <c r="D768" s="41">
        <v>-50.97</v>
      </c>
      <c r="E768" s="43" t="s">
        <v>288</v>
      </c>
      <c r="F768" s="42" t="s">
        <v>1</v>
      </c>
    </row>
    <row r="769" spans="1:6">
      <c r="A769" s="39">
        <v>45759</v>
      </c>
      <c r="B769" s="40" t="s">
        <v>19</v>
      </c>
      <c r="C769" s="40" t="s">
        <v>41</v>
      </c>
      <c r="D769" s="41">
        <v>-14</v>
      </c>
      <c r="E769" s="43" t="s">
        <v>84</v>
      </c>
      <c r="F769" s="42" t="s">
        <v>38</v>
      </c>
    </row>
    <row r="770" spans="1:6">
      <c r="A770" s="39">
        <v>45759</v>
      </c>
      <c r="B770" s="40" t="s">
        <v>19</v>
      </c>
      <c r="C770" s="40" t="s">
        <v>41</v>
      </c>
      <c r="D770" s="41">
        <v>-41</v>
      </c>
      <c r="E770" s="43" t="s">
        <v>289</v>
      </c>
      <c r="F770" s="42" t="s">
        <v>38</v>
      </c>
    </row>
    <row r="771" spans="1:6">
      <c r="A771" s="39">
        <v>45759</v>
      </c>
      <c r="B771" s="40" t="s">
        <v>19</v>
      </c>
      <c r="C771" s="40" t="s">
        <v>41</v>
      </c>
      <c r="D771" s="41">
        <v>-55</v>
      </c>
      <c r="E771" s="43" t="s">
        <v>290</v>
      </c>
      <c r="F771" s="42" t="s">
        <v>38</v>
      </c>
    </row>
    <row r="772" spans="1:6">
      <c r="A772" s="39">
        <v>45760</v>
      </c>
      <c r="B772" s="40" t="s">
        <v>239</v>
      </c>
      <c r="C772" s="40" t="s">
        <v>34</v>
      </c>
      <c r="D772" s="41">
        <v>20</v>
      </c>
      <c r="E772" s="43" t="s">
        <v>272</v>
      </c>
      <c r="F772" s="42" t="s">
        <v>0</v>
      </c>
    </row>
    <row r="773" spans="1:6">
      <c r="A773" s="39">
        <f>A772</f>
        <v>45760</v>
      </c>
      <c r="B773" s="40" t="s">
        <v>239</v>
      </c>
      <c r="C773" s="40" t="s">
        <v>34</v>
      </c>
      <c r="D773" s="41">
        <v>20</v>
      </c>
      <c r="E773" s="43" t="s">
        <v>272</v>
      </c>
      <c r="F773" s="42" t="s">
        <v>0</v>
      </c>
    </row>
    <row r="774" spans="1:6">
      <c r="A774" s="39">
        <f>A773</f>
        <v>45760</v>
      </c>
      <c r="B774" s="40" t="s">
        <v>16</v>
      </c>
      <c r="C774" s="40" t="s">
        <v>52</v>
      </c>
      <c r="D774" s="41">
        <v>-6</v>
      </c>
      <c r="E774" s="43" t="s">
        <v>79</v>
      </c>
      <c r="F774" s="42" t="s">
        <v>0</v>
      </c>
    </row>
    <row r="775" spans="1:6">
      <c r="A775" s="39">
        <v>45761</v>
      </c>
      <c r="B775" s="40" t="s">
        <v>16</v>
      </c>
      <c r="C775" s="40" t="s">
        <v>41</v>
      </c>
      <c r="D775" s="41">
        <v>-1.3</v>
      </c>
      <c r="E775" s="43" t="s">
        <v>42</v>
      </c>
      <c r="F775" s="42" t="s">
        <v>0</v>
      </c>
    </row>
    <row r="776" spans="1:6">
      <c r="A776" s="39">
        <f>A775</f>
        <v>45761</v>
      </c>
      <c r="B776" s="40" t="s">
        <v>25</v>
      </c>
      <c r="C776" s="40" t="s">
        <v>46</v>
      </c>
      <c r="D776" s="41">
        <v>-366.47</v>
      </c>
      <c r="E776" s="43" t="str">
        <f>C776</f>
        <v>Traspaso</v>
      </c>
      <c r="F776" s="42" t="s">
        <v>0</v>
      </c>
    </row>
    <row r="777" spans="1:6">
      <c r="A777" s="39">
        <f>A776</f>
        <v>45761</v>
      </c>
      <c r="B777" s="40" t="s">
        <v>260</v>
      </c>
      <c r="C777" s="40" t="s">
        <v>46</v>
      </c>
      <c r="D777" s="41">
        <v>366.47</v>
      </c>
      <c r="E777" s="43" t="str">
        <f>C777</f>
        <v>Traspaso</v>
      </c>
      <c r="F777" s="42" t="s">
        <v>0</v>
      </c>
    </row>
    <row r="778" spans="1:6">
      <c r="A778" s="39">
        <f>A777</f>
        <v>45761</v>
      </c>
      <c r="B778" s="40" t="s">
        <v>19</v>
      </c>
      <c r="C778" s="40" t="s">
        <v>36</v>
      </c>
      <c r="D778" s="41">
        <v>-2.2000000000000002</v>
      </c>
      <c r="E778" s="43" t="s">
        <v>84</v>
      </c>
      <c r="F778" s="42" t="s">
        <v>1</v>
      </c>
    </row>
    <row r="779" spans="1:6">
      <c r="A779" s="39">
        <f>A778</f>
        <v>45761</v>
      </c>
      <c r="B779" s="40" t="s">
        <v>32</v>
      </c>
      <c r="C779" s="40" t="s">
        <v>81</v>
      </c>
      <c r="D779" s="41">
        <v>-35.1</v>
      </c>
      <c r="E779" s="43" t="s">
        <v>81</v>
      </c>
      <c r="F779" s="42" t="s">
        <v>38</v>
      </c>
    </row>
    <row r="780" spans="1:6">
      <c r="A780" s="39">
        <f>A779</f>
        <v>45761</v>
      </c>
      <c r="B780" s="40" t="s">
        <v>19</v>
      </c>
      <c r="C780" s="40" t="s">
        <v>50</v>
      </c>
      <c r="D780" s="41">
        <v>500</v>
      </c>
      <c r="E780" s="43" t="s">
        <v>279</v>
      </c>
      <c r="F780" s="42" t="s">
        <v>1</v>
      </c>
    </row>
    <row r="781" spans="1:6">
      <c r="A781" s="39">
        <v>45761</v>
      </c>
      <c r="B781" s="40" t="s">
        <v>31</v>
      </c>
      <c r="C781" s="40" t="s">
        <v>34</v>
      </c>
      <c r="D781" s="41">
        <v>59.83</v>
      </c>
      <c r="E781" s="43" t="s">
        <v>34</v>
      </c>
      <c r="F781" s="42" t="s">
        <v>1</v>
      </c>
    </row>
    <row r="782" spans="1:6">
      <c r="A782" s="39">
        <v>45761</v>
      </c>
      <c r="B782" s="40" t="s">
        <v>24</v>
      </c>
      <c r="C782" s="40" t="s">
        <v>34</v>
      </c>
      <c r="D782" s="41">
        <v>5.76</v>
      </c>
      <c r="E782" s="43" t="s">
        <v>35</v>
      </c>
      <c r="F782" s="42" t="s">
        <v>0</v>
      </c>
    </row>
    <row r="783" spans="1:6">
      <c r="A783" s="39">
        <v>45762</v>
      </c>
      <c r="B783" s="40" t="s">
        <v>16</v>
      </c>
      <c r="C783" s="40" t="s">
        <v>41</v>
      </c>
      <c r="D783" s="41">
        <v>-1.3</v>
      </c>
      <c r="E783" s="43" t="s">
        <v>42</v>
      </c>
      <c r="F783" s="42" t="s">
        <v>0</v>
      </c>
    </row>
    <row r="784" spans="1:6">
      <c r="A784" s="39">
        <f>A783</f>
        <v>45762</v>
      </c>
      <c r="B784" s="40" t="s">
        <v>19</v>
      </c>
      <c r="C784" s="40" t="s">
        <v>36</v>
      </c>
      <c r="D784" s="41">
        <v>-2.4</v>
      </c>
      <c r="E784" s="43" t="s">
        <v>84</v>
      </c>
      <c r="F784" s="42" t="s">
        <v>1</v>
      </c>
    </row>
    <row r="785" spans="1:6">
      <c r="A785" s="39">
        <v>45762</v>
      </c>
      <c r="B785" s="40" t="s">
        <v>17</v>
      </c>
      <c r="C785" s="40" t="s">
        <v>36</v>
      </c>
      <c r="D785" s="41">
        <v>-18.48</v>
      </c>
      <c r="E785" s="43" t="s">
        <v>133</v>
      </c>
      <c r="F785" s="42" t="s">
        <v>38</v>
      </c>
    </row>
    <row r="786" spans="1:6">
      <c r="A786" s="39">
        <v>45763</v>
      </c>
      <c r="B786" s="40" t="s">
        <v>29</v>
      </c>
      <c r="C786" s="40" t="s">
        <v>44</v>
      </c>
      <c r="D786" s="41">
        <v>-352.63</v>
      </c>
      <c r="E786" s="43" t="s">
        <v>291</v>
      </c>
      <c r="F786" s="42" t="s">
        <v>1</v>
      </c>
    </row>
    <row r="787" spans="1:6">
      <c r="A787" s="39">
        <f>A786</f>
        <v>45763</v>
      </c>
      <c r="B787" s="40" t="s">
        <v>16</v>
      </c>
      <c r="C787" s="40" t="s">
        <v>41</v>
      </c>
      <c r="D787" s="41">
        <v>-1.3</v>
      </c>
      <c r="E787" s="43" t="s">
        <v>42</v>
      </c>
      <c r="F787" s="42" t="s">
        <v>0</v>
      </c>
    </row>
    <row r="788" spans="1:6">
      <c r="A788" s="39">
        <v>45763</v>
      </c>
      <c r="B788" s="40" t="s">
        <v>19</v>
      </c>
      <c r="C788" s="40" t="s">
        <v>36</v>
      </c>
      <c r="D788" s="41">
        <v>-2.9</v>
      </c>
      <c r="E788" s="43" t="s">
        <v>84</v>
      </c>
      <c r="F788" s="42" t="s">
        <v>1</v>
      </c>
    </row>
    <row r="789" spans="1:6">
      <c r="A789" s="39">
        <v>45763</v>
      </c>
      <c r="B789" s="40" t="s">
        <v>16</v>
      </c>
      <c r="C789" s="40" t="s">
        <v>58</v>
      </c>
      <c r="D789" s="41">
        <v>11.67</v>
      </c>
      <c r="E789" s="43" t="s">
        <v>244</v>
      </c>
      <c r="F789" s="42" t="s">
        <v>38</v>
      </c>
    </row>
    <row r="790" spans="1:6">
      <c r="A790" s="39">
        <v>45764</v>
      </c>
      <c r="B790" s="40" t="s">
        <v>16</v>
      </c>
      <c r="C790" s="40" t="s">
        <v>41</v>
      </c>
      <c r="D790" s="41">
        <v>-1.3</v>
      </c>
      <c r="E790" s="43" t="s">
        <v>42</v>
      </c>
      <c r="F790" s="42" t="s">
        <v>0</v>
      </c>
    </row>
    <row r="791" spans="1:6">
      <c r="A791" s="39">
        <f>A790</f>
        <v>45764</v>
      </c>
      <c r="B791" s="40" t="s">
        <v>29</v>
      </c>
      <c r="C791" s="40" t="s">
        <v>41</v>
      </c>
      <c r="D791" s="41">
        <v>-248.4</v>
      </c>
      <c r="E791" s="43" t="s">
        <v>292</v>
      </c>
      <c r="F791" s="42" t="s">
        <v>38</v>
      </c>
    </row>
    <row r="792" spans="1:6">
      <c r="A792" s="39">
        <f>A791</f>
        <v>45764</v>
      </c>
      <c r="B792" s="40" t="s">
        <v>132</v>
      </c>
      <c r="C792" s="40" t="s">
        <v>89</v>
      </c>
      <c r="D792" s="41">
        <v>-5.22</v>
      </c>
      <c r="E792" s="43" t="s">
        <v>124</v>
      </c>
      <c r="F792" s="42" t="s">
        <v>38</v>
      </c>
    </row>
    <row r="793" spans="1:6">
      <c r="A793" s="39">
        <v>45764</v>
      </c>
      <c r="B793" s="40" t="s">
        <v>86</v>
      </c>
      <c r="C793" s="40" t="s">
        <v>34</v>
      </c>
      <c r="D793" s="41">
        <v>-477.75</v>
      </c>
      <c r="E793" s="43" t="s">
        <v>293</v>
      </c>
      <c r="F793" s="42" t="s">
        <v>0</v>
      </c>
    </row>
    <row r="794" spans="1:6">
      <c r="A794" s="39">
        <v>45764</v>
      </c>
      <c r="B794" s="40" t="s">
        <v>86</v>
      </c>
      <c r="C794" s="40" t="s">
        <v>46</v>
      </c>
      <c r="D794" s="41">
        <v>-4470.13</v>
      </c>
      <c r="E794" s="43" t="str">
        <f>C794</f>
        <v>Traspaso</v>
      </c>
      <c r="F794" s="42" t="s">
        <v>0</v>
      </c>
    </row>
    <row r="795" spans="1:6">
      <c r="A795" s="39">
        <f>A794</f>
        <v>45764</v>
      </c>
      <c r="B795" s="40" t="s">
        <v>239</v>
      </c>
      <c r="C795" s="40" t="s">
        <v>46</v>
      </c>
      <c r="D795" s="41">
        <v>4470.13</v>
      </c>
      <c r="E795" s="43" t="str">
        <f>C795</f>
        <v>Traspaso</v>
      </c>
      <c r="F795" s="42" t="s">
        <v>0</v>
      </c>
    </row>
    <row r="796" spans="1:6">
      <c r="A796" s="39">
        <f>A795</f>
        <v>45764</v>
      </c>
      <c r="B796" s="40" t="s">
        <v>16</v>
      </c>
      <c r="C796" s="40" t="s">
        <v>52</v>
      </c>
      <c r="D796" s="41">
        <v>-8</v>
      </c>
      <c r="E796" s="43" t="s">
        <v>225</v>
      </c>
      <c r="F796" s="42" t="s">
        <v>0</v>
      </c>
    </row>
    <row r="797" spans="1:6">
      <c r="A797" s="39">
        <f>A796</f>
        <v>45764</v>
      </c>
      <c r="B797" s="40" t="s">
        <v>19</v>
      </c>
      <c r="C797" s="40" t="s">
        <v>36</v>
      </c>
      <c r="D797" s="41">
        <v>-5.5</v>
      </c>
      <c r="E797" s="43" t="s">
        <v>84</v>
      </c>
      <c r="F797" s="42" t="s">
        <v>1</v>
      </c>
    </row>
    <row r="798" spans="1:6">
      <c r="A798" s="39">
        <f>A797</f>
        <v>45764</v>
      </c>
      <c r="B798" s="40" t="s">
        <v>16</v>
      </c>
      <c r="C798" s="40" t="s">
        <v>73</v>
      </c>
      <c r="D798" s="41">
        <v>-70.02</v>
      </c>
      <c r="E798" s="43" t="s">
        <v>85</v>
      </c>
      <c r="F798" s="42" t="s">
        <v>38</v>
      </c>
    </row>
    <row r="799" spans="1:6">
      <c r="A799" s="39">
        <f>A798</f>
        <v>45764</v>
      </c>
      <c r="B799" s="40" t="s">
        <v>132</v>
      </c>
      <c r="C799" s="40" t="s">
        <v>46</v>
      </c>
      <c r="D799" s="41">
        <v>-125</v>
      </c>
      <c r="E799" s="43" t="str">
        <f>C799</f>
        <v>Traspaso</v>
      </c>
      <c r="F799" s="42" t="s">
        <v>0</v>
      </c>
    </row>
    <row r="800" spans="1:6">
      <c r="A800" s="39">
        <f>A799</f>
        <v>45764</v>
      </c>
      <c r="B800" s="40" t="s">
        <v>10</v>
      </c>
      <c r="C800" s="40" t="s">
        <v>46</v>
      </c>
      <c r="D800" s="41">
        <v>125</v>
      </c>
      <c r="E800" s="43" t="str">
        <f>C800</f>
        <v>Traspaso</v>
      </c>
      <c r="F800" s="42" t="s">
        <v>0</v>
      </c>
    </row>
    <row r="801" spans="1:6">
      <c r="A801" s="39">
        <f>A800</f>
        <v>45764</v>
      </c>
      <c r="B801" s="40" t="s">
        <v>25</v>
      </c>
      <c r="C801" s="40" t="s">
        <v>62</v>
      </c>
      <c r="D801" s="41">
        <v>-30</v>
      </c>
      <c r="E801" s="43" t="s">
        <v>294</v>
      </c>
      <c r="F801" s="42" t="s">
        <v>38</v>
      </c>
    </row>
    <row r="802" spans="1:6">
      <c r="A802" s="39">
        <v>45764</v>
      </c>
      <c r="B802" s="40" t="s">
        <v>19</v>
      </c>
      <c r="C802" s="40" t="s">
        <v>36</v>
      </c>
      <c r="D802" s="41">
        <v>-36.25</v>
      </c>
      <c r="E802" s="43" t="s">
        <v>295</v>
      </c>
      <c r="F802" s="42" t="s">
        <v>38</v>
      </c>
    </row>
    <row r="803" spans="1:6">
      <c r="A803" s="39">
        <v>45765</v>
      </c>
      <c r="B803" s="40" t="s">
        <v>239</v>
      </c>
      <c r="C803" s="40" t="s">
        <v>58</v>
      </c>
      <c r="D803" s="41">
        <v>-27.23</v>
      </c>
      <c r="E803" s="43" t="s">
        <v>296</v>
      </c>
      <c r="F803" s="42" t="s">
        <v>38</v>
      </c>
    </row>
    <row r="804" spans="1:6">
      <c r="A804" s="39">
        <v>45766</v>
      </c>
      <c r="B804" s="40" t="s">
        <v>239</v>
      </c>
      <c r="C804" s="40" t="s">
        <v>58</v>
      </c>
      <c r="D804" s="41">
        <v>-20.88</v>
      </c>
      <c r="E804" s="43" t="s">
        <v>297</v>
      </c>
      <c r="F804" s="42" t="s">
        <v>38</v>
      </c>
    </row>
    <row r="805" spans="1:6">
      <c r="A805" s="39">
        <f>A804</f>
        <v>45766</v>
      </c>
      <c r="B805" s="40" t="s">
        <v>16</v>
      </c>
      <c r="C805" s="40" t="s">
        <v>36</v>
      </c>
      <c r="D805" s="41">
        <v>-37.86</v>
      </c>
      <c r="E805" s="43" t="s">
        <v>37</v>
      </c>
      <c r="F805" s="42" t="s">
        <v>38</v>
      </c>
    </row>
    <row r="806" spans="1:6">
      <c r="A806" s="39">
        <f>A805</f>
        <v>45766</v>
      </c>
      <c r="B806" s="40" t="s">
        <v>19</v>
      </c>
      <c r="C806" s="40" t="s">
        <v>36</v>
      </c>
      <c r="D806" s="41">
        <v>-6</v>
      </c>
      <c r="E806" s="43" t="s">
        <v>69</v>
      </c>
      <c r="F806" s="42" t="s">
        <v>38</v>
      </c>
    </row>
    <row r="807" spans="1:6">
      <c r="A807" s="39">
        <f>A806</f>
        <v>45766</v>
      </c>
      <c r="B807" s="40" t="s">
        <v>17</v>
      </c>
      <c r="C807" s="40" t="s">
        <v>36</v>
      </c>
      <c r="D807" s="41">
        <v>-64.03</v>
      </c>
      <c r="E807" s="43" t="s">
        <v>143</v>
      </c>
      <c r="F807" s="42" t="s">
        <v>38</v>
      </c>
    </row>
    <row r="808" spans="1:6">
      <c r="A808" s="39">
        <f>A807</f>
        <v>45766</v>
      </c>
      <c r="B808" s="40" t="s">
        <v>17</v>
      </c>
      <c r="C808" s="40" t="s">
        <v>73</v>
      </c>
      <c r="D808" s="41">
        <v>-39.25</v>
      </c>
      <c r="E808" s="43" t="s">
        <v>107</v>
      </c>
      <c r="F808" s="42" t="s">
        <v>38</v>
      </c>
    </row>
    <row r="809" spans="1:6">
      <c r="A809" s="39">
        <v>45767</v>
      </c>
      <c r="B809" s="40" t="s">
        <v>19</v>
      </c>
      <c r="C809" s="40" t="s">
        <v>44</v>
      </c>
      <c r="D809" s="41">
        <v>-16</v>
      </c>
      <c r="E809" s="43" t="s">
        <v>298</v>
      </c>
      <c r="F809" s="42" t="s">
        <v>38</v>
      </c>
    </row>
    <row r="810" spans="1:6">
      <c r="A810" s="39">
        <v>45768</v>
      </c>
      <c r="B810" s="40" t="s">
        <v>256</v>
      </c>
      <c r="C810" s="40" t="s">
        <v>41</v>
      </c>
      <c r="D810" s="41">
        <v>-37.25</v>
      </c>
      <c r="E810" s="43" t="s">
        <v>299</v>
      </c>
      <c r="F810" s="42" t="s">
        <v>38</v>
      </c>
    </row>
    <row r="811" spans="1:6">
      <c r="A811" s="39">
        <v>45769</v>
      </c>
      <c r="B811" s="40" t="s">
        <v>16</v>
      </c>
      <c r="C811" s="40" t="s">
        <v>41</v>
      </c>
      <c r="D811" s="41">
        <v>-1.3</v>
      </c>
      <c r="E811" s="43" t="s">
        <v>42</v>
      </c>
      <c r="F811" s="42" t="s">
        <v>0</v>
      </c>
    </row>
    <row r="812" spans="1:6">
      <c r="A812" s="39">
        <v>45769</v>
      </c>
      <c r="B812" s="40" t="s">
        <v>19</v>
      </c>
      <c r="C812" s="40" t="s">
        <v>36</v>
      </c>
      <c r="D812" s="41">
        <v>-2.2000000000000002</v>
      </c>
      <c r="E812" s="43" t="s">
        <v>84</v>
      </c>
      <c r="F812" s="42" t="s">
        <v>1</v>
      </c>
    </row>
    <row r="813" spans="1:6">
      <c r="A813" s="39">
        <v>45769</v>
      </c>
      <c r="B813" s="40" t="s">
        <v>16</v>
      </c>
      <c r="C813" s="40" t="s">
        <v>52</v>
      </c>
      <c r="D813" s="41">
        <v>-7.5</v>
      </c>
      <c r="E813" s="43" t="s">
        <v>79</v>
      </c>
      <c r="F813" s="42" t="s">
        <v>0</v>
      </c>
    </row>
    <row r="814" spans="1:6">
      <c r="A814" s="39">
        <v>45769</v>
      </c>
      <c r="B814" s="40" t="s">
        <v>16</v>
      </c>
      <c r="C814" s="40" t="s">
        <v>58</v>
      </c>
      <c r="D814" s="41">
        <v>-22.66</v>
      </c>
      <c r="E814" s="43" t="s">
        <v>300</v>
      </c>
      <c r="F814" s="42" t="s">
        <v>38</v>
      </c>
    </row>
    <row r="815" spans="1:6">
      <c r="A815" s="39">
        <v>45769</v>
      </c>
      <c r="B815" s="40" t="s">
        <v>16</v>
      </c>
      <c r="C815" s="40" t="s">
        <v>58</v>
      </c>
      <c r="D815" s="41">
        <v>-10.4</v>
      </c>
      <c r="E815" s="43" t="s">
        <v>301</v>
      </c>
      <c r="F815" s="42" t="s">
        <v>0</v>
      </c>
    </row>
    <row r="816" spans="1:6">
      <c r="A816" s="39">
        <v>45770</v>
      </c>
      <c r="B816" s="40" t="s">
        <v>16</v>
      </c>
      <c r="C816" s="40" t="s">
        <v>41</v>
      </c>
      <c r="D816" s="41">
        <v>-1.3</v>
      </c>
      <c r="E816" s="43" t="s">
        <v>42</v>
      </c>
      <c r="F816" s="42" t="s">
        <v>0</v>
      </c>
    </row>
    <row r="817" spans="1:6">
      <c r="A817" s="39">
        <v>45770</v>
      </c>
      <c r="B817" s="40" t="s">
        <v>239</v>
      </c>
      <c r="C817" s="40" t="s">
        <v>46</v>
      </c>
      <c r="D817" s="41">
        <v>-1100</v>
      </c>
      <c r="E817" s="43" t="s">
        <v>113</v>
      </c>
      <c r="F817" s="42" t="s">
        <v>0</v>
      </c>
    </row>
    <row r="818" spans="1:6">
      <c r="A818" s="39">
        <v>45770</v>
      </c>
      <c r="B818" s="40" t="s">
        <v>132</v>
      </c>
      <c r="C818" s="40" t="s">
        <v>46</v>
      </c>
      <c r="D818" s="41">
        <v>1100</v>
      </c>
      <c r="E818" s="43" t="s">
        <v>113</v>
      </c>
      <c r="F818" s="42" t="s">
        <v>0</v>
      </c>
    </row>
    <row r="819" spans="1:6">
      <c r="A819" s="39">
        <v>45770</v>
      </c>
      <c r="B819" s="40" t="s">
        <v>256</v>
      </c>
      <c r="C819" s="40" t="s">
        <v>50</v>
      </c>
      <c r="D819" s="41">
        <v>500</v>
      </c>
      <c r="E819" s="43" t="s">
        <v>302</v>
      </c>
      <c r="F819" s="42" t="s">
        <v>1</v>
      </c>
    </row>
    <row r="820" spans="1:6">
      <c r="A820" s="39">
        <v>45770</v>
      </c>
      <c r="B820" s="40" t="s">
        <v>19</v>
      </c>
      <c r="C820" s="40" t="s">
        <v>36</v>
      </c>
      <c r="D820" s="41">
        <v>-1.6</v>
      </c>
      <c r="E820" s="43" t="s">
        <v>84</v>
      </c>
      <c r="F820" s="42" t="s">
        <v>1</v>
      </c>
    </row>
    <row r="821" spans="1:6">
      <c r="A821" s="39">
        <v>45770</v>
      </c>
      <c r="B821" s="40" t="s">
        <v>19</v>
      </c>
      <c r="C821" s="40" t="s">
        <v>36</v>
      </c>
      <c r="D821" s="41">
        <v>-3.33</v>
      </c>
      <c r="E821" s="43" t="s">
        <v>295</v>
      </c>
      <c r="F821" s="42" t="s">
        <v>38</v>
      </c>
    </row>
    <row r="822" spans="1:6">
      <c r="A822" s="39">
        <f>A821</f>
        <v>45770</v>
      </c>
      <c r="B822" s="40" t="s">
        <v>16</v>
      </c>
      <c r="C822" s="40" t="s">
        <v>46</v>
      </c>
      <c r="D822" s="41">
        <v>-500</v>
      </c>
      <c r="E822" s="43" t="str">
        <f>C822</f>
        <v>Traspaso</v>
      </c>
      <c r="F822" s="42" t="s">
        <v>0</v>
      </c>
    </row>
    <row r="823" spans="1:6">
      <c r="A823" s="39">
        <f>A822</f>
        <v>45770</v>
      </c>
      <c r="B823" s="40" t="s">
        <v>181</v>
      </c>
      <c r="C823" s="40" t="s">
        <v>46</v>
      </c>
      <c r="D823" s="41">
        <v>500</v>
      </c>
      <c r="E823" s="43" t="str">
        <f>C823</f>
        <v>Traspaso</v>
      </c>
      <c r="F823" s="42" t="s">
        <v>0</v>
      </c>
    </row>
    <row r="824" spans="1:6">
      <c r="A824" s="39">
        <f>A823</f>
        <v>45770</v>
      </c>
      <c r="B824" s="40" t="s">
        <v>260</v>
      </c>
      <c r="C824" s="40" t="s">
        <v>46</v>
      </c>
      <c r="D824" s="41">
        <v>-300</v>
      </c>
      <c r="E824" s="43" t="str">
        <f>C824</f>
        <v>Traspaso</v>
      </c>
      <c r="F824" s="42" t="s">
        <v>0</v>
      </c>
    </row>
    <row r="825" spans="1:6">
      <c r="A825" s="39">
        <f>A824</f>
        <v>45770</v>
      </c>
      <c r="B825" s="40" t="s">
        <v>16</v>
      </c>
      <c r="C825" s="40" t="s">
        <v>46</v>
      </c>
      <c r="D825" s="41">
        <v>300</v>
      </c>
      <c r="E825" s="43" t="str">
        <f>C825</f>
        <v>Traspaso</v>
      </c>
      <c r="F825" s="42" t="s">
        <v>0</v>
      </c>
    </row>
    <row r="826" spans="1:6">
      <c r="A826" s="39">
        <v>45771</v>
      </c>
      <c r="B826" s="40" t="s">
        <v>16</v>
      </c>
      <c r="C826" s="40" t="s">
        <v>41</v>
      </c>
      <c r="D826" s="41">
        <v>-1.3</v>
      </c>
      <c r="E826" s="43" t="s">
        <v>42</v>
      </c>
      <c r="F826" s="42" t="s">
        <v>0</v>
      </c>
    </row>
    <row r="827" spans="1:6">
      <c r="A827" s="39">
        <v>45771</v>
      </c>
      <c r="B827" s="40" t="s">
        <v>239</v>
      </c>
      <c r="C827" s="40" t="s">
        <v>58</v>
      </c>
      <c r="D827" s="41">
        <v>-26.05</v>
      </c>
      <c r="E827" s="43" t="s">
        <v>303</v>
      </c>
      <c r="F827" s="42" t="s">
        <v>38</v>
      </c>
    </row>
    <row r="828" spans="1:6">
      <c r="A828" s="39">
        <v>45771</v>
      </c>
      <c r="B828" s="40" t="s">
        <v>31</v>
      </c>
      <c r="C828" s="40" t="s">
        <v>110</v>
      </c>
      <c r="D828" s="41">
        <v>1955.54</v>
      </c>
      <c r="E828" s="43" t="s">
        <v>110</v>
      </c>
      <c r="F828" s="42" t="s">
        <v>1</v>
      </c>
    </row>
    <row r="829" spans="1:6">
      <c r="A829" s="39">
        <v>45771</v>
      </c>
      <c r="B829" s="40" t="s">
        <v>19</v>
      </c>
      <c r="C829" s="40" t="s">
        <v>36</v>
      </c>
      <c r="D829" s="41">
        <v>-3.2</v>
      </c>
      <c r="E829" s="43" t="s">
        <v>84</v>
      </c>
      <c r="F829" s="42" t="s">
        <v>1</v>
      </c>
    </row>
    <row r="830" spans="1:6">
      <c r="A830" s="39">
        <v>45771</v>
      </c>
      <c r="B830" s="40" t="s">
        <v>19</v>
      </c>
      <c r="C830" s="40" t="s">
        <v>58</v>
      </c>
      <c r="D830" s="41">
        <v>-87.99</v>
      </c>
      <c r="E830" s="43" t="s">
        <v>304</v>
      </c>
      <c r="F830" s="42" t="s">
        <v>38</v>
      </c>
    </row>
    <row r="831" spans="1:6">
      <c r="A831" s="39">
        <v>45771</v>
      </c>
      <c r="B831" s="40" t="s">
        <v>19</v>
      </c>
      <c r="C831" s="40" t="s">
        <v>44</v>
      </c>
      <c r="D831" s="41">
        <v>-20.49</v>
      </c>
      <c r="E831" s="43" t="s">
        <v>305</v>
      </c>
      <c r="F831" s="42" t="s">
        <v>1</v>
      </c>
    </row>
    <row r="832" spans="1:6">
      <c r="A832" s="39">
        <v>45772</v>
      </c>
      <c r="B832" s="40" t="s">
        <v>16</v>
      </c>
      <c r="C832" s="40" t="s">
        <v>41</v>
      </c>
      <c r="D832" s="41">
        <v>-1.3</v>
      </c>
      <c r="E832" s="43" t="s">
        <v>42</v>
      </c>
      <c r="F832" s="42" t="s">
        <v>0</v>
      </c>
    </row>
    <row r="833" spans="1:6">
      <c r="A833" s="39">
        <f>A832</f>
        <v>45772</v>
      </c>
      <c r="B833" s="40" t="s">
        <v>239</v>
      </c>
      <c r="C833" s="40" t="s">
        <v>46</v>
      </c>
      <c r="D833" s="41">
        <v>-300</v>
      </c>
      <c r="E833" s="43" t="str">
        <f>C833</f>
        <v>Traspaso</v>
      </c>
      <c r="F833" s="42" t="s">
        <v>0</v>
      </c>
    </row>
    <row r="834" spans="1:6">
      <c r="A834" s="39">
        <f>A833</f>
        <v>45772</v>
      </c>
      <c r="B834" s="40" t="s">
        <v>174</v>
      </c>
      <c r="C834" s="40" t="s">
        <v>46</v>
      </c>
      <c r="D834" s="41">
        <v>300</v>
      </c>
      <c r="E834" s="43" t="str">
        <f>C834</f>
        <v>Traspaso</v>
      </c>
      <c r="F834" s="42" t="s">
        <v>0</v>
      </c>
    </row>
    <row r="835" spans="1:6">
      <c r="A835" s="39">
        <f>A834</f>
        <v>45772</v>
      </c>
      <c r="B835" s="40" t="s">
        <v>19</v>
      </c>
      <c r="C835" s="40" t="s">
        <v>36</v>
      </c>
      <c r="D835" s="41">
        <v>-5.6</v>
      </c>
      <c r="E835" s="43" t="s">
        <v>84</v>
      </c>
      <c r="F835" s="42" t="s">
        <v>1</v>
      </c>
    </row>
    <row r="836" spans="1:6">
      <c r="A836" s="39">
        <v>45772</v>
      </c>
      <c r="B836" s="40" t="s">
        <v>256</v>
      </c>
      <c r="C836" s="40" t="s">
        <v>44</v>
      </c>
      <c r="D836" s="41">
        <v>-100</v>
      </c>
      <c r="E836" s="43" t="s">
        <v>306</v>
      </c>
      <c r="F836" s="42" t="s">
        <v>1</v>
      </c>
    </row>
    <row r="837" spans="1:6">
      <c r="A837" s="39">
        <v>45772</v>
      </c>
      <c r="B837" s="40" t="s">
        <v>256</v>
      </c>
      <c r="C837" s="40" t="s">
        <v>44</v>
      </c>
      <c r="D837" s="41">
        <v>-100</v>
      </c>
      <c r="E837" s="43" t="s">
        <v>307</v>
      </c>
      <c r="F837" s="42" t="s">
        <v>1</v>
      </c>
    </row>
    <row r="838" spans="1:6">
      <c r="A838" s="39">
        <f>A835</f>
        <v>45772</v>
      </c>
      <c r="B838" s="40" t="s">
        <v>16</v>
      </c>
      <c r="C838" s="40" t="s">
        <v>36</v>
      </c>
      <c r="D838" s="41">
        <v>-3.55</v>
      </c>
      <c r="E838" s="43" t="s">
        <v>37</v>
      </c>
      <c r="F838" s="42" t="s">
        <v>38</v>
      </c>
    </row>
    <row r="839" spans="1:6">
      <c r="A839" s="39">
        <v>45773</v>
      </c>
      <c r="B839" s="40" t="s">
        <v>16</v>
      </c>
      <c r="C839" s="40" t="s">
        <v>41</v>
      </c>
      <c r="D839" s="41">
        <v>-36</v>
      </c>
      <c r="E839" s="43" t="s">
        <v>308</v>
      </c>
      <c r="F839" s="42" t="s">
        <v>38</v>
      </c>
    </row>
    <row r="840" spans="1:6">
      <c r="A840" s="39">
        <f>A839</f>
        <v>45773</v>
      </c>
      <c r="B840" s="40" t="s">
        <v>16</v>
      </c>
      <c r="C840" s="40" t="s">
        <v>41</v>
      </c>
      <c r="D840" s="41">
        <v>-60.75</v>
      </c>
      <c r="E840" s="43" t="s">
        <v>309</v>
      </c>
      <c r="F840" s="42" t="s">
        <v>38</v>
      </c>
    </row>
    <row r="841" spans="1:6">
      <c r="A841" s="39">
        <f>A840</f>
        <v>45773</v>
      </c>
      <c r="B841" s="40" t="s">
        <v>18</v>
      </c>
      <c r="C841" s="40" t="s">
        <v>41</v>
      </c>
      <c r="D841" s="41">
        <v>31</v>
      </c>
      <c r="E841" s="43" t="s">
        <v>309</v>
      </c>
      <c r="F841" s="42" t="s">
        <v>38</v>
      </c>
    </row>
    <row r="842" spans="1:6">
      <c r="A842" s="39">
        <v>45773</v>
      </c>
      <c r="B842" s="40" t="s">
        <v>19</v>
      </c>
      <c r="C842" s="40" t="s">
        <v>41</v>
      </c>
      <c r="D842" s="41">
        <v>-51.8</v>
      </c>
      <c r="E842" s="43" t="s">
        <v>310</v>
      </c>
      <c r="F842" s="42" t="s">
        <v>38</v>
      </c>
    </row>
    <row r="843" spans="1:6">
      <c r="A843" s="39">
        <v>45774</v>
      </c>
      <c r="B843" s="40" t="s">
        <v>17</v>
      </c>
      <c r="C843" s="40" t="s">
        <v>76</v>
      </c>
      <c r="D843" s="41">
        <v>-29.99</v>
      </c>
      <c r="E843" s="43" t="s">
        <v>311</v>
      </c>
      <c r="F843" s="42" t="s">
        <v>1</v>
      </c>
    </row>
    <row r="844" spans="1:6">
      <c r="A844" s="39">
        <v>45774</v>
      </c>
      <c r="B844" s="40" t="s">
        <v>18</v>
      </c>
      <c r="C844" s="40" t="s">
        <v>41</v>
      </c>
      <c r="D844" s="41">
        <v>-10</v>
      </c>
      <c r="E844" s="43" t="s">
        <v>309</v>
      </c>
      <c r="F844" s="42" t="s">
        <v>38</v>
      </c>
    </row>
    <row r="845" spans="1:6">
      <c r="A845" s="39">
        <v>45775</v>
      </c>
      <c r="B845" s="40" t="s">
        <v>25</v>
      </c>
      <c r="C845" s="40" t="s">
        <v>43</v>
      </c>
      <c r="D845" s="41">
        <v>-45.86</v>
      </c>
      <c r="E845" s="43" t="s">
        <v>312</v>
      </c>
      <c r="F845" s="42" t="s">
        <v>0</v>
      </c>
    </row>
    <row r="846" spans="1:6">
      <c r="A846" s="39">
        <f>A845</f>
        <v>45775</v>
      </c>
      <c r="B846" s="40" t="s">
        <v>132</v>
      </c>
      <c r="C846" s="40" t="s">
        <v>43</v>
      </c>
      <c r="D846" s="41">
        <v>-60</v>
      </c>
      <c r="E846" s="43" t="s">
        <v>124</v>
      </c>
      <c r="F846" s="42" t="s">
        <v>38</v>
      </c>
    </row>
    <row r="847" spans="1:6">
      <c r="A847" s="39">
        <f>A846</f>
        <v>45775</v>
      </c>
      <c r="B847" s="40" t="s">
        <v>26</v>
      </c>
      <c r="C847" s="40" t="s">
        <v>34</v>
      </c>
      <c r="D847" s="41">
        <v>2.96</v>
      </c>
      <c r="E847" s="43" t="s">
        <v>313</v>
      </c>
      <c r="F847" s="42" t="s">
        <v>0</v>
      </c>
    </row>
    <row r="848" spans="1:6">
      <c r="A848" s="39">
        <f>A847</f>
        <v>45775</v>
      </c>
      <c r="B848" s="40" t="s">
        <v>239</v>
      </c>
      <c r="C848" s="40" t="s">
        <v>58</v>
      </c>
      <c r="D848" s="41">
        <v>-32.29</v>
      </c>
      <c r="E848" s="43" t="s">
        <v>314</v>
      </c>
      <c r="F848" s="42" t="s">
        <v>38</v>
      </c>
    </row>
    <row r="849" spans="1:6">
      <c r="A849" s="39">
        <v>45776</v>
      </c>
      <c r="B849" s="40" t="s">
        <v>260</v>
      </c>
      <c r="C849" s="40" t="s">
        <v>110</v>
      </c>
      <c r="D849" s="41">
        <v>1973.17</v>
      </c>
      <c r="E849" s="43" t="str">
        <f>C849</f>
        <v>Nómina</v>
      </c>
      <c r="F849" s="42" t="s">
        <v>0</v>
      </c>
    </row>
    <row r="850" spans="1:6">
      <c r="A850" s="39">
        <f>A849</f>
        <v>45776</v>
      </c>
      <c r="B850" s="40" t="s">
        <v>16</v>
      </c>
      <c r="C850" s="40" t="s">
        <v>41</v>
      </c>
      <c r="D850" s="41">
        <v>-1.3</v>
      </c>
      <c r="E850" s="43" t="s">
        <v>42</v>
      </c>
      <c r="F850" s="42" t="s">
        <v>0</v>
      </c>
    </row>
    <row r="851" spans="1:6">
      <c r="A851" s="39">
        <f>A850</f>
        <v>45776</v>
      </c>
      <c r="B851" s="40" t="s">
        <v>19</v>
      </c>
      <c r="C851" s="40" t="s">
        <v>36</v>
      </c>
      <c r="D851" s="41">
        <v>-1.6</v>
      </c>
      <c r="E851" s="43" t="s">
        <v>84</v>
      </c>
      <c r="F851" s="42" t="s">
        <v>1</v>
      </c>
    </row>
    <row r="852" spans="1:6">
      <c r="A852" s="39">
        <f>A851</f>
        <v>45776</v>
      </c>
      <c r="B852" s="40" t="s">
        <v>256</v>
      </c>
      <c r="C852" s="40" t="s">
        <v>44</v>
      </c>
      <c r="D852" s="41">
        <v>100</v>
      </c>
      <c r="E852" s="43" t="s">
        <v>307</v>
      </c>
      <c r="F852" s="42" t="s">
        <v>1</v>
      </c>
    </row>
    <row r="853" spans="1:6">
      <c r="A853" s="39">
        <v>45776</v>
      </c>
      <c r="B853" s="40" t="s">
        <v>256</v>
      </c>
      <c r="C853" s="40" t="s">
        <v>44</v>
      </c>
      <c r="D853" s="41">
        <v>20.49</v>
      </c>
      <c r="E853" s="43" t="s">
        <v>315</v>
      </c>
      <c r="F853" s="42" t="s">
        <v>1</v>
      </c>
    </row>
    <row r="854" spans="1:6">
      <c r="A854" s="39">
        <f>A853</f>
        <v>45776</v>
      </c>
      <c r="B854" s="40" t="s">
        <v>260</v>
      </c>
      <c r="C854" s="40" t="s">
        <v>46</v>
      </c>
      <c r="D854" s="41">
        <v>-500</v>
      </c>
      <c r="E854" s="43" t="str">
        <f>C854</f>
        <v>Traspaso</v>
      </c>
      <c r="F854" s="42" t="s">
        <v>0</v>
      </c>
    </row>
    <row r="855" spans="1:6">
      <c r="A855" s="39">
        <f>A854</f>
        <v>45776</v>
      </c>
      <c r="B855" s="40" t="s">
        <v>316</v>
      </c>
      <c r="C855" s="40" t="s">
        <v>46</v>
      </c>
      <c r="D855" s="41">
        <v>500</v>
      </c>
      <c r="E855" s="43" t="str">
        <f>C855</f>
        <v>Traspaso</v>
      </c>
      <c r="F855" s="42" t="s">
        <v>0</v>
      </c>
    </row>
    <row r="856" spans="1:6">
      <c r="A856" s="39">
        <v>45777</v>
      </c>
      <c r="B856" s="40" t="s">
        <v>16</v>
      </c>
      <c r="C856" s="40" t="s">
        <v>41</v>
      </c>
      <c r="D856" s="41">
        <v>-1.3</v>
      </c>
      <c r="E856" s="43" t="s">
        <v>42</v>
      </c>
      <c r="F856" s="42" t="s">
        <v>0</v>
      </c>
    </row>
    <row r="857" spans="1:6">
      <c r="A857" s="39">
        <v>45777</v>
      </c>
      <c r="B857" s="40" t="s">
        <v>132</v>
      </c>
      <c r="C857" s="40" t="s">
        <v>46</v>
      </c>
      <c r="D857" s="41">
        <v>-1290.52</v>
      </c>
      <c r="E857" s="43" t="str">
        <f>C857</f>
        <v>Traspaso</v>
      </c>
      <c r="F857" s="42" t="s">
        <v>0</v>
      </c>
    </row>
    <row r="858" spans="1:6">
      <c r="A858" s="39">
        <f>A857</f>
        <v>45777</v>
      </c>
      <c r="B858" s="40" t="s">
        <v>16</v>
      </c>
      <c r="C858" s="40" t="s">
        <v>46</v>
      </c>
      <c r="D858" s="41">
        <v>1290.52</v>
      </c>
      <c r="E858" s="43" t="str">
        <f>C858</f>
        <v>Traspaso</v>
      </c>
      <c r="F858" s="42" t="s">
        <v>0</v>
      </c>
    </row>
    <row r="859" spans="1:6">
      <c r="A859" s="39">
        <f>A858</f>
        <v>45777</v>
      </c>
      <c r="B859" s="40" t="s">
        <v>24</v>
      </c>
      <c r="C859" s="40" t="s">
        <v>46</v>
      </c>
      <c r="D859" s="41">
        <v>-1684.8</v>
      </c>
      <c r="E859" s="43" t="str">
        <f>C859</f>
        <v>Traspaso</v>
      </c>
      <c r="F859" s="42" t="s">
        <v>0</v>
      </c>
    </row>
    <row r="860" spans="1:6">
      <c r="A860" s="39">
        <f>A859</f>
        <v>45777</v>
      </c>
      <c r="B860" s="40" t="s">
        <v>16</v>
      </c>
      <c r="C860" s="40" t="s">
        <v>46</v>
      </c>
      <c r="D860" s="41">
        <v>1684.8</v>
      </c>
      <c r="E860" s="43" t="str">
        <f>C860</f>
        <v>Traspaso</v>
      </c>
      <c r="F860" s="42" t="s">
        <v>0</v>
      </c>
    </row>
    <row r="861" spans="1:6">
      <c r="A861" s="39">
        <f>A860</f>
        <v>45777</v>
      </c>
      <c r="B861" s="40" t="s">
        <v>32</v>
      </c>
      <c r="C861" s="40" t="s">
        <v>46</v>
      </c>
      <c r="D861" s="41">
        <v>-866.47</v>
      </c>
      <c r="E861" s="43" t="str">
        <f>C861</f>
        <v>Traspaso</v>
      </c>
      <c r="F861" s="42" t="s">
        <v>1</v>
      </c>
    </row>
    <row r="862" spans="1:6">
      <c r="A862" s="39">
        <f>A861</f>
        <v>45777</v>
      </c>
      <c r="B862" s="40" t="s">
        <v>17</v>
      </c>
      <c r="C862" s="40" t="s">
        <v>46</v>
      </c>
      <c r="D862" s="41">
        <v>866.47</v>
      </c>
      <c r="E862" s="43" t="str">
        <f>C862</f>
        <v>Traspaso</v>
      </c>
      <c r="F862" s="42" t="s">
        <v>1</v>
      </c>
    </row>
    <row r="863" spans="1:6">
      <c r="A863" s="39">
        <f>A862</f>
        <v>45777</v>
      </c>
      <c r="B863" s="40" t="s">
        <v>31</v>
      </c>
      <c r="C863" s="40" t="s">
        <v>46</v>
      </c>
      <c r="D863" s="41">
        <v>-1000</v>
      </c>
      <c r="E863" s="43" t="str">
        <f>C863</f>
        <v>Traspaso</v>
      </c>
      <c r="F863" s="42" t="s">
        <v>1</v>
      </c>
    </row>
    <row r="864" spans="1:6">
      <c r="A864" s="39">
        <f>A863</f>
        <v>45777</v>
      </c>
      <c r="B864" s="40" t="s">
        <v>32</v>
      </c>
      <c r="C864" s="40" t="s">
        <v>46</v>
      </c>
      <c r="D864" s="41">
        <v>1000</v>
      </c>
      <c r="E864" s="43" t="str">
        <f>C864</f>
        <v>Traspaso</v>
      </c>
      <c r="F864" s="42" t="s">
        <v>1</v>
      </c>
    </row>
    <row r="865" spans="1:6">
      <c r="A865" s="39">
        <f>A864</f>
        <v>45777</v>
      </c>
      <c r="B865" s="40" t="s">
        <v>260</v>
      </c>
      <c r="C865" s="40" t="s">
        <v>46</v>
      </c>
      <c r="D865" s="41">
        <v>-500</v>
      </c>
      <c r="E865" s="43" t="str">
        <f>C865</f>
        <v>Traspaso</v>
      </c>
      <c r="F865" s="42" t="s">
        <v>0</v>
      </c>
    </row>
    <row r="866" spans="1:6">
      <c r="A866" s="39">
        <f>A865</f>
        <v>45777</v>
      </c>
      <c r="B866" s="40" t="s">
        <v>316</v>
      </c>
      <c r="C866" s="40" t="s">
        <v>46</v>
      </c>
      <c r="D866" s="41">
        <v>500</v>
      </c>
      <c r="E866" s="43" t="str">
        <f>C866</f>
        <v>Traspaso</v>
      </c>
      <c r="F866" s="42" t="s">
        <v>0</v>
      </c>
    </row>
    <row r="867" spans="1:6">
      <c r="A867" s="39">
        <f>A866</f>
        <v>45777</v>
      </c>
      <c r="B867" s="40" t="s">
        <v>174</v>
      </c>
      <c r="C867" s="40" t="s">
        <v>46</v>
      </c>
      <c r="D867" s="41">
        <v>-300</v>
      </c>
      <c r="E867" s="43" t="str">
        <f>C867</f>
        <v>Traspaso</v>
      </c>
      <c r="F867" s="42" t="s">
        <v>0</v>
      </c>
    </row>
    <row r="868" spans="1:6">
      <c r="A868" s="39">
        <f>A867</f>
        <v>45777</v>
      </c>
      <c r="B868" s="40" t="s">
        <v>316</v>
      </c>
      <c r="C868" s="40" t="s">
        <v>46</v>
      </c>
      <c r="D868" s="41">
        <v>300</v>
      </c>
      <c r="E868" s="43" t="str">
        <f>C868</f>
        <v>Traspaso</v>
      </c>
      <c r="F868" s="42" t="s">
        <v>0</v>
      </c>
    </row>
    <row r="869" spans="1:6">
      <c r="A869" s="39">
        <f>A868</f>
        <v>45777</v>
      </c>
      <c r="B869" s="40" t="s">
        <v>16</v>
      </c>
      <c r="C869" s="40" t="s">
        <v>46</v>
      </c>
      <c r="D869" s="41">
        <v>-500</v>
      </c>
      <c r="E869" s="43" t="str">
        <f>C869</f>
        <v>Traspaso</v>
      </c>
      <c r="F869" s="42" t="s">
        <v>0</v>
      </c>
    </row>
    <row r="870" spans="1:6">
      <c r="A870" s="39">
        <f>A869</f>
        <v>45777</v>
      </c>
      <c r="B870" s="40" t="s">
        <v>182</v>
      </c>
      <c r="C870" s="40" t="s">
        <v>46</v>
      </c>
      <c r="D870" s="41">
        <v>500</v>
      </c>
      <c r="E870" s="43" t="str">
        <f>C870</f>
        <v>Traspaso</v>
      </c>
      <c r="F870" s="42" t="s">
        <v>0</v>
      </c>
    </row>
    <row r="871" spans="1:6">
      <c r="A871" s="39">
        <v>45777</v>
      </c>
      <c r="B871" s="40" t="s">
        <v>19</v>
      </c>
      <c r="C871" s="40" t="s">
        <v>36</v>
      </c>
      <c r="D871" s="41">
        <v>-3.7</v>
      </c>
      <c r="E871" s="43" t="s">
        <v>84</v>
      </c>
      <c r="F871" s="42" t="s">
        <v>1</v>
      </c>
    </row>
    <row r="872" spans="1:6">
      <c r="A872" s="39">
        <v>45778</v>
      </c>
      <c r="B872" s="40" t="s">
        <v>239</v>
      </c>
      <c r="C872" s="40" t="s">
        <v>46</v>
      </c>
      <c r="D872" s="41">
        <v>-614.14</v>
      </c>
      <c r="E872" s="43" t="str">
        <f>C872</f>
        <v>Traspaso</v>
      </c>
      <c r="F872" s="42" t="s">
        <v>0</v>
      </c>
    </row>
    <row r="873" spans="1:6">
      <c r="A873" s="39">
        <f>A872</f>
        <v>45778</v>
      </c>
      <c r="B873" s="40" t="s">
        <v>25</v>
      </c>
      <c r="C873" s="40" t="s">
        <v>46</v>
      </c>
      <c r="D873" s="41">
        <v>614.14</v>
      </c>
      <c r="E873" s="43" t="str">
        <f>C873</f>
        <v>Traspaso</v>
      </c>
      <c r="F873" s="42" t="s">
        <v>0</v>
      </c>
    </row>
    <row r="874" spans="1:6">
      <c r="A874" s="39">
        <f>A873</f>
        <v>45778</v>
      </c>
      <c r="B874" s="40" t="s">
        <v>239</v>
      </c>
      <c r="C874" s="40" t="s">
        <v>46</v>
      </c>
      <c r="D874" s="41">
        <v>-1000</v>
      </c>
      <c r="E874" s="43" t="str">
        <f>C874</f>
        <v>Traspaso</v>
      </c>
      <c r="F874" s="42" t="s">
        <v>0</v>
      </c>
    </row>
    <row r="875" spans="1:6">
      <c r="A875" s="39">
        <f>A874</f>
        <v>45778</v>
      </c>
      <c r="B875" s="40" t="s">
        <v>24</v>
      </c>
      <c r="C875" s="40" t="s">
        <v>46</v>
      </c>
      <c r="D875" s="41">
        <v>1000</v>
      </c>
      <c r="E875" s="43" t="str">
        <f>C875</f>
        <v>Traspaso</v>
      </c>
      <c r="F875" s="42" t="s">
        <v>0</v>
      </c>
    </row>
    <row r="876" spans="1:6">
      <c r="A876" s="39">
        <v>45778</v>
      </c>
      <c r="B876" s="40" t="s">
        <v>239</v>
      </c>
      <c r="C876" s="40" t="s">
        <v>46</v>
      </c>
      <c r="D876" s="41">
        <v>-400</v>
      </c>
      <c r="E876" s="43" t="str">
        <f>C876</f>
        <v>Traspaso</v>
      </c>
      <c r="F876" s="42" t="s">
        <v>0</v>
      </c>
    </row>
    <row r="877" spans="1:6">
      <c r="A877" s="39">
        <f>A876</f>
        <v>45778</v>
      </c>
      <c r="B877" s="40" t="s">
        <v>26</v>
      </c>
      <c r="C877" s="40" t="s">
        <v>46</v>
      </c>
      <c r="D877" s="41">
        <v>400</v>
      </c>
      <c r="E877" s="43" t="str">
        <f>C877</f>
        <v>Traspaso</v>
      </c>
      <c r="F877" s="42" t="s">
        <v>0</v>
      </c>
    </row>
    <row r="878" spans="1:6">
      <c r="A878" s="39">
        <f>A877</f>
        <v>45778</v>
      </c>
      <c r="B878" s="40" t="s">
        <v>26</v>
      </c>
      <c r="C878" s="40" t="s">
        <v>34</v>
      </c>
      <c r="D878" s="41">
        <v>2.13</v>
      </c>
      <c r="E878" s="43" t="str">
        <f>C878</f>
        <v>Intereses</v>
      </c>
      <c r="F878" s="42" t="s">
        <v>0</v>
      </c>
    </row>
    <row r="879" spans="1:6">
      <c r="A879" s="39">
        <f>A878</f>
        <v>45778</v>
      </c>
      <c r="B879" s="40" t="s">
        <v>25</v>
      </c>
      <c r="C879" s="40" t="s">
        <v>46</v>
      </c>
      <c r="D879" s="41">
        <v>-538.28</v>
      </c>
      <c r="E879" s="43" t="str">
        <f>C879</f>
        <v>Traspaso</v>
      </c>
      <c r="F879" s="42" t="s">
        <v>0</v>
      </c>
    </row>
    <row r="880" spans="1:6">
      <c r="A880" s="39">
        <f>A879</f>
        <v>45778</v>
      </c>
      <c r="B880" s="40" t="s">
        <v>317</v>
      </c>
      <c r="C880" s="40" t="s">
        <v>46</v>
      </c>
      <c r="D880" s="41">
        <v>538.28</v>
      </c>
      <c r="E880" s="43" t="str">
        <f>C880</f>
        <v>Traspaso</v>
      </c>
      <c r="F880" s="42" t="s">
        <v>0</v>
      </c>
    </row>
    <row r="881" spans="1:7">
      <c r="A881" s="39">
        <f>A880</f>
        <v>45778</v>
      </c>
      <c r="B881" s="40" t="s">
        <v>24</v>
      </c>
      <c r="C881" s="40" t="s">
        <v>46</v>
      </c>
      <c r="D881" s="41">
        <v>-620.96</v>
      </c>
      <c r="E881" s="43" t="str">
        <f>C881</f>
        <v>Traspaso</v>
      </c>
      <c r="F881" s="42" t="s">
        <v>0</v>
      </c>
    </row>
    <row r="882" spans="1:7">
      <c r="A882" s="39">
        <f>A881</f>
        <v>45778</v>
      </c>
      <c r="B882" s="40" t="s">
        <v>317</v>
      </c>
      <c r="C882" s="40" t="s">
        <v>46</v>
      </c>
      <c r="D882" s="41">
        <v>620.96</v>
      </c>
      <c r="E882" s="43" t="str">
        <f>C882</f>
        <v>Traspaso</v>
      </c>
      <c r="F882" s="42" t="s">
        <v>0</v>
      </c>
    </row>
    <row r="883" spans="1:7">
      <c r="A883" s="39">
        <f>A882</f>
        <v>45778</v>
      </c>
      <c r="B883" s="40" t="s">
        <v>239</v>
      </c>
      <c r="C883" s="40" t="s">
        <v>46</v>
      </c>
      <c r="D883" s="41">
        <v>-841.76</v>
      </c>
      <c r="E883" s="43" t="str">
        <f>C883</f>
        <v>Traspaso</v>
      </c>
      <c r="F883" s="42" t="s">
        <v>0</v>
      </c>
    </row>
    <row r="884" spans="1:7">
      <c r="A884" s="39">
        <f>A883</f>
        <v>45778</v>
      </c>
      <c r="B884" s="40" t="s">
        <v>317</v>
      </c>
      <c r="C884" s="40" t="s">
        <v>46</v>
      </c>
      <c r="D884" s="41">
        <v>841.76</v>
      </c>
      <c r="E884" s="43" t="str">
        <f>C884</f>
        <v>Traspaso</v>
      </c>
      <c r="F884" s="42" t="s">
        <v>0</v>
      </c>
    </row>
    <row r="885" spans="1:7">
      <c r="A885" s="39">
        <f>A884</f>
        <v>45778</v>
      </c>
      <c r="B885" s="40" t="s">
        <v>132</v>
      </c>
      <c r="C885" s="40" t="s">
        <v>39</v>
      </c>
      <c r="D885" s="41">
        <v>800</v>
      </c>
      <c r="E885" s="43" t="s">
        <v>318</v>
      </c>
      <c r="F885" s="42" t="s">
        <v>0</v>
      </c>
    </row>
    <row r="886" spans="1:7">
      <c r="A886" s="39">
        <f>A885</f>
        <v>45778</v>
      </c>
      <c r="B886" s="40" t="s">
        <v>26</v>
      </c>
      <c r="C886" s="40" t="s">
        <v>46</v>
      </c>
      <c r="D886" s="41">
        <v>-700</v>
      </c>
      <c r="E886" s="43" t="str">
        <f>C886</f>
        <v>Traspaso</v>
      </c>
      <c r="F886" s="42" t="s">
        <v>0</v>
      </c>
    </row>
    <row r="887" spans="1:7">
      <c r="A887" s="39">
        <f>A886</f>
        <v>45778</v>
      </c>
      <c r="B887" s="40" t="s">
        <v>24</v>
      </c>
      <c r="C887" s="40" t="s">
        <v>46</v>
      </c>
      <c r="D887" s="41">
        <v>700</v>
      </c>
      <c r="E887" s="43" t="str">
        <f>C887</f>
        <v>Traspaso</v>
      </c>
      <c r="F887" s="42" t="s">
        <v>0</v>
      </c>
    </row>
    <row r="888" spans="1:7">
      <c r="A888" s="39">
        <f>A887</f>
        <v>45778</v>
      </c>
      <c r="B888" s="40" t="s">
        <v>239</v>
      </c>
      <c r="C888" s="40" t="s">
        <v>58</v>
      </c>
      <c r="D888" s="41">
        <v>-28.97</v>
      </c>
      <c r="E888" s="43" t="str">
        <f>C888</f>
        <v>Variosvivienda</v>
      </c>
      <c r="F888" s="42" t="s">
        <v>38</v>
      </c>
    </row>
    <row r="889" spans="1:7">
      <c r="A889" s="39">
        <f>A888</f>
        <v>45778</v>
      </c>
      <c r="B889" s="40" t="s">
        <v>33</v>
      </c>
      <c r="C889" s="40" t="s">
        <v>34</v>
      </c>
      <c r="D889" s="41">
        <v>53.84</v>
      </c>
      <c r="E889" s="43" t="s">
        <v>49</v>
      </c>
      <c r="F889" s="42" t="s">
        <v>1</v>
      </c>
    </row>
    <row r="890" spans="1:7">
      <c r="A890" s="39">
        <f>A889</f>
        <v>45778</v>
      </c>
      <c r="B890" s="40" t="s">
        <v>256</v>
      </c>
      <c r="C890" s="40" t="s">
        <v>34</v>
      </c>
      <c r="D890" s="41">
        <v>10.24</v>
      </c>
      <c r="E890" s="43" t="s">
        <v>49</v>
      </c>
      <c r="F890" s="42" t="s">
        <v>1</v>
      </c>
    </row>
    <row r="891" spans="1:7">
      <c r="A891" s="39">
        <f>A890</f>
        <v>45778</v>
      </c>
      <c r="B891" s="40" t="s">
        <v>256</v>
      </c>
      <c r="C891" s="40" t="s">
        <v>319</v>
      </c>
      <c r="D891" s="41">
        <v>-1.95</v>
      </c>
      <c r="E891" s="43" t="s">
        <v>320</v>
      </c>
      <c r="F891" s="42" t="s">
        <v>1</v>
      </c>
      <c r="G891" s="16"/>
    </row>
    <row r="892" spans="1:7">
      <c r="A892" s="39">
        <f>A891</f>
        <v>45778</v>
      </c>
      <c r="B892" s="40" t="s">
        <v>29</v>
      </c>
      <c r="C892" s="40" t="s">
        <v>34</v>
      </c>
      <c r="D892" s="41">
        <v>0.16</v>
      </c>
      <c r="E892" s="43" t="s">
        <v>49</v>
      </c>
      <c r="F892" s="42" t="s">
        <v>1</v>
      </c>
    </row>
    <row r="893" spans="1:7">
      <c r="A893" s="39">
        <f>A892</f>
        <v>45778</v>
      </c>
      <c r="B893" s="40" t="s">
        <v>19</v>
      </c>
      <c r="C893" s="40" t="s">
        <v>36</v>
      </c>
      <c r="D893" s="41">
        <v>-6</v>
      </c>
      <c r="E893" s="43" t="s">
        <v>69</v>
      </c>
      <c r="F893" s="42" t="s">
        <v>38</v>
      </c>
    </row>
    <row r="894" spans="1:7">
      <c r="A894" s="39">
        <f>A893</f>
        <v>45778</v>
      </c>
      <c r="B894" s="40" t="s">
        <v>17</v>
      </c>
      <c r="C894" s="40" t="s">
        <v>73</v>
      </c>
      <c r="D894" s="41">
        <v>-39.700000000000003</v>
      </c>
      <c r="E894" s="43" t="s">
        <v>107</v>
      </c>
      <c r="F894" s="42" t="s">
        <v>38</v>
      </c>
    </row>
    <row r="895" spans="1:7">
      <c r="A895" s="39">
        <f>A894</f>
        <v>45778</v>
      </c>
      <c r="B895" s="40" t="s">
        <v>19</v>
      </c>
      <c r="C895" s="40" t="s">
        <v>44</v>
      </c>
      <c r="D895" s="41">
        <v>-1</v>
      </c>
      <c r="E895" s="43" t="s">
        <v>321</v>
      </c>
      <c r="F895" s="42" t="s">
        <v>38</v>
      </c>
    </row>
    <row r="896" spans="1:7">
      <c r="A896" s="39">
        <v>45778</v>
      </c>
      <c r="B896" s="40" t="s">
        <v>132</v>
      </c>
      <c r="C896" s="40" t="s">
        <v>46</v>
      </c>
      <c r="D896" s="41">
        <v>-200</v>
      </c>
      <c r="E896" s="43" t="str">
        <f>C896</f>
        <v>Traspaso</v>
      </c>
      <c r="F896" s="42" t="s">
        <v>0</v>
      </c>
    </row>
    <row r="897" spans="1:6">
      <c r="A897" s="39">
        <v>45778</v>
      </c>
      <c r="B897" s="40" t="s">
        <v>151</v>
      </c>
      <c r="C897" s="40" t="s">
        <v>46</v>
      </c>
      <c r="D897" s="41">
        <v>200</v>
      </c>
      <c r="E897" s="43" t="str">
        <f>C897</f>
        <v>Traspaso</v>
      </c>
      <c r="F897" s="42" t="s">
        <v>0</v>
      </c>
    </row>
    <row r="898" spans="1:6">
      <c r="A898" s="39">
        <f>A897</f>
        <v>45778</v>
      </c>
      <c r="B898" s="40" t="s">
        <v>22</v>
      </c>
      <c r="C898" s="40" t="s">
        <v>34</v>
      </c>
      <c r="D898" s="41">
        <v>0.01</v>
      </c>
      <c r="E898" s="43" t="str">
        <f>C898</f>
        <v>Intereses</v>
      </c>
      <c r="F898" s="42" t="s">
        <v>0</v>
      </c>
    </row>
    <row r="899" spans="1:6">
      <c r="A899" s="39">
        <f>A898</f>
        <v>45778</v>
      </c>
      <c r="B899" s="40" t="s">
        <v>239</v>
      </c>
      <c r="C899" s="40" t="s">
        <v>34</v>
      </c>
      <c r="D899" s="41">
        <v>2.5099999999999998</v>
      </c>
      <c r="E899" s="43" t="str">
        <f>C899</f>
        <v>Intereses</v>
      </c>
      <c r="F899" s="42" t="s">
        <v>0</v>
      </c>
    </row>
    <row r="900" spans="1:6">
      <c r="A900" s="39">
        <v>45778</v>
      </c>
      <c r="B900" s="40" t="s">
        <v>16</v>
      </c>
      <c r="C900" s="40" t="s">
        <v>36</v>
      </c>
      <c r="D900" s="41">
        <v>-83.96</v>
      </c>
      <c r="E900" s="43" t="s">
        <v>96</v>
      </c>
      <c r="F900" s="42" t="s">
        <v>38</v>
      </c>
    </row>
    <row r="901" spans="1:6">
      <c r="A901" s="39">
        <v>45779</v>
      </c>
      <c r="B901" s="40" t="s">
        <v>16</v>
      </c>
      <c r="C901" s="40" t="s">
        <v>41</v>
      </c>
      <c r="D901" s="41">
        <v>-3</v>
      </c>
      <c r="E901" s="43" t="s">
        <v>42</v>
      </c>
      <c r="F901" s="42" t="s">
        <v>0</v>
      </c>
    </row>
    <row r="902" spans="1:6">
      <c r="A902" s="39">
        <f>A901</f>
        <v>45779</v>
      </c>
      <c r="B902" s="40" t="s">
        <v>26</v>
      </c>
      <c r="C902" s="40" t="s">
        <v>46</v>
      </c>
      <c r="D902" s="41">
        <v>-220</v>
      </c>
      <c r="E902" s="43" t="str">
        <f>C902</f>
        <v>Traspaso</v>
      </c>
      <c r="F902" s="42" t="s">
        <v>0</v>
      </c>
    </row>
    <row r="903" spans="1:6">
      <c r="A903" s="39">
        <f>A902</f>
        <v>45779</v>
      </c>
      <c r="B903" s="40" t="s">
        <v>13</v>
      </c>
      <c r="C903" s="40" t="s">
        <v>46</v>
      </c>
      <c r="D903" s="41">
        <v>220</v>
      </c>
      <c r="E903" s="43" t="str">
        <f>C903</f>
        <v>Traspaso</v>
      </c>
      <c r="F903" s="42" t="s">
        <v>0</v>
      </c>
    </row>
    <row r="904" spans="1:6">
      <c r="A904" s="39">
        <v>45779</v>
      </c>
      <c r="B904" s="40" t="s">
        <v>33</v>
      </c>
      <c r="C904" s="40" t="s">
        <v>46</v>
      </c>
      <c r="D904" s="41">
        <v>-70</v>
      </c>
      <c r="E904" s="43" t="str">
        <f>C904</f>
        <v>Traspaso</v>
      </c>
      <c r="F904" s="42" t="s">
        <v>1</v>
      </c>
    </row>
    <row r="905" spans="1:6">
      <c r="A905" s="39">
        <v>45779</v>
      </c>
      <c r="B905" s="40" t="s">
        <v>201</v>
      </c>
      <c r="C905" s="40" t="s">
        <v>46</v>
      </c>
      <c r="D905" s="41">
        <v>70</v>
      </c>
      <c r="E905" s="43" t="str">
        <f>C905</f>
        <v>Traspaso</v>
      </c>
      <c r="F905" s="42" t="s">
        <v>1</v>
      </c>
    </row>
    <row r="906" spans="1:6">
      <c r="A906" s="39">
        <f>A903</f>
        <v>45779</v>
      </c>
      <c r="B906" s="40" t="s">
        <v>19</v>
      </c>
      <c r="C906" s="40" t="s">
        <v>36</v>
      </c>
      <c r="D906" s="41">
        <v>-5.5</v>
      </c>
      <c r="E906" s="43" t="s">
        <v>84</v>
      </c>
      <c r="F906" s="42" t="s">
        <v>1</v>
      </c>
    </row>
    <row r="907" spans="1:6">
      <c r="A907" s="39">
        <f>A906</f>
        <v>45779</v>
      </c>
      <c r="B907" s="40" t="s">
        <v>32</v>
      </c>
      <c r="C907" s="40" t="s">
        <v>92</v>
      </c>
      <c r="D907" s="41">
        <v>100</v>
      </c>
      <c r="E907" s="43" t="s">
        <v>126</v>
      </c>
      <c r="F907" s="42" t="s">
        <v>38</v>
      </c>
    </row>
    <row r="908" spans="1:6">
      <c r="A908" s="39">
        <f>A907</f>
        <v>45779</v>
      </c>
      <c r="B908" s="40" t="s">
        <v>32</v>
      </c>
      <c r="C908" s="40" t="s">
        <v>54</v>
      </c>
      <c r="D908" s="41">
        <v>-57.71</v>
      </c>
      <c r="E908" s="43" t="s">
        <v>55</v>
      </c>
      <c r="F908" s="42" t="s">
        <v>1</v>
      </c>
    </row>
    <row r="909" spans="1:6">
      <c r="A909" s="39">
        <f>A908</f>
        <v>45779</v>
      </c>
      <c r="B909" s="40" t="s">
        <v>239</v>
      </c>
      <c r="C909" s="40" t="s">
        <v>58</v>
      </c>
      <c r="D909" s="41">
        <v>-115</v>
      </c>
      <c r="E909" s="43" t="s">
        <v>322</v>
      </c>
      <c r="F909" s="42" t="s">
        <v>0</v>
      </c>
    </row>
    <row r="910" spans="1:6">
      <c r="A910" s="39">
        <f>A909</f>
        <v>45779</v>
      </c>
      <c r="B910" s="40" t="s">
        <v>16</v>
      </c>
      <c r="C910" s="40" t="s">
        <v>36</v>
      </c>
      <c r="D910" s="41">
        <v>-109.57</v>
      </c>
      <c r="E910" s="43" t="s">
        <v>37</v>
      </c>
      <c r="F910" s="42" t="s">
        <v>38</v>
      </c>
    </row>
    <row r="911" spans="1:6">
      <c r="A911" s="39">
        <v>45780</v>
      </c>
      <c r="B911" s="40" t="s">
        <v>18</v>
      </c>
      <c r="C911" s="40" t="s">
        <v>60</v>
      </c>
      <c r="D911" s="41">
        <v>-1</v>
      </c>
      <c r="E911" s="43" t="s">
        <v>323</v>
      </c>
      <c r="F911" s="42" t="s">
        <v>38</v>
      </c>
    </row>
    <row r="912" spans="1:6">
      <c r="A912" s="39">
        <v>45780</v>
      </c>
      <c r="B912" s="40" t="s">
        <v>16</v>
      </c>
      <c r="C912" s="40" t="s">
        <v>58</v>
      </c>
      <c r="D912" s="41">
        <v>-7.8</v>
      </c>
      <c r="E912" s="43" t="s">
        <v>324</v>
      </c>
      <c r="F912" s="42" t="s">
        <v>38</v>
      </c>
    </row>
    <row r="913" spans="1:6">
      <c r="A913" s="39">
        <v>45780</v>
      </c>
      <c r="B913" s="40" t="s">
        <v>19</v>
      </c>
      <c r="C913" s="40" t="s">
        <v>41</v>
      </c>
      <c r="D913" s="41">
        <v>-61</v>
      </c>
      <c r="E913" s="43" t="s">
        <v>325</v>
      </c>
      <c r="F913" s="42" t="s">
        <v>38</v>
      </c>
    </row>
    <row r="914" spans="1:6">
      <c r="A914" s="39">
        <v>45782</v>
      </c>
      <c r="B914" s="40" t="s">
        <v>24</v>
      </c>
      <c r="C914" s="40" t="s">
        <v>58</v>
      </c>
      <c r="D914" s="41">
        <v>-935</v>
      </c>
      <c r="E914" s="44" t="s">
        <v>326</v>
      </c>
      <c r="F914" s="42" t="s">
        <v>0</v>
      </c>
    </row>
    <row r="915" spans="1:6">
      <c r="A915" s="39">
        <v>45782</v>
      </c>
      <c r="B915" s="40" t="s">
        <v>26</v>
      </c>
      <c r="C915" s="40" t="s">
        <v>41</v>
      </c>
      <c r="D915" s="41">
        <v>-1.3</v>
      </c>
      <c r="E915" s="43" t="s">
        <v>42</v>
      </c>
      <c r="F915" s="42" t="s">
        <v>0</v>
      </c>
    </row>
    <row r="916" spans="1:6">
      <c r="A916" s="39">
        <v>45782</v>
      </c>
      <c r="B916" s="40" t="s">
        <v>260</v>
      </c>
      <c r="C916" s="40" t="s">
        <v>46</v>
      </c>
      <c r="D916" s="41">
        <v>-513.48</v>
      </c>
      <c r="E916" s="43" t="str">
        <f>C916</f>
        <v>Traspaso</v>
      </c>
      <c r="F916" s="42" t="s">
        <v>0</v>
      </c>
    </row>
    <row r="917" spans="1:6">
      <c r="A917" s="39">
        <f>A916</f>
        <v>45782</v>
      </c>
      <c r="B917" s="40" t="s">
        <v>16</v>
      </c>
      <c r="C917" s="40" t="s">
        <v>46</v>
      </c>
      <c r="D917" s="41">
        <v>513.48</v>
      </c>
      <c r="E917" s="43" t="str">
        <f>C917</f>
        <v>Traspaso</v>
      </c>
      <c r="F917" s="42" t="s">
        <v>0</v>
      </c>
    </row>
    <row r="918" spans="1:6">
      <c r="A918" s="39">
        <f>A917</f>
        <v>45782</v>
      </c>
      <c r="B918" s="40" t="s">
        <v>256</v>
      </c>
      <c r="C918" s="40" t="s">
        <v>50</v>
      </c>
      <c r="D918" s="41">
        <v>935</v>
      </c>
      <c r="E918" s="43" t="s">
        <v>232</v>
      </c>
      <c r="F918" s="42" t="s">
        <v>1</v>
      </c>
    </row>
    <row r="919" spans="1:6">
      <c r="A919" s="39">
        <f>A918</f>
        <v>45782</v>
      </c>
      <c r="B919" s="40" t="s">
        <v>132</v>
      </c>
      <c r="C919" s="40" t="s">
        <v>46</v>
      </c>
      <c r="D919" s="41">
        <v>-298.77</v>
      </c>
      <c r="E919" s="43" t="str">
        <f>C919</f>
        <v>Traspaso</v>
      </c>
      <c r="F919" s="42" t="s">
        <v>0</v>
      </c>
    </row>
    <row r="920" spans="1:6">
      <c r="A920" s="39">
        <f>A919</f>
        <v>45782</v>
      </c>
      <c r="B920" s="40" t="s">
        <v>24</v>
      </c>
      <c r="C920" s="40" t="s">
        <v>46</v>
      </c>
      <c r="D920" s="41">
        <v>298.77</v>
      </c>
      <c r="E920" s="43" t="str">
        <f>C920</f>
        <v>Traspaso</v>
      </c>
      <c r="F920" s="42" t="s">
        <v>0</v>
      </c>
    </row>
    <row r="921" spans="1:6">
      <c r="A921" s="39">
        <f>A920</f>
        <v>45782</v>
      </c>
      <c r="B921" s="40" t="s">
        <v>132</v>
      </c>
      <c r="C921" s="40" t="s">
        <v>43</v>
      </c>
      <c r="D921" s="41">
        <v>-35.880000000000003</v>
      </c>
      <c r="E921" s="43" t="s">
        <v>262</v>
      </c>
      <c r="F921" s="42" t="s">
        <v>0</v>
      </c>
    </row>
    <row r="922" spans="1:6">
      <c r="A922" s="39">
        <f>A921</f>
        <v>45782</v>
      </c>
      <c r="B922" s="40" t="s">
        <v>260</v>
      </c>
      <c r="C922" s="40" t="s">
        <v>46</v>
      </c>
      <c r="D922" s="41">
        <v>-376.16</v>
      </c>
      <c r="E922" s="43" t="str">
        <f>C922</f>
        <v>Traspaso</v>
      </c>
      <c r="F922" s="42" t="s">
        <v>0</v>
      </c>
    </row>
    <row r="923" spans="1:6">
      <c r="A923" s="39">
        <f>A922</f>
        <v>45782</v>
      </c>
      <c r="B923" s="40" t="s">
        <v>24</v>
      </c>
      <c r="C923" s="40" t="s">
        <v>46</v>
      </c>
      <c r="D923" s="41">
        <v>376.16</v>
      </c>
      <c r="E923" s="43" t="str">
        <f>C923</f>
        <v>Traspaso</v>
      </c>
      <c r="F923" s="42" t="s">
        <v>0</v>
      </c>
    </row>
    <row r="924" spans="1:6">
      <c r="A924" s="39">
        <f>A923</f>
        <v>45782</v>
      </c>
      <c r="B924" s="40" t="s">
        <v>24</v>
      </c>
      <c r="C924" s="40" t="s">
        <v>46</v>
      </c>
      <c r="D924" s="41">
        <v>-539.92999999999995</v>
      </c>
      <c r="E924" s="43" t="str">
        <f>C924</f>
        <v>Traspaso</v>
      </c>
      <c r="F924" s="42" t="s">
        <v>0</v>
      </c>
    </row>
    <row r="925" spans="1:6">
      <c r="A925" s="39">
        <f>A924</f>
        <v>45782</v>
      </c>
      <c r="B925" s="40" t="s">
        <v>239</v>
      </c>
      <c r="C925" s="40" t="s">
        <v>46</v>
      </c>
      <c r="D925" s="41">
        <v>539.92999999999995</v>
      </c>
      <c r="E925" s="43" t="str">
        <f>C925</f>
        <v>Traspaso</v>
      </c>
      <c r="F925" s="42" t="s">
        <v>0</v>
      </c>
    </row>
    <row r="926" spans="1:6">
      <c r="A926" s="39">
        <f>A925</f>
        <v>45782</v>
      </c>
      <c r="B926" s="40" t="s">
        <v>19</v>
      </c>
      <c r="C926" s="40" t="s">
        <v>36</v>
      </c>
      <c r="D926" s="41">
        <v>-1.4</v>
      </c>
      <c r="E926" s="43" t="s">
        <v>84</v>
      </c>
      <c r="F926" s="42" t="s">
        <v>1</v>
      </c>
    </row>
    <row r="927" spans="1:6">
      <c r="A927" s="39">
        <f>A926</f>
        <v>45782</v>
      </c>
      <c r="B927" s="40" t="s">
        <v>19</v>
      </c>
      <c r="C927" s="40" t="s">
        <v>50</v>
      </c>
      <c r="D927" s="41">
        <v>70</v>
      </c>
      <c r="E927" s="43" t="s">
        <v>232</v>
      </c>
      <c r="F927" s="42" t="s">
        <v>1</v>
      </c>
    </row>
    <row r="928" spans="1:6">
      <c r="A928" s="39">
        <f>A927</f>
        <v>45782</v>
      </c>
      <c r="B928" s="40" t="s">
        <v>32</v>
      </c>
      <c r="C928" s="40" t="s">
        <v>60</v>
      </c>
      <c r="D928" s="41">
        <v>-21</v>
      </c>
      <c r="E928" s="43" t="s">
        <v>68</v>
      </c>
      <c r="F928" s="42" t="s">
        <v>1</v>
      </c>
    </row>
    <row r="929" spans="1:6">
      <c r="A929" s="39">
        <v>45783</v>
      </c>
      <c r="B929" s="40" t="s">
        <v>26</v>
      </c>
      <c r="C929" s="40" t="s">
        <v>41</v>
      </c>
      <c r="D929" s="41">
        <v>-1.3</v>
      </c>
      <c r="E929" s="43" t="s">
        <v>42</v>
      </c>
      <c r="F929" s="42" t="s">
        <v>0</v>
      </c>
    </row>
    <row r="930" spans="1:6">
      <c r="A930" s="39">
        <f>A929</f>
        <v>45783</v>
      </c>
      <c r="B930" s="40" t="s">
        <v>260</v>
      </c>
      <c r="C930" s="40" t="s">
        <v>34</v>
      </c>
      <c r="D930" s="41">
        <f>400-76</f>
        <v>324</v>
      </c>
      <c r="E930" s="43" t="s">
        <v>327</v>
      </c>
      <c r="F930" s="42" t="s">
        <v>0</v>
      </c>
    </row>
    <row r="931" spans="1:6">
      <c r="A931" s="39">
        <f>A930</f>
        <v>45783</v>
      </c>
      <c r="B931" s="40" t="s">
        <v>260</v>
      </c>
      <c r="C931" s="40" t="s">
        <v>34</v>
      </c>
      <c r="D931" s="41">
        <v>25</v>
      </c>
      <c r="E931" s="43" t="s">
        <v>272</v>
      </c>
      <c r="F931" s="42" t="s">
        <v>0</v>
      </c>
    </row>
    <row r="932" spans="1:6">
      <c r="A932" s="39">
        <f>A931</f>
        <v>45783</v>
      </c>
      <c r="B932" s="40" t="s">
        <v>260</v>
      </c>
      <c r="C932" s="40" t="s">
        <v>46</v>
      </c>
      <c r="D932" s="41">
        <v>-50</v>
      </c>
      <c r="E932" s="43" t="str">
        <f>C932</f>
        <v>Traspaso</v>
      </c>
      <c r="F932" s="42" t="s">
        <v>0</v>
      </c>
    </row>
    <row r="933" spans="1:6">
      <c r="A933" s="39">
        <f>A932</f>
        <v>45783</v>
      </c>
      <c r="B933" s="8" t="s">
        <v>328</v>
      </c>
      <c r="C933" s="40" t="s">
        <v>46</v>
      </c>
      <c r="D933" s="41">
        <v>50</v>
      </c>
      <c r="E933" s="43" t="str">
        <f>C933</f>
        <v>Traspaso</v>
      </c>
      <c r="F933" s="42" t="s">
        <v>0</v>
      </c>
    </row>
    <row r="934" spans="1:6">
      <c r="A934" s="39">
        <f>A933</f>
        <v>45783</v>
      </c>
      <c r="B934" s="40" t="s">
        <v>260</v>
      </c>
      <c r="C934" s="40" t="s">
        <v>46</v>
      </c>
      <c r="D934" s="41">
        <v>-100</v>
      </c>
      <c r="E934" s="43" t="str">
        <f>C934</f>
        <v>Traspaso</v>
      </c>
      <c r="F934" s="42" t="s">
        <v>0</v>
      </c>
    </row>
    <row r="935" spans="1:6">
      <c r="A935" s="39">
        <f>A934</f>
        <v>45783</v>
      </c>
      <c r="B935" s="8" t="s">
        <v>328</v>
      </c>
      <c r="C935" s="40" t="s">
        <v>46</v>
      </c>
      <c r="D935" s="41">
        <v>100</v>
      </c>
      <c r="E935" s="43" t="str">
        <f>C935</f>
        <v>Traspaso</v>
      </c>
      <c r="F935" s="42" t="s">
        <v>0</v>
      </c>
    </row>
    <row r="936" spans="1:6">
      <c r="A936" s="39">
        <f>A935</f>
        <v>45783</v>
      </c>
      <c r="B936" s="40" t="s">
        <v>32</v>
      </c>
      <c r="C936" s="40" t="s">
        <v>44</v>
      </c>
      <c r="D936" s="41">
        <v>-10.48</v>
      </c>
      <c r="E936" s="43" t="s">
        <v>80</v>
      </c>
      <c r="F936" s="42" t="s">
        <v>1</v>
      </c>
    </row>
    <row r="937" spans="1:6">
      <c r="A937" s="39">
        <f>A936</f>
        <v>45783</v>
      </c>
      <c r="B937" s="40" t="s">
        <v>32</v>
      </c>
      <c r="C937" s="40" t="s">
        <v>52</v>
      </c>
      <c r="D937" s="41">
        <v>-74</v>
      </c>
      <c r="E937" s="43" t="s">
        <v>130</v>
      </c>
      <c r="F937" s="42" t="s">
        <v>38</v>
      </c>
    </row>
    <row r="938" spans="1:6">
      <c r="A938" s="39">
        <v>45783</v>
      </c>
      <c r="B938" s="40" t="s">
        <v>19</v>
      </c>
      <c r="C938" s="40" t="s">
        <v>36</v>
      </c>
      <c r="D938" s="41">
        <v>-2.5</v>
      </c>
      <c r="E938" s="43" t="s">
        <v>84</v>
      </c>
      <c r="F938" s="42" t="s">
        <v>1</v>
      </c>
    </row>
    <row r="939" spans="1:6">
      <c r="A939" s="39">
        <f>A938</f>
        <v>45783</v>
      </c>
      <c r="B939" s="40" t="s">
        <v>19</v>
      </c>
      <c r="C939" s="40" t="s">
        <v>76</v>
      </c>
      <c r="D939" s="41">
        <v>-7</v>
      </c>
      <c r="E939" s="43" t="s">
        <v>329</v>
      </c>
      <c r="F939" s="42" t="s">
        <v>1</v>
      </c>
    </row>
    <row r="940" spans="1:6">
      <c r="A940" s="39">
        <f>A939</f>
        <v>45783</v>
      </c>
      <c r="B940" s="40" t="s">
        <v>26</v>
      </c>
      <c r="C940" s="40" t="s">
        <v>34</v>
      </c>
      <c r="D940" s="41">
        <v>0.67</v>
      </c>
      <c r="E940" s="43" t="s">
        <v>330</v>
      </c>
      <c r="F940" s="42" t="s">
        <v>0</v>
      </c>
    </row>
    <row r="941" spans="1:6">
      <c r="A941" s="39">
        <f>A940</f>
        <v>45783</v>
      </c>
      <c r="B941" s="40" t="s">
        <v>26</v>
      </c>
      <c r="C941" s="40" t="s">
        <v>52</v>
      </c>
      <c r="D941" s="41">
        <v>-20.99</v>
      </c>
      <c r="E941" s="43" t="s">
        <v>331</v>
      </c>
      <c r="F941" s="42" t="s">
        <v>0</v>
      </c>
    </row>
    <row r="942" spans="1:6">
      <c r="A942" s="39">
        <v>45784</v>
      </c>
      <c r="B942" s="40" t="s">
        <v>26</v>
      </c>
      <c r="C942" s="40" t="s">
        <v>41</v>
      </c>
      <c r="D942" s="41">
        <v>-1.3</v>
      </c>
      <c r="E942" s="43" t="s">
        <v>42</v>
      </c>
      <c r="F942" s="42" t="s">
        <v>0</v>
      </c>
    </row>
    <row r="943" spans="1:6">
      <c r="A943" s="39">
        <f>A942</f>
        <v>45784</v>
      </c>
      <c r="B943" s="40" t="s">
        <v>132</v>
      </c>
      <c r="C943" s="40" t="s">
        <v>34</v>
      </c>
      <c r="D943" s="41">
        <v>0.57999999999999996</v>
      </c>
      <c r="E943" s="43" t="str">
        <f>C943</f>
        <v>Intereses</v>
      </c>
      <c r="F943" s="42" t="s">
        <v>0</v>
      </c>
    </row>
    <row r="944" spans="1:6">
      <c r="A944" s="39">
        <f>A943</f>
        <v>45784</v>
      </c>
      <c r="B944" s="40" t="s">
        <v>260</v>
      </c>
      <c r="C944" s="40" t="s">
        <v>46</v>
      </c>
      <c r="D944" s="41">
        <v>-199</v>
      </c>
      <c r="E944" s="43" t="str">
        <f>C944</f>
        <v>Traspaso</v>
      </c>
      <c r="F944" s="42" t="s">
        <v>0</v>
      </c>
    </row>
    <row r="945" spans="1:6">
      <c r="A945" s="39">
        <f>A944</f>
        <v>45784</v>
      </c>
      <c r="B945" s="40" t="s">
        <v>239</v>
      </c>
      <c r="C945" s="40" t="s">
        <v>46</v>
      </c>
      <c r="D945" s="41">
        <v>199</v>
      </c>
      <c r="E945" s="43" t="str">
        <f>C945</f>
        <v>Traspaso</v>
      </c>
      <c r="F945" s="42" t="s">
        <v>0</v>
      </c>
    </row>
    <row r="946" spans="1:6">
      <c r="A946" s="39">
        <f>A945</f>
        <v>45784</v>
      </c>
      <c r="B946" s="40" t="s">
        <v>25</v>
      </c>
      <c r="C946" s="40" t="s">
        <v>46</v>
      </c>
      <c r="D946" s="41">
        <v>-300</v>
      </c>
      <c r="E946" s="43" t="str">
        <f>C946</f>
        <v>Traspaso</v>
      </c>
      <c r="F946" s="42" t="s">
        <v>0</v>
      </c>
    </row>
    <row r="947" spans="1:6">
      <c r="A947" s="39">
        <f>A946</f>
        <v>45784</v>
      </c>
      <c r="B947" s="40" t="s">
        <v>239</v>
      </c>
      <c r="C947" s="40" t="s">
        <v>46</v>
      </c>
      <c r="D947" s="41">
        <v>300</v>
      </c>
      <c r="E947" s="43" t="str">
        <f>C947</f>
        <v>Traspaso</v>
      </c>
      <c r="F947" s="42" t="s">
        <v>0</v>
      </c>
    </row>
    <row r="948" spans="1:6">
      <c r="A948" s="39">
        <f>A947</f>
        <v>45784</v>
      </c>
      <c r="B948" s="40" t="s">
        <v>24</v>
      </c>
      <c r="C948" s="40" t="s">
        <v>46</v>
      </c>
      <c r="D948" s="41">
        <v>-300</v>
      </c>
      <c r="E948" s="43" t="str">
        <f>C948</f>
        <v>Traspaso</v>
      </c>
      <c r="F948" s="42" t="s">
        <v>0</v>
      </c>
    </row>
    <row r="949" spans="1:6">
      <c r="A949" s="39">
        <f>A948</f>
        <v>45784</v>
      </c>
      <c r="B949" s="40" t="s">
        <v>239</v>
      </c>
      <c r="C949" s="40" t="s">
        <v>46</v>
      </c>
      <c r="D949" s="41">
        <v>300</v>
      </c>
      <c r="E949" s="43" t="str">
        <f>C949</f>
        <v>Traspaso</v>
      </c>
      <c r="F949" s="42" t="s">
        <v>0</v>
      </c>
    </row>
    <row r="950" spans="1:6">
      <c r="A950" s="39">
        <f>A949</f>
        <v>45784</v>
      </c>
      <c r="B950" s="40" t="s">
        <v>239</v>
      </c>
      <c r="C950" s="40" t="s">
        <v>46</v>
      </c>
      <c r="D950" s="41">
        <v>-1000</v>
      </c>
      <c r="E950" s="43" t="str">
        <f>C950</f>
        <v>Traspaso</v>
      </c>
      <c r="F950" s="42" t="s">
        <v>0</v>
      </c>
    </row>
    <row r="951" spans="1:6">
      <c r="A951" s="39">
        <f>A950</f>
        <v>45784</v>
      </c>
      <c r="B951" s="40" t="s">
        <v>332</v>
      </c>
      <c r="C951" s="40" t="s">
        <v>46</v>
      </c>
      <c r="D951" s="41">
        <v>1000</v>
      </c>
      <c r="E951" s="43" t="str">
        <f>C951</f>
        <v>Traspaso</v>
      </c>
      <c r="F951" s="42" t="s">
        <v>0</v>
      </c>
    </row>
    <row r="952" spans="1:6">
      <c r="A952" s="39">
        <f>A951</f>
        <v>45784</v>
      </c>
      <c r="B952" s="40" t="s">
        <v>132</v>
      </c>
      <c r="C952" s="40" t="s">
        <v>46</v>
      </c>
      <c r="D952" s="41">
        <v>-264.7</v>
      </c>
      <c r="E952" s="43" t="str">
        <f>C952</f>
        <v>Traspaso</v>
      </c>
      <c r="F952" s="42" t="s">
        <v>0</v>
      </c>
    </row>
    <row r="953" spans="1:6">
      <c r="A953" s="39">
        <f>A952</f>
        <v>45784</v>
      </c>
      <c r="B953" s="40" t="s">
        <v>239</v>
      </c>
      <c r="C953" s="40" t="s">
        <v>46</v>
      </c>
      <c r="D953" s="41">
        <v>264.7</v>
      </c>
      <c r="E953" s="43" t="str">
        <f>C953</f>
        <v>Traspaso</v>
      </c>
      <c r="F953" s="42" t="s">
        <v>0</v>
      </c>
    </row>
    <row r="954" spans="1:6">
      <c r="A954" s="39">
        <f>A953</f>
        <v>45784</v>
      </c>
      <c r="B954" s="40" t="s">
        <v>260</v>
      </c>
      <c r="C954" s="40" t="s">
        <v>46</v>
      </c>
      <c r="D954" s="41">
        <v>-144.29</v>
      </c>
      <c r="E954" s="43" t="str">
        <f>C954</f>
        <v>Traspaso</v>
      </c>
      <c r="F954" s="42" t="s">
        <v>0</v>
      </c>
    </row>
    <row r="955" spans="1:6">
      <c r="A955" s="39">
        <f>A954</f>
        <v>45784</v>
      </c>
      <c r="B955" s="40" t="s">
        <v>239</v>
      </c>
      <c r="C955" s="40" t="s">
        <v>46</v>
      </c>
      <c r="D955" s="41">
        <v>144.29</v>
      </c>
      <c r="E955" s="43" t="str">
        <f>C955</f>
        <v>Traspaso</v>
      </c>
      <c r="F955" s="42" t="s">
        <v>0</v>
      </c>
    </row>
    <row r="956" spans="1:6">
      <c r="A956" s="39">
        <f>A955</f>
        <v>45784</v>
      </c>
      <c r="B956" s="40" t="s">
        <v>239</v>
      </c>
      <c r="C956" s="40" t="s">
        <v>46</v>
      </c>
      <c r="D956" s="41">
        <v>-500</v>
      </c>
      <c r="E956" s="43" t="str">
        <f>C956</f>
        <v>Traspaso</v>
      </c>
      <c r="F956" s="42" t="s">
        <v>0</v>
      </c>
    </row>
    <row r="957" spans="1:6">
      <c r="A957" s="39">
        <f>A956</f>
        <v>45784</v>
      </c>
      <c r="B957" s="40" t="s">
        <v>333</v>
      </c>
      <c r="C957" s="40" t="s">
        <v>46</v>
      </c>
      <c r="D957" s="41">
        <v>500</v>
      </c>
      <c r="E957" s="43" t="str">
        <f>C957</f>
        <v>Traspaso</v>
      </c>
      <c r="F957" s="42" t="s">
        <v>0</v>
      </c>
    </row>
    <row r="958" spans="1:6">
      <c r="A958" s="39">
        <f>A957</f>
        <v>45784</v>
      </c>
      <c r="B958" s="40" t="s">
        <v>19</v>
      </c>
      <c r="C958" s="40" t="s">
        <v>54</v>
      </c>
      <c r="D958" s="41">
        <v>-70</v>
      </c>
      <c r="E958" s="43" t="s">
        <v>241</v>
      </c>
      <c r="F958" s="42" t="s">
        <v>1</v>
      </c>
    </row>
    <row r="959" spans="1:6">
      <c r="A959" s="39">
        <f>A958</f>
        <v>45784</v>
      </c>
      <c r="B959" s="40" t="s">
        <v>256</v>
      </c>
      <c r="C959" s="40" t="s">
        <v>54</v>
      </c>
      <c r="D959" s="41">
        <v>-10</v>
      </c>
      <c r="E959" s="43" t="s">
        <v>241</v>
      </c>
      <c r="F959" s="42" t="s">
        <v>1</v>
      </c>
    </row>
    <row r="960" spans="1:6">
      <c r="A960" s="39">
        <v>45784</v>
      </c>
      <c r="B960" s="40" t="s">
        <v>17</v>
      </c>
      <c r="C960" s="40" t="s">
        <v>76</v>
      </c>
      <c r="D960" s="41">
        <v>-19.899999999999999</v>
      </c>
      <c r="E960" s="43" t="s">
        <v>334</v>
      </c>
      <c r="F960" s="42" t="s">
        <v>1</v>
      </c>
    </row>
    <row r="961" spans="1:6">
      <c r="A961" s="39">
        <v>45784</v>
      </c>
      <c r="B961" s="40" t="s">
        <v>26</v>
      </c>
      <c r="C961" s="40" t="s">
        <v>34</v>
      </c>
      <c r="D961" s="41">
        <v>29.49</v>
      </c>
      <c r="E961" s="43" t="s">
        <v>227</v>
      </c>
      <c r="F961" s="42" t="s">
        <v>0</v>
      </c>
    </row>
    <row r="962" spans="1:6">
      <c r="A962" s="39">
        <v>45784</v>
      </c>
      <c r="B962" s="40" t="s">
        <v>26</v>
      </c>
      <c r="C962" s="40" t="s">
        <v>34</v>
      </c>
      <c r="D962" s="41">
        <v>15.01</v>
      </c>
      <c r="E962" s="43" t="s">
        <v>227</v>
      </c>
      <c r="F962" s="42" t="s">
        <v>0</v>
      </c>
    </row>
    <row r="963" spans="1:6">
      <c r="A963" s="39">
        <v>45784</v>
      </c>
      <c r="B963" s="40" t="s">
        <v>26</v>
      </c>
      <c r="C963" s="40" t="s">
        <v>34</v>
      </c>
      <c r="D963" s="41">
        <v>24.35</v>
      </c>
      <c r="E963" s="43" t="s">
        <v>227</v>
      </c>
      <c r="F963" s="42" t="s">
        <v>0</v>
      </c>
    </row>
    <row r="964" spans="1:6">
      <c r="A964" s="39">
        <v>45785</v>
      </c>
      <c r="B964" s="40" t="s">
        <v>32</v>
      </c>
      <c r="C964" s="40" t="s">
        <v>149</v>
      </c>
      <c r="D964" s="41">
        <v>-443.09</v>
      </c>
      <c r="E964" s="43" t="s">
        <v>335</v>
      </c>
      <c r="F964" s="42" t="s">
        <v>38</v>
      </c>
    </row>
    <row r="965" spans="1:6">
      <c r="A965" s="39">
        <f>A964</f>
        <v>45785</v>
      </c>
      <c r="B965" s="40" t="s">
        <v>26</v>
      </c>
      <c r="C965" s="40" t="s">
        <v>41</v>
      </c>
      <c r="D965" s="41">
        <v>-1.3</v>
      </c>
      <c r="E965" s="43" t="s">
        <v>42</v>
      </c>
      <c r="F965" s="42" t="s">
        <v>0</v>
      </c>
    </row>
    <row r="966" spans="1:6">
      <c r="A966" s="39">
        <f>A965</f>
        <v>45785</v>
      </c>
      <c r="B966" s="40" t="s">
        <v>19</v>
      </c>
      <c r="C966" s="40" t="s">
        <v>50</v>
      </c>
      <c r="D966" s="41">
        <v>500</v>
      </c>
      <c r="E966" s="43" t="s">
        <v>232</v>
      </c>
      <c r="F966" s="42" t="s">
        <v>1</v>
      </c>
    </row>
    <row r="967" spans="1:6">
      <c r="A967" s="39">
        <f>A966</f>
        <v>45785</v>
      </c>
      <c r="B967" s="40" t="s">
        <v>19</v>
      </c>
      <c r="C967" s="40" t="s">
        <v>36</v>
      </c>
      <c r="D967" s="41">
        <v>-1.6</v>
      </c>
      <c r="E967" s="43" t="s">
        <v>84</v>
      </c>
      <c r="F967" s="42" t="s">
        <v>1</v>
      </c>
    </row>
    <row r="968" spans="1:6">
      <c r="A968" s="39">
        <v>45786</v>
      </c>
      <c r="B968" s="40" t="s">
        <v>26</v>
      </c>
      <c r="C968" s="40" t="s">
        <v>41</v>
      </c>
      <c r="D968" s="41">
        <v>-3</v>
      </c>
      <c r="E968" s="43" t="s">
        <v>42</v>
      </c>
      <c r="F968" s="42" t="s">
        <v>0</v>
      </c>
    </row>
    <row r="969" spans="1:6">
      <c r="A969" s="39">
        <f>A968</f>
        <v>45786</v>
      </c>
      <c r="B969" s="40" t="s">
        <v>21</v>
      </c>
      <c r="C969" s="40" t="s">
        <v>34</v>
      </c>
      <c r="D969" s="41">
        <v>-22.5</v>
      </c>
      <c r="E969" s="43" t="s">
        <v>134</v>
      </c>
      <c r="F969" s="42" t="s">
        <v>0</v>
      </c>
    </row>
    <row r="970" spans="1:6">
      <c r="A970" s="39">
        <f>A969</f>
        <v>45786</v>
      </c>
      <c r="B970" s="40" t="s">
        <v>21</v>
      </c>
      <c r="C970" s="40" t="s">
        <v>46</v>
      </c>
      <c r="D970" s="41">
        <v>-14977.5</v>
      </c>
      <c r="E970" s="43" t="str">
        <f>C970</f>
        <v>Traspaso</v>
      </c>
      <c r="F970" s="42" t="s">
        <v>0</v>
      </c>
    </row>
    <row r="971" spans="1:6">
      <c r="A971" s="39">
        <f>A970</f>
        <v>45786</v>
      </c>
      <c r="B971" s="40" t="s">
        <v>22</v>
      </c>
      <c r="C971" s="40" t="s">
        <v>46</v>
      </c>
      <c r="D971" s="41">
        <v>14977.5</v>
      </c>
      <c r="E971" s="43" t="str">
        <f>C971</f>
        <v>Traspaso</v>
      </c>
      <c r="F971" s="42" t="s">
        <v>0</v>
      </c>
    </row>
    <row r="972" spans="1:6">
      <c r="A972" s="39">
        <f>A971</f>
        <v>45786</v>
      </c>
      <c r="B972" s="40" t="s">
        <v>22</v>
      </c>
      <c r="C972" s="40" t="s">
        <v>46</v>
      </c>
      <c r="D972" s="41">
        <v>-800</v>
      </c>
      <c r="E972" s="43" t="str">
        <f>C972</f>
        <v>Traspaso</v>
      </c>
      <c r="F972" s="42" t="s">
        <v>0</v>
      </c>
    </row>
    <row r="973" spans="1:6">
      <c r="A973" s="39">
        <f>A972</f>
        <v>45786</v>
      </c>
      <c r="B973" s="40" t="s">
        <v>24</v>
      </c>
      <c r="C973" s="40" t="s">
        <v>46</v>
      </c>
      <c r="D973" s="41">
        <v>800</v>
      </c>
      <c r="E973" s="43" t="str">
        <f>C973</f>
        <v>Traspaso</v>
      </c>
      <c r="F973" s="42" t="s">
        <v>0</v>
      </c>
    </row>
    <row r="974" spans="1:6">
      <c r="A974" s="39">
        <f>A973</f>
        <v>45786</v>
      </c>
      <c r="B974" s="40" t="s">
        <v>22</v>
      </c>
      <c r="C974" s="40" t="s">
        <v>46</v>
      </c>
      <c r="D974" s="41">
        <v>-800</v>
      </c>
      <c r="E974" s="43" t="str">
        <f>C974</f>
        <v>Traspaso</v>
      </c>
      <c r="F974" s="42" t="s">
        <v>0</v>
      </c>
    </row>
    <row r="975" spans="1:6">
      <c r="A975" s="39">
        <f>A974</f>
        <v>45786</v>
      </c>
      <c r="B975" s="40" t="s">
        <v>25</v>
      </c>
      <c r="C975" s="40" t="s">
        <v>46</v>
      </c>
      <c r="D975" s="41">
        <v>800</v>
      </c>
      <c r="E975" s="43" t="str">
        <f>C975</f>
        <v>Traspaso</v>
      </c>
      <c r="F975" s="42" t="s">
        <v>0</v>
      </c>
    </row>
    <row r="976" spans="1:6">
      <c r="A976" s="39">
        <f>A975</f>
        <v>45786</v>
      </c>
      <c r="B976" s="40" t="s">
        <v>22</v>
      </c>
      <c r="C976" s="40" t="s">
        <v>46</v>
      </c>
      <c r="D976" s="41">
        <v>-944.29</v>
      </c>
      <c r="E976" s="43" t="str">
        <f>C976</f>
        <v>Traspaso</v>
      </c>
      <c r="F976" s="42" t="s">
        <v>0</v>
      </c>
    </row>
    <row r="977" spans="1:6">
      <c r="A977" s="39">
        <f>A976</f>
        <v>45786</v>
      </c>
      <c r="B977" s="40" t="s">
        <v>260</v>
      </c>
      <c r="C977" s="40" t="s">
        <v>46</v>
      </c>
      <c r="D977" s="41">
        <v>944.29</v>
      </c>
      <c r="E977" s="43" t="str">
        <f>C977</f>
        <v>Traspaso</v>
      </c>
      <c r="F977" s="42" t="s">
        <v>0</v>
      </c>
    </row>
    <row r="978" spans="1:6">
      <c r="A978" s="39">
        <f>A977</f>
        <v>45786</v>
      </c>
      <c r="B978" s="40" t="s">
        <v>22</v>
      </c>
      <c r="C978" s="40" t="s">
        <v>46</v>
      </c>
      <c r="D978" s="41">
        <v>-12339.91</v>
      </c>
      <c r="E978" s="43" t="str">
        <f>C978</f>
        <v>Traspaso</v>
      </c>
      <c r="F978" s="42" t="s">
        <v>0</v>
      </c>
    </row>
    <row r="979" spans="1:6">
      <c r="A979" s="39">
        <f>A978</f>
        <v>45786</v>
      </c>
      <c r="B979" s="40" t="s">
        <v>239</v>
      </c>
      <c r="C979" s="40" t="s">
        <v>46</v>
      </c>
      <c r="D979" s="41">
        <v>12339.91</v>
      </c>
      <c r="E979" s="43" t="str">
        <f>C979</f>
        <v>Traspaso</v>
      </c>
      <c r="F979" s="42" t="s">
        <v>0</v>
      </c>
    </row>
    <row r="980" spans="1:6">
      <c r="A980" s="39">
        <f>A979</f>
        <v>45786</v>
      </c>
      <c r="B980" s="40" t="s">
        <v>239</v>
      </c>
      <c r="C980" s="40" t="s">
        <v>46</v>
      </c>
      <c r="D980" s="41">
        <v>-800</v>
      </c>
      <c r="E980" s="43" t="str">
        <f>C980</f>
        <v>Traspaso</v>
      </c>
      <c r="F980" s="42" t="s">
        <v>0</v>
      </c>
    </row>
    <row r="981" spans="1:6">
      <c r="A981" s="39">
        <f>A980</f>
        <v>45786</v>
      </c>
      <c r="B981" s="40" t="s">
        <v>132</v>
      </c>
      <c r="C981" s="40" t="s">
        <v>46</v>
      </c>
      <c r="D981" s="41">
        <v>800</v>
      </c>
      <c r="E981" s="43" t="str">
        <f>C981</f>
        <v>Traspaso</v>
      </c>
      <c r="F981" s="42" t="s">
        <v>0</v>
      </c>
    </row>
    <row r="982" spans="1:6">
      <c r="A982" s="39">
        <f>A981</f>
        <v>45786</v>
      </c>
      <c r="B982" s="40" t="s">
        <v>239</v>
      </c>
      <c r="C982" s="40" t="s">
        <v>47</v>
      </c>
      <c r="D982" s="41">
        <v>-1061.33</v>
      </c>
      <c r="E982" s="43" t="s">
        <v>257</v>
      </c>
      <c r="F982" s="42" t="s">
        <v>0</v>
      </c>
    </row>
    <row r="983" spans="1:6">
      <c r="A983" s="39">
        <f>A982</f>
        <v>45786</v>
      </c>
      <c r="B983" s="40" t="s">
        <v>28</v>
      </c>
      <c r="C983" s="40" t="s">
        <v>46</v>
      </c>
      <c r="D983" s="41">
        <v>-15000</v>
      </c>
      <c r="E983" s="43" t="str">
        <f>C983</f>
        <v>Traspaso</v>
      </c>
      <c r="F983" s="42" t="s">
        <v>1</v>
      </c>
    </row>
    <row r="984" spans="1:6">
      <c r="A984" s="39">
        <f>A983</f>
        <v>45786</v>
      </c>
      <c r="B984" s="40" t="s">
        <v>32</v>
      </c>
      <c r="C984" s="40" t="s">
        <v>46</v>
      </c>
      <c r="D984" s="41">
        <v>15000</v>
      </c>
      <c r="E984" s="43" t="str">
        <f>C984</f>
        <v>Traspaso</v>
      </c>
      <c r="F984" s="42" t="s">
        <v>1</v>
      </c>
    </row>
    <row r="985" spans="1:6">
      <c r="A985" s="39">
        <f>A984</f>
        <v>45786</v>
      </c>
      <c r="B985" s="40" t="s">
        <v>32</v>
      </c>
      <c r="C985" s="40" t="s">
        <v>34</v>
      </c>
      <c r="D985" s="41">
        <v>-22.5</v>
      </c>
      <c r="E985" s="43" t="s">
        <v>336</v>
      </c>
      <c r="F985" s="42" t="s">
        <v>1</v>
      </c>
    </row>
    <row r="986" spans="1:6">
      <c r="A986" s="39">
        <f>A985</f>
        <v>45786</v>
      </c>
      <c r="B986" s="40" t="s">
        <v>32</v>
      </c>
      <c r="C986" s="40" t="s">
        <v>46</v>
      </c>
      <c r="D986" s="41">
        <v>-14000</v>
      </c>
      <c r="E986" s="43" t="str">
        <f>C986</f>
        <v>Traspaso</v>
      </c>
      <c r="F986" s="42" t="s">
        <v>1</v>
      </c>
    </row>
    <row r="987" spans="1:6">
      <c r="A987" s="39">
        <f>A986</f>
        <v>45786</v>
      </c>
      <c r="B987" s="40" t="s">
        <v>256</v>
      </c>
      <c r="C987" s="40" t="s">
        <v>46</v>
      </c>
      <c r="D987" s="41">
        <v>14000</v>
      </c>
      <c r="E987" s="43" t="str">
        <f>C987</f>
        <v>Traspaso</v>
      </c>
      <c r="F987" s="42" t="s">
        <v>1</v>
      </c>
    </row>
    <row r="988" spans="1:6">
      <c r="A988" s="39">
        <f>A987</f>
        <v>45786</v>
      </c>
      <c r="B988" s="40" t="s">
        <v>256</v>
      </c>
      <c r="C988" s="40" t="s">
        <v>47</v>
      </c>
      <c r="D988" s="41">
        <v>1061.33</v>
      </c>
      <c r="E988" s="43" t="str">
        <f>C988</f>
        <v>Comunes</v>
      </c>
      <c r="F988" s="42" t="s">
        <v>1</v>
      </c>
    </row>
    <row r="989" spans="1:6">
      <c r="A989" s="39">
        <f>A988</f>
        <v>45786</v>
      </c>
      <c r="B989" s="40" t="s">
        <v>26</v>
      </c>
      <c r="C989" s="40" t="s">
        <v>54</v>
      </c>
      <c r="D989" s="41">
        <v>-1.43</v>
      </c>
      <c r="E989" s="43" t="s">
        <v>337</v>
      </c>
      <c r="F989" s="42" t="s">
        <v>0</v>
      </c>
    </row>
    <row r="990" spans="1:6">
      <c r="A990" s="39">
        <f>A989</f>
        <v>45786</v>
      </c>
      <c r="B990" s="40" t="s">
        <v>19</v>
      </c>
      <c r="C990" s="40" t="s">
        <v>36</v>
      </c>
      <c r="D990" s="41">
        <v>-14.7</v>
      </c>
      <c r="E990" s="43" t="s">
        <v>295</v>
      </c>
      <c r="F990" s="42" t="s">
        <v>38</v>
      </c>
    </row>
    <row r="991" spans="1:6">
      <c r="A991" s="39">
        <f>A990</f>
        <v>45786</v>
      </c>
      <c r="B991" s="40" t="s">
        <v>19</v>
      </c>
      <c r="C991" s="40" t="s">
        <v>36</v>
      </c>
      <c r="D991" s="41">
        <v>-2</v>
      </c>
      <c r="E991" s="43" t="s">
        <v>84</v>
      </c>
      <c r="F991" s="42" t="s">
        <v>1</v>
      </c>
    </row>
    <row r="992" spans="1:6">
      <c r="A992" s="39">
        <v>45786</v>
      </c>
      <c r="B992" s="40" t="s">
        <v>239</v>
      </c>
      <c r="C992" s="40" t="s">
        <v>46</v>
      </c>
      <c r="D992" s="41">
        <v>-743.28</v>
      </c>
      <c r="E992" s="43" t="str">
        <f>C992</f>
        <v>Traspaso</v>
      </c>
      <c r="F992" s="42" t="s">
        <v>0</v>
      </c>
    </row>
    <row r="993" spans="1:6">
      <c r="A993" s="39">
        <v>45786</v>
      </c>
      <c r="B993" s="40" t="s">
        <v>260</v>
      </c>
      <c r="C993" s="40" t="s">
        <v>46</v>
      </c>
      <c r="D993" s="41">
        <v>743.28</v>
      </c>
      <c r="E993" s="43" t="str">
        <f>C993</f>
        <v>Traspaso</v>
      </c>
      <c r="F993" s="42" t="s">
        <v>0</v>
      </c>
    </row>
    <row r="994" spans="1:6">
      <c r="A994" s="39">
        <v>45786</v>
      </c>
      <c r="B994" s="40" t="s">
        <v>260</v>
      </c>
      <c r="C994" s="40" t="s">
        <v>46</v>
      </c>
      <c r="D994" s="41">
        <v>-650</v>
      </c>
      <c r="E994" s="43" t="str">
        <f>C994</f>
        <v>Traspaso</v>
      </c>
      <c r="F994" s="42" t="s">
        <v>0</v>
      </c>
    </row>
    <row r="995" spans="1:6">
      <c r="A995" s="39">
        <v>45786</v>
      </c>
      <c r="B995" s="8" t="s">
        <v>328</v>
      </c>
      <c r="C995" s="40" t="s">
        <v>46</v>
      </c>
      <c r="D995" s="41">
        <v>650</v>
      </c>
      <c r="E995" s="43" t="str">
        <f>C995</f>
        <v>Traspaso</v>
      </c>
      <c r="F995" s="42" t="s">
        <v>0</v>
      </c>
    </row>
    <row r="996" spans="1:6">
      <c r="A996" s="39">
        <v>45786</v>
      </c>
      <c r="B996" s="40" t="s">
        <v>29</v>
      </c>
      <c r="C996" s="40" t="s">
        <v>92</v>
      </c>
      <c r="D996" s="41">
        <v>35</v>
      </c>
      <c r="E996" s="43" t="s">
        <v>338</v>
      </c>
      <c r="F996" s="42" t="s">
        <v>38</v>
      </c>
    </row>
    <row r="997" spans="1:6">
      <c r="A997" s="39">
        <v>45787</v>
      </c>
      <c r="B997" s="40" t="s">
        <v>239</v>
      </c>
      <c r="C997" s="40" t="s">
        <v>46</v>
      </c>
      <c r="D997" s="41">
        <v>-1000</v>
      </c>
      <c r="E997" s="43" t="str">
        <f>C997</f>
        <v>Traspaso</v>
      </c>
      <c r="F997" s="42" t="s">
        <v>0</v>
      </c>
    </row>
    <row r="998" spans="1:6">
      <c r="A998" s="39">
        <f>A997</f>
        <v>45787</v>
      </c>
      <c r="B998" s="40" t="s">
        <v>26</v>
      </c>
      <c r="C998" s="40" t="s">
        <v>46</v>
      </c>
      <c r="D998" s="41">
        <v>1000</v>
      </c>
      <c r="E998" s="43" t="str">
        <f>C998</f>
        <v>Traspaso</v>
      </c>
      <c r="F998" s="42" t="s">
        <v>0</v>
      </c>
    </row>
    <row r="999" spans="1:6">
      <c r="A999" s="39">
        <f>A998</f>
        <v>45787</v>
      </c>
      <c r="B999" s="40" t="s">
        <v>26</v>
      </c>
      <c r="C999" s="40" t="s">
        <v>44</v>
      </c>
      <c r="D999" s="41">
        <v>-22.1</v>
      </c>
      <c r="E999" s="43" t="s">
        <v>339</v>
      </c>
      <c r="F999" s="42" t="s">
        <v>0</v>
      </c>
    </row>
    <row r="1000" spans="1:6">
      <c r="A1000" s="39">
        <f>A999</f>
        <v>45787</v>
      </c>
      <c r="B1000" s="40" t="s">
        <v>26</v>
      </c>
      <c r="C1000" s="40" t="s">
        <v>54</v>
      </c>
      <c r="D1000" s="41">
        <v>-1.43</v>
      </c>
      <c r="E1000" s="43" t="s">
        <v>340</v>
      </c>
      <c r="F1000" s="42" t="s">
        <v>0</v>
      </c>
    </row>
    <row r="1001" spans="1:6">
      <c r="A1001" s="39">
        <f>A1000</f>
        <v>45787</v>
      </c>
      <c r="B1001" s="40" t="s">
        <v>26</v>
      </c>
      <c r="C1001" s="40" t="s">
        <v>36</v>
      </c>
      <c r="D1001" s="41">
        <v>-80.14</v>
      </c>
      <c r="E1001" s="43" t="s">
        <v>37</v>
      </c>
      <c r="F1001" s="42" t="s">
        <v>0</v>
      </c>
    </row>
    <row r="1002" spans="1:6">
      <c r="A1002" s="39">
        <f>A1001</f>
        <v>45787</v>
      </c>
      <c r="B1002" s="40" t="s">
        <v>19</v>
      </c>
      <c r="C1002" s="40" t="s">
        <v>44</v>
      </c>
      <c r="D1002" s="41">
        <v>-3</v>
      </c>
      <c r="E1002" s="43" t="s">
        <v>258</v>
      </c>
      <c r="F1002" s="42" t="s">
        <v>1</v>
      </c>
    </row>
    <row r="1003" spans="1:6">
      <c r="A1003" s="39">
        <v>45789</v>
      </c>
      <c r="B1003" s="40" t="s">
        <v>32</v>
      </c>
      <c r="C1003" s="40" t="s">
        <v>81</v>
      </c>
      <c r="D1003" s="41">
        <v>-35</v>
      </c>
      <c r="E1003" s="43" t="s">
        <v>82</v>
      </c>
      <c r="F1003" s="42" t="s">
        <v>38</v>
      </c>
    </row>
    <row r="1004" spans="1:6">
      <c r="A1004" s="39">
        <f>A1003</f>
        <v>45789</v>
      </c>
      <c r="B1004" s="40" t="s">
        <v>26</v>
      </c>
      <c r="C1004" s="40" t="s">
        <v>41</v>
      </c>
      <c r="D1004" s="41">
        <v>-1.3</v>
      </c>
      <c r="E1004" s="43" t="s">
        <v>42</v>
      </c>
      <c r="F1004" s="42" t="s">
        <v>0</v>
      </c>
    </row>
    <row r="1005" spans="1:6">
      <c r="A1005" s="39">
        <f>A1004</f>
        <v>45789</v>
      </c>
      <c r="B1005" s="40" t="s">
        <v>239</v>
      </c>
      <c r="C1005" s="40" t="s">
        <v>46</v>
      </c>
      <c r="D1005" s="41">
        <v>-700</v>
      </c>
      <c r="E1005" s="43" t="str">
        <f>C1005</f>
        <v>Traspaso</v>
      </c>
      <c r="F1005" s="42" t="s">
        <v>0</v>
      </c>
    </row>
    <row r="1006" spans="1:6">
      <c r="A1006" s="39">
        <f>A1005</f>
        <v>45789</v>
      </c>
      <c r="B1006" s="40" t="s">
        <v>132</v>
      </c>
      <c r="C1006" s="40" t="s">
        <v>46</v>
      </c>
      <c r="D1006" s="41">
        <v>700</v>
      </c>
      <c r="E1006" s="43" t="str">
        <f>C1006</f>
        <v>Traspaso</v>
      </c>
      <c r="F1006" s="42" t="s">
        <v>0</v>
      </c>
    </row>
    <row r="1007" spans="1:6">
      <c r="A1007" s="39">
        <f>A1006</f>
        <v>45789</v>
      </c>
      <c r="B1007" s="40" t="s">
        <v>132</v>
      </c>
      <c r="C1007" s="40" t="s">
        <v>46</v>
      </c>
      <c r="D1007" s="41">
        <f>-111.2-128.38-99.2-110.33-115.61-89.92</f>
        <v>-654.63999999999987</v>
      </c>
      <c r="E1007" s="43" t="str">
        <f>C1007</f>
        <v>Traspaso</v>
      </c>
      <c r="F1007" s="42" t="s">
        <v>0</v>
      </c>
    </row>
    <row r="1008" spans="1:6">
      <c r="A1008" s="39">
        <f>A1007</f>
        <v>45789</v>
      </c>
      <c r="B1008" s="40" t="s">
        <v>151</v>
      </c>
      <c r="C1008" s="40" t="s">
        <v>46</v>
      </c>
      <c r="D1008" s="41">
        <v>654.64</v>
      </c>
      <c r="E1008" s="43" t="str">
        <f>C1008</f>
        <v>Traspaso</v>
      </c>
      <c r="F1008" s="42" t="s">
        <v>0</v>
      </c>
    </row>
    <row r="1009" spans="1:6">
      <c r="A1009" s="39">
        <f>A1008</f>
        <v>45789</v>
      </c>
      <c r="B1009" s="40" t="s">
        <v>16</v>
      </c>
      <c r="C1009" s="40" t="s">
        <v>46</v>
      </c>
      <c r="D1009" s="41">
        <v>-500</v>
      </c>
      <c r="E1009" s="43" t="str">
        <f>C1009</f>
        <v>Traspaso</v>
      </c>
      <c r="F1009" s="42" t="s">
        <v>0</v>
      </c>
    </row>
    <row r="1010" spans="1:6">
      <c r="A1010" s="39">
        <f>A1009</f>
        <v>45789</v>
      </c>
      <c r="B1010" s="40" t="s">
        <v>181</v>
      </c>
      <c r="C1010" s="40" t="s">
        <v>46</v>
      </c>
      <c r="D1010" s="41">
        <v>500</v>
      </c>
      <c r="E1010" s="43" t="str">
        <f>C1010</f>
        <v>Traspaso</v>
      </c>
      <c r="F1010" s="42" t="s">
        <v>0</v>
      </c>
    </row>
    <row r="1011" spans="1:6">
      <c r="A1011" s="39">
        <f>A1010</f>
        <v>45789</v>
      </c>
      <c r="B1011" s="40" t="s">
        <v>256</v>
      </c>
      <c r="C1011" s="40" t="s">
        <v>119</v>
      </c>
      <c r="D1011" s="41">
        <v>-3.98</v>
      </c>
      <c r="E1011" s="43" t="s">
        <v>341</v>
      </c>
      <c r="F1011" s="42" t="s">
        <v>38</v>
      </c>
    </row>
    <row r="1012" spans="1:6">
      <c r="A1012" s="39">
        <f>A1011</f>
        <v>45789</v>
      </c>
      <c r="B1012" s="40" t="s">
        <v>256</v>
      </c>
      <c r="C1012" s="40" t="s">
        <v>62</v>
      </c>
      <c r="D1012" s="41">
        <v>-2.5</v>
      </c>
      <c r="E1012" s="43" t="s">
        <v>342</v>
      </c>
      <c r="F1012" s="42" t="s">
        <v>38</v>
      </c>
    </row>
    <row r="1013" spans="1:6">
      <c r="A1013" s="39">
        <f>A1012</f>
        <v>45789</v>
      </c>
      <c r="B1013" s="40" t="s">
        <v>19</v>
      </c>
      <c r="C1013" s="40" t="s">
        <v>36</v>
      </c>
      <c r="D1013" s="41">
        <v>-1.6</v>
      </c>
      <c r="E1013" s="43" t="s">
        <v>84</v>
      </c>
      <c r="F1013" s="42" t="s">
        <v>1</v>
      </c>
    </row>
    <row r="1014" spans="1:6">
      <c r="A1014" s="39">
        <v>45790</v>
      </c>
      <c r="B1014" s="40" t="s">
        <v>26</v>
      </c>
      <c r="C1014" s="40" t="s">
        <v>41</v>
      </c>
      <c r="D1014" s="41">
        <v>-1.3</v>
      </c>
      <c r="E1014" s="43" t="s">
        <v>42</v>
      </c>
      <c r="F1014" s="42" t="s">
        <v>0</v>
      </c>
    </row>
    <row r="1015" spans="1:6">
      <c r="A1015" s="39">
        <f>A1014</f>
        <v>45790</v>
      </c>
      <c r="B1015" s="40" t="s">
        <v>260</v>
      </c>
      <c r="C1015" s="40" t="s">
        <v>46</v>
      </c>
      <c r="D1015" s="41">
        <v>-593.28</v>
      </c>
      <c r="E1015" s="43" t="str">
        <f>C1015</f>
        <v>Traspaso</v>
      </c>
      <c r="F1015" s="42" t="s">
        <v>0</v>
      </c>
    </row>
    <row r="1016" spans="1:6">
      <c r="A1016" s="39">
        <f>A1015</f>
        <v>45790</v>
      </c>
      <c r="B1016" s="40" t="s">
        <v>24</v>
      </c>
      <c r="C1016" s="40" t="s">
        <v>46</v>
      </c>
      <c r="D1016" s="41">
        <v>593.28</v>
      </c>
      <c r="E1016" s="43" t="str">
        <f>C1016</f>
        <v>Traspaso</v>
      </c>
      <c r="F1016" s="42" t="s">
        <v>0</v>
      </c>
    </row>
    <row r="1017" spans="1:6">
      <c r="A1017" s="39">
        <f>A1016</f>
        <v>45790</v>
      </c>
      <c r="B1017" s="40" t="s">
        <v>239</v>
      </c>
      <c r="C1017" s="40" t="s">
        <v>46</v>
      </c>
      <c r="D1017" s="41">
        <v>-1300</v>
      </c>
      <c r="E1017" s="43" t="str">
        <f>C1017</f>
        <v>Traspaso</v>
      </c>
      <c r="F1017" s="42" t="s">
        <v>0</v>
      </c>
    </row>
    <row r="1018" spans="1:6">
      <c r="A1018" s="39">
        <f>A1017</f>
        <v>45790</v>
      </c>
      <c r="B1018" s="40" t="s">
        <v>26</v>
      </c>
      <c r="C1018" s="40" t="s">
        <v>46</v>
      </c>
      <c r="D1018" s="41">
        <v>1300</v>
      </c>
      <c r="E1018" s="43" t="str">
        <f>C1018</f>
        <v>Traspaso</v>
      </c>
      <c r="F1018" s="42" t="s">
        <v>0</v>
      </c>
    </row>
    <row r="1019" spans="1:6">
      <c r="A1019" s="39">
        <f>A1018</f>
        <v>45790</v>
      </c>
      <c r="B1019" s="40" t="s">
        <v>16</v>
      </c>
      <c r="C1019" s="40" t="s">
        <v>46</v>
      </c>
      <c r="D1019" s="41">
        <v>-500</v>
      </c>
      <c r="E1019" s="43" t="str">
        <f>C1019</f>
        <v>Traspaso</v>
      </c>
      <c r="F1019" s="42" t="s">
        <v>0</v>
      </c>
    </row>
    <row r="1020" spans="1:6">
      <c r="A1020" s="39">
        <f>A1019</f>
        <v>45790</v>
      </c>
      <c r="B1020" s="40" t="s">
        <v>343</v>
      </c>
      <c r="C1020" s="40" t="s">
        <v>46</v>
      </c>
      <c r="D1020" s="41">
        <v>500</v>
      </c>
      <c r="E1020" s="43" t="str">
        <f>C1020</f>
        <v>Traspaso</v>
      </c>
      <c r="F1020" s="42" t="s">
        <v>0</v>
      </c>
    </row>
    <row r="1021" spans="1:6">
      <c r="A1021" s="39">
        <f>A1020</f>
        <v>45790</v>
      </c>
      <c r="B1021" s="40" t="s">
        <v>25</v>
      </c>
      <c r="C1021" s="40" t="s">
        <v>46</v>
      </c>
      <c r="D1021" s="41">
        <v>-400</v>
      </c>
      <c r="E1021" s="43" t="str">
        <f>C1021</f>
        <v>Traspaso</v>
      </c>
      <c r="F1021" s="42" t="s">
        <v>0</v>
      </c>
    </row>
    <row r="1022" spans="1:6">
      <c r="A1022" s="39">
        <f>A1021</f>
        <v>45790</v>
      </c>
      <c r="B1022" s="40" t="s">
        <v>23</v>
      </c>
      <c r="C1022" s="40" t="s">
        <v>46</v>
      </c>
      <c r="D1022" s="41">
        <v>400</v>
      </c>
      <c r="E1022" s="43" t="str">
        <f>C1022</f>
        <v>Traspaso</v>
      </c>
      <c r="F1022" s="42" t="s">
        <v>0</v>
      </c>
    </row>
    <row r="1023" spans="1:6">
      <c r="A1023" s="39">
        <f>A1020</f>
        <v>45790</v>
      </c>
      <c r="B1023" s="40" t="s">
        <v>19</v>
      </c>
      <c r="C1023" s="40" t="s">
        <v>36</v>
      </c>
      <c r="D1023" s="41">
        <v>-1.6</v>
      </c>
      <c r="E1023" s="43" t="s">
        <v>84</v>
      </c>
      <c r="F1023" s="42" t="s">
        <v>1</v>
      </c>
    </row>
    <row r="1024" spans="1:6">
      <c r="A1024" s="39">
        <v>45791</v>
      </c>
      <c r="B1024" s="40" t="s">
        <v>29</v>
      </c>
      <c r="C1024" s="40" t="s">
        <v>76</v>
      </c>
      <c r="D1024" s="41">
        <v>-36.08</v>
      </c>
      <c r="E1024" s="43" t="s">
        <v>344</v>
      </c>
      <c r="F1024" s="42" t="s">
        <v>1</v>
      </c>
    </row>
    <row r="1025" spans="1:6">
      <c r="A1025" s="39">
        <f>A1024</f>
        <v>45791</v>
      </c>
      <c r="B1025" s="40" t="s">
        <v>19</v>
      </c>
      <c r="C1025" s="40" t="s">
        <v>36</v>
      </c>
      <c r="D1025" s="41">
        <v>-1.6</v>
      </c>
      <c r="E1025" s="43" t="s">
        <v>84</v>
      </c>
      <c r="F1025" s="42" t="s">
        <v>1</v>
      </c>
    </row>
    <row r="1026" spans="1:6">
      <c r="A1026" s="39">
        <f>A1025</f>
        <v>45791</v>
      </c>
      <c r="B1026" s="40" t="s">
        <v>19</v>
      </c>
      <c r="C1026" s="40" t="s">
        <v>36</v>
      </c>
      <c r="D1026" s="41">
        <v>-3.1</v>
      </c>
      <c r="E1026" s="43" t="s">
        <v>69</v>
      </c>
      <c r="F1026" s="42" t="s">
        <v>38</v>
      </c>
    </row>
    <row r="1027" spans="1:6">
      <c r="A1027" s="39">
        <f>A1026</f>
        <v>45791</v>
      </c>
      <c r="B1027" s="40" t="s">
        <v>24</v>
      </c>
      <c r="C1027" s="40" t="s">
        <v>46</v>
      </c>
      <c r="D1027" s="41">
        <v>-295.72000000000003</v>
      </c>
      <c r="E1027" s="43" t="str">
        <f>C1027</f>
        <v>Traspaso</v>
      </c>
      <c r="F1027" s="42" t="s">
        <v>0</v>
      </c>
    </row>
    <row r="1028" spans="1:6">
      <c r="A1028" s="39">
        <f>A1027</f>
        <v>45791</v>
      </c>
      <c r="B1028" s="40" t="s">
        <v>317</v>
      </c>
      <c r="C1028" s="40" t="s">
        <v>46</v>
      </c>
      <c r="D1028" s="41">
        <v>295.72000000000003</v>
      </c>
      <c r="E1028" s="43" t="str">
        <f>C1028</f>
        <v>Traspaso</v>
      </c>
      <c r="F1028" s="42" t="s">
        <v>0</v>
      </c>
    </row>
    <row r="1029" spans="1:6">
      <c r="A1029" s="39">
        <f>A1028</f>
        <v>45791</v>
      </c>
      <c r="B1029" s="40" t="s">
        <v>26</v>
      </c>
      <c r="C1029" s="40" t="s">
        <v>41</v>
      </c>
      <c r="D1029" s="41">
        <v>-1.3</v>
      </c>
      <c r="E1029" s="43" t="s">
        <v>42</v>
      </c>
      <c r="F1029" s="42" t="s">
        <v>0</v>
      </c>
    </row>
    <row r="1030" spans="1:6">
      <c r="A1030" s="39">
        <v>45791</v>
      </c>
      <c r="B1030" s="40" t="s">
        <v>24</v>
      </c>
      <c r="C1030" s="40" t="s">
        <v>34</v>
      </c>
      <c r="D1030" s="41">
        <v>2.44</v>
      </c>
      <c r="E1030" s="43" t="s">
        <v>35</v>
      </c>
      <c r="F1030" s="42" t="s">
        <v>0</v>
      </c>
    </row>
    <row r="1031" spans="1:6">
      <c r="A1031" s="39">
        <v>45792</v>
      </c>
      <c r="B1031" s="40" t="s">
        <v>26</v>
      </c>
      <c r="C1031" s="40" t="s">
        <v>41</v>
      </c>
      <c r="D1031" s="41">
        <v>-1.3</v>
      </c>
      <c r="E1031" s="43" t="s">
        <v>42</v>
      </c>
      <c r="F1031" s="42" t="s">
        <v>0</v>
      </c>
    </row>
    <row r="1032" spans="1:6">
      <c r="A1032" s="39">
        <f>A1031</f>
        <v>45792</v>
      </c>
      <c r="B1032" s="40" t="s">
        <v>31</v>
      </c>
      <c r="C1032" s="40" t="s">
        <v>34</v>
      </c>
      <c r="D1032" s="41">
        <v>56.52</v>
      </c>
      <c r="E1032" s="43" t="str">
        <f>C1032</f>
        <v>Intereses</v>
      </c>
      <c r="F1032" s="42" t="s">
        <v>1</v>
      </c>
    </row>
    <row r="1033" spans="1:6">
      <c r="A1033" s="39">
        <f>A1032</f>
        <v>45792</v>
      </c>
      <c r="B1033" s="40" t="s">
        <v>19</v>
      </c>
      <c r="C1033" s="40" t="s">
        <v>36</v>
      </c>
      <c r="D1033" s="41">
        <v>-2.2000000000000002</v>
      </c>
      <c r="E1033" s="43" t="s">
        <v>84</v>
      </c>
      <c r="F1033" s="42" t="s">
        <v>1</v>
      </c>
    </row>
    <row r="1034" spans="1:6">
      <c r="A1034" s="39">
        <f>A1033</f>
        <v>45792</v>
      </c>
      <c r="B1034" s="40" t="s">
        <v>19</v>
      </c>
      <c r="C1034" s="40" t="s">
        <v>36</v>
      </c>
      <c r="D1034" s="41">
        <v>-3.74</v>
      </c>
      <c r="E1034" s="43" t="s">
        <v>69</v>
      </c>
      <c r="F1034" s="42" t="s">
        <v>38</v>
      </c>
    </row>
    <row r="1035" spans="1:6">
      <c r="A1035" s="39">
        <f>A1034</f>
        <v>45792</v>
      </c>
      <c r="B1035" s="40" t="s">
        <v>18</v>
      </c>
      <c r="C1035" s="40" t="s">
        <v>41</v>
      </c>
      <c r="D1035" s="41">
        <v>-35</v>
      </c>
      <c r="E1035" s="43" t="s">
        <v>345</v>
      </c>
      <c r="F1035" s="42" t="s">
        <v>0</v>
      </c>
    </row>
    <row r="1036" spans="1:6">
      <c r="A1036" s="39">
        <v>45793</v>
      </c>
      <c r="B1036" s="40" t="s">
        <v>19</v>
      </c>
      <c r="C1036" s="40" t="s">
        <v>36</v>
      </c>
      <c r="D1036" s="41">
        <v>-5</v>
      </c>
      <c r="E1036" s="43" t="s">
        <v>84</v>
      </c>
      <c r="F1036" s="42" t="s">
        <v>1</v>
      </c>
    </row>
    <row r="1037" spans="1:6">
      <c r="A1037" s="39">
        <f>A1036</f>
        <v>45793</v>
      </c>
      <c r="B1037" s="40" t="s">
        <v>31</v>
      </c>
      <c r="C1037" s="40" t="s">
        <v>58</v>
      </c>
      <c r="D1037" s="41">
        <v>-1099.29</v>
      </c>
      <c r="E1037" s="43" t="s">
        <v>346</v>
      </c>
      <c r="F1037" s="42" t="s">
        <v>38</v>
      </c>
    </row>
    <row r="1038" spans="1:6">
      <c r="A1038" s="39">
        <f>A1037</f>
        <v>45793</v>
      </c>
      <c r="B1038" s="40" t="s">
        <v>239</v>
      </c>
      <c r="C1038" s="40" t="s">
        <v>46</v>
      </c>
      <c r="D1038" s="41">
        <v>-1000</v>
      </c>
      <c r="E1038" s="43" t="str">
        <f>C1038</f>
        <v>Traspaso</v>
      </c>
      <c r="F1038" s="42" t="s">
        <v>0</v>
      </c>
    </row>
    <row r="1039" spans="1:6">
      <c r="A1039" s="39">
        <f>A1038</f>
        <v>45793</v>
      </c>
      <c r="B1039" s="40" t="s">
        <v>332</v>
      </c>
      <c r="C1039" s="40" t="s">
        <v>46</v>
      </c>
      <c r="D1039" s="41">
        <v>1000</v>
      </c>
      <c r="E1039" s="43" t="str">
        <f>C1039</f>
        <v>Traspaso</v>
      </c>
      <c r="F1039" s="42" t="s">
        <v>0</v>
      </c>
    </row>
    <row r="1040" spans="1:6">
      <c r="A1040" s="39">
        <f>A1039</f>
        <v>45793</v>
      </c>
      <c r="B1040" s="40" t="s">
        <v>26</v>
      </c>
      <c r="C1040" s="40" t="s">
        <v>41</v>
      </c>
      <c r="D1040" s="41">
        <v>-1.3</v>
      </c>
      <c r="E1040" s="43" t="s">
        <v>42</v>
      </c>
      <c r="F1040" s="42" t="s">
        <v>0</v>
      </c>
    </row>
    <row r="1041" spans="1:6">
      <c r="A1041" s="39">
        <f>A1040</f>
        <v>45793</v>
      </c>
      <c r="B1041" s="40" t="s">
        <v>25</v>
      </c>
      <c r="C1041" s="40" t="s">
        <v>62</v>
      </c>
      <c r="D1041" s="41">
        <v>-40</v>
      </c>
      <c r="E1041" s="43" t="s">
        <v>294</v>
      </c>
      <c r="F1041" s="42" t="s">
        <v>38</v>
      </c>
    </row>
    <row r="1042" spans="1:6">
      <c r="A1042" s="39">
        <v>45794</v>
      </c>
      <c r="B1042" s="40" t="s">
        <v>26</v>
      </c>
      <c r="C1042" s="40" t="s">
        <v>36</v>
      </c>
      <c r="D1042" s="41">
        <v>-62.82</v>
      </c>
      <c r="E1042" s="43" t="s">
        <v>37</v>
      </c>
      <c r="F1042" s="42" t="s">
        <v>38</v>
      </c>
    </row>
    <row r="1043" spans="1:6">
      <c r="A1043" s="39">
        <v>45795</v>
      </c>
      <c r="B1043" s="40" t="s">
        <v>26</v>
      </c>
      <c r="C1043" s="40" t="s">
        <v>73</v>
      </c>
      <c r="D1043" s="41">
        <v>-63</v>
      </c>
      <c r="E1043" s="43" t="s">
        <v>85</v>
      </c>
      <c r="F1043" s="42" t="s">
        <v>38</v>
      </c>
    </row>
    <row r="1044" spans="1:6">
      <c r="A1044" s="39">
        <f>A1043</f>
        <v>45795</v>
      </c>
      <c r="B1044" s="40" t="s">
        <v>19</v>
      </c>
      <c r="C1044" s="40" t="s">
        <v>44</v>
      </c>
      <c r="D1044" s="41">
        <v>-290</v>
      </c>
      <c r="E1044" s="43" t="s">
        <v>347</v>
      </c>
      <c r="F1044" s="42" t="s">
        <v>1</v>
      </c>
    </row>
    <row r="1045" spans="1:6">
      <c r="A1045" s="39">
        <v>45796</v>
      </c>
      <c r="B1045" s="40" t="s">
        <v>26</v>
      </c>
      <c r="C1045" s="40" t="s">
        <v>41</v>
      </c>
      <c r="D1045" s="41">
        <v>-3</v>
      </c>
      <c r="E1045" s="43" t="s">
        <v>42</v>
      </c>
      <c r="F1045" s="42" t="s">
        <v>0</v>
      </c>
    </row>
    <row r="1046" spans="1:6">
      <c r="A1046" s="39">
        <v>45796</v>
      </c>
      <c r="B1046" s="40" t="s">
        <v>256</v>
      </c>
      <c r="C1046" s="40" t="s">
        <v>119</v>
      </c>
      <c r="D1046" s="41">
        <v>-43.07</v>
      </c>
      <c r="E1046" s="43" t="s">
        <v>194</v>
      </c>
      <c r="F1046" s="42" t="s">
        <v>1</v>
      </c>
    </row>
    <row r="1047" spans="1:6">
      <c r="A1047" s="39">
        <v>45796</v>
      </c>
      <c r="B1047" s="40" t="s">
        <v>19</v>
      </c>
      <c r="C1047" s="40" t="s">
        <v>105</v>
      </c>
      <c r="D1047" s="41">
        <v>-10</v>
      </c>
      <c r="E1047" s="43" t="s">
        <v>106</v>
      </c>
      <c r="F1047" s="42" t="s">
        <v>1</v>
      </c>
    </row>
    <row r="1048" spans="1:6">
      <c r="A1048" s="39">
        <v>45796</v>
      </c>
      <c r="B1048" s="40" t="s">
        <v>19</v>
      </c>
      <c r="C1048" s="40" t="s">
        <v>36</v>
      </c>
      <c r="D1048" s="41">
        <v>-4.4000000000000004</v>
      </c>
      <c r="E1048" s="43" t="s">
        <v>84</v>
      </c>
      <c r="F1048" s="42" t="s">
        <v>1</v>
      </c>
    </row>
    <row r="1049" spans="1:6">
      <c r="A1049" s="39">
        <f>A1048</f>
        <v>45796</v>
      </c>
      <c r="B1049" s="40" t="s">
        <v>132</v>
      </c>
      <c r="C1049" s="40" t="s">
        <v>46</v>
      </c>
      <c r="D1049" s="41">
        <v>-125</v>
      </c>
      <c r="E1049" s="43" t="str">
        <f>C1049</f>
        <v>Traspaso</v>
      </c>
      <c r="F1049" s="42" t="s">
        <v>0</v>
      </c>
    </row>
    <row r="1050" spans="1:6">
      <c r="A1050" s="39">
        <v>45796</v>
      </c>
      <c r="B1050" s="40" t="s">
        <v>10</v>
      </c>
      <c r="C1050" s="40" t="s">
        <v>46</v>
      </c>
      <c r="D1050" s="41">
        <v>125</v>
      </c>
      <c r="E1050" s="43" t="str">
        <f>C1050</f>
        <v>Traspaso</v>
      </c>
      <c r="F1050" s="42" t="s">
        <v>0</v>
      </c>
    </row>
    <row r="1051" spans="1:6">
      <c r="A1051" s="39">
        <v>45797</v>
      </c>
      <c r="B1051" s="40" t="s">
        <v>26</v>
      </c>
      <c r="C1051" s="40" t="s">
        <v>41</v>
      </c>
      <c r="D1051" s="41">
        <v>-1.3</v>
      </c>
      <c r="E1051" s="43" t="s">
        <v>42</v>
      </c>
      <c r="F1051" s="42" t="s">
        <v>0</v>
      </c>
    </row>
    <row r="1052" spans="1:6">
      <c r="A1052" s="39">
        <f>A1051</f>
        <v>45797</v>
      </c>
      <c r="B1052" s="40" t="s">
        <v>26</v>
      </c>
      <c r="C1052" s="40" t="s">
        <v>46</v>
      </c>
      <c r="D1052" s="41">
        <v>-630.69000000000005</v>
      </c>
      <c r="E1052" s="43" t="str">
        <f>C1052</f>
        <v>Traspaso</v>
      </c>
      <c r="F1052" s="42" t="s">
        <v>0</v>
      </c>
    </row>
    <row r="1053" spans="1:6">
      <c r="A1053" s="39">
        <f>A1052</f>
        <v>45797</v>
      </c>
      <c r="B1053" s="40" t="s">
        <v>132</v>
      </c>
      <c r="C1053" s="40" t="s">
        <v>46</v>
      </c>
      <c r="D1053" s="41">
        <v>630.69000000000005</v>
      </c>
      <c r="E1053" s="43" t="str">
        <f>C1053</f>
        <v>Traspaso</v>
      </c>
      <c r="F1053" s="42" t="s">
        <v>0</v>
      </c>
    </row>
    <row r="1054" spans="1:6" ht="14.25" customHeight="1">
      <c r="A1054" s="39">
        <f>A1053</f>
        <v>45797</v>
      </c>
      <c r="B1054" s="40" t="s">
        <v>19</v>
      </c>
      <c r="C1054" s="40" t="s">
        <v>36</v>
      </c>
      <c r="D1054" s="41">
        <v>-0.6</v>
      </c>
      <c r="E1054" s="43" t="s">
        <v>70</v>
      </c>
      <c r="F1054" s="42" t="s">
        <v>1</v>
      </c>
    </row>
    <row r="1055" spans="1:6">
      <c r="A1055" s="39">
        <f>A1054</f>
        <v>45797</v>
      </c>
      <c r="B1055" s="40" t="s">
        <v>19</v>
      </c>
      <c r="C1055" s="40" t="s">
        <v>76</v>
      </c>
      <c r="D1055" s="41">
        <v>-5.4</v>
      </c>
      <c r="E1055" s="43" t="s">
        <v>348</v>
      </c>
      <c r="F1055" s="42" t="s">
        <v>1</v>
      </c>
    </row>
    <row r="1056" spans="1:6">
      <c r="A1056" s="39">
        <f>A1055</f>
        <v>45797</v>
      </c>
      <c r="B1056" s="40" t="s">
        <v>19</v>
      </c>
      <c r="C1056" s="40" t="s">
        <v>76</v>
      </c>
      <c r="D1056" s="41">
        <v>-14</v>
      </c>
      <c r="E1056" s="43" t="s">
        <v>349</v>
      </c>
      <c r="F1056" s="42" t="s">
        <v>1</v>
      </c>
    </row>
    <row r="1057" spans="1:6">
      <c r="A1057" s="39">
        <f>A1056</f>
        <v>45797</v>
      </c>
      <c r="B1057" s="40" t="s">
        <v>19</v>
      </c>
      <c r="C1057" s="40" t="s">
        <v>41</v>
      </c>
      <c r="D1057" s="41">
        <v>-29.7</v>
      </c>
      <c r="E1057" s="43" t="s">
        <v>350</v>
      </c>
      <c r="F1057" s="42" t="s">
        <v>38</v>
      </c>
    </row>
    <row r="1058" spans="1:6">
      <c r="A1058" s="39">
        <f>A1057</f>
        <v>45797</v>
      </c>
      <c r="B1058" s="40" t="s">
        <v>17</v>
      </c>
      <c r="C1058" s="40" t="s">
        <v>71</v>
      </c>
      <c r="D1058" s="41">
        <v>-175.79</v>
      </c>
      <c r="E1058" s="43" t="s">
        <v>351</v>
      </c>
      <c r="F1058" s="42" t="s">
        <v>38</v>
      </c>
    </row>
    <row r="1059" spans="1:6">
      <c r="A1059" s="39">
        <f>A1058</f>
        <v>45797</v>
      </c>
      <c r="B1059" s="40" t="s">
        <v>17</v>
      </c>
      <c r="C1059" s="40" t="s">
        <v>76</v>
      </c>
      <c r="D1059" s="41">
        <v>-11.99</v>
      </c>
      <c r="E1059" s="43" t="s">
        <v>352</v>
      </c>
      <c r="F1059" s="42" t="s">
        <v>1</v>
      </c>
    </row>
    <row r="1060" spans="1:6">
      <c r="A1060" s="39">
        <f>A1059</f>
        <v>45797</v>
      </c>
      <c r="B1060" s="40" t="s">
        <v>17</v>
      </c>
      <c r="C1060" s="40" t="s">
        <v>76</v>
      </c>
      <c r="D1060" s="41">
        <v>-33.979999999999997</v>
      </c>
      <c r="E1060" s="43" t="s">
        <v>353</v>
      </c>
      <c r="F1060" s="42" t="s">
        <v>1</v>
      </c>
    </row>
    <row r="1061" spans="1:6">
      <c r="A1061" s="39">
        <f>A1060</f>
        <v>45797</v>
      </c>
      <c r="B1061" s="40" t="s">
        <v>17</v>
      </c>
      <c r="C1061" s="40" t="s">
        <v>50</v>
      </c>
      <c r="D1061" s="41">
        <v>-39.99</v>
      </c>
      <c r="E1061" s="43" t="s">
        <v>354</v>
      </c>
      <c r="F1061" s="42" t="s">
        <v>1</v>
      </c>
    </row>
    <row r="1062" spans="1:6">
      <c r="A1062" s="39">
        <v>45797</v>
      </c>
      <c r="B1062" s="40" t="s">
        <v>26</v>
      </c>
      <c r="C1062" s="40" t="s">
        <v>58</v>
      </c>
      <c r="D1062" s="41">
        <v>-39.47</v>
      </c>
      <c r="E1062" s="43" t="s">
        <v>198</v>
      </c>
      <c r="F1062" s="42" t="s">
        <v>38</v>
      </c>
    </row>
    <row r="1063" spans="1:6">
      <c r="A1063" s="39">
        <v>45798</v>
      </c>
      <c r="B1063" s="40" t="s">
        <v>19</v>
      </c>
      <c r="C1063" s="40" t="s">
        <v>36</v>
      </c>
      <c r="D1063" s="41">
        <v>-3.1</v>
      </c>
      <c r="E1063" s="43" t="s">
        <v>84</v>
      </c>
      <c r="F1063" s="42" t="s">
        <v>1</v>
      </c>
    </row>
    <row r="1064" spans="1:6">
      <c r="A1064" s="39">
        <v>45798</v>
      </c>
      <c r="B1064" s="40" t="s">
        <v>19</v>
      </c>
      <c r="C1064" s="40" t="s">
        <v>50</v>
      </c>
      <c r="D1064" s="41">
        <v>500</v>
      </c>
      <c r="E1064" s="43" t="s">
        <v>279</v>
      </c>
      <c r="F1064" s="42" t="s">
        <v>1</v>
      </c>
    </row>
    <row r="1065" spans="1:6">
      <c r="A1065" s="39">
        <v>45798</v>
      </c>
      <c r="B1065" s="40" t="s">
        <v>239</v>
      </c>
      <c r="C1065" s="40" t="s">
        <v>46</v>
      </c>
      <c r="D1065" s="41">
        <v>-700</v>
      </c>
      <c r="E1065" s="43" t="str">
        <f>C1065</f>
        <v>Traspaso</v>
      </c>
      <c r="F1065" s="42" t="s">
        <v>0</v>
      </c>
    </row>
    <row r="1066" spans="1:6">
      <c r="A1066" s="39">
        <f>A1065</f>
        <v>45798</v>
      </c>
      <c r="B1066" s="40" t="s">
        <v>317</v>
      </c>
      <c r="C1066" s="40" t="s">
        <v>46</v>
      </c>
      <c r="D1066" s="41">
        <v>700</v>
      </c>
      <c r="E1066" s="43" t="str">
        <f>C1066</f>
        <v>Traspaso</v>
      </c>
      <c r="F1066" s="42" t="s">
        <v>0</v>
      </c>
    </row>
    <row r="1067" spans="1:6">
      <c r="A1067" s="39">
        <f>A1066</f>
        <v>45798</v>
      </c>
      <c r="B1067" s="40" t="s">
        <v>16</v>
      </c>
      <c r="C1067" s="40" t="s">
        <v>46</v>
      </c>
      <c r="D1067" s="41">
        <v>-500</v>
      </c>
      <c r="E1067" s="43" t="str">
        <f>C1067</f>
        <v>Traspaso</v>
      </c>
      <c r="F1067" s="42" t="s">
        <v>0</v>
      </c>
    </row>
    <row r="1068" spans="1:6">
      <c r="A1068" s="39">
        <f>A1067</f>
        <v>45798</v>
      </c>
      <c r="B1068" s="40" t="s">
        <v>181</v>
      </c>
      <c r="C1068" s="40" t="s">
        <v>46</v>
      </c>
      <c r="D1068" s="41">
        <v>500</v>
      </c>
      <c r="E1068" s="43" t="str">
        <f>C1068</f>
        <v>Traspaso</v>
      </c>
      <c r="F1068" s="42" t="s">
        <v>0</v>
      </c>
    </row>
    <row r="1069" spans="1:6">
      <c r="A1069" s="39">
        <f>A1068</f>
        <v>45798</v>
      </c>
      <c r="B1069" s="40" t="s">
        <v>26</v>
      </c>
      <c r="C1069" s="40" t="s">
        <v>41</v>
      </c>
      <c r="D1069" s="41">
        <v>-1.3</v>
      </c>
      <c r="E1069" s="43" t="s">
        <v>42</v>
      </c>
      <c r="F1069" s="42" t="s">
        <v>0</v>
      </c>
    </row>
    <row r="1070" spans="1:6">
      <c r="A1070" s="39">
        <f>A1069</f>
        <v>45798</v>
      </c>
      <c r="B1070" s="40" t="s">
        <v>132</v>
      </c>
      <c r="C1070" s="40" t="s">
        <v>89</v>
      </c>
      <c r="D1070" s="41">
        <v>-5.05</v>
      </c>
      <c r="E1070" s="43" t="s">
        <v>124</v>
      </c>
      <c r="F1070" s="42" t="s">
        <v>38</v>
      </c>
    </row>
    <row r="1071" spans="1:6">
      <c r="A1071" s="39">
        <f>A1070</f>
        <v>45798</v>
      </c>
      <c r="B1071" s="40" t="s">
        <v>25</v>
      </c>
      <c r="C1071" s="40" t="s">
        <v>54</v>
      </c>
      <c r="D1071" s="41">
        <v>-60</v>
      </c>
      <c r="E1071" s="43" t="s">
        <v>355</v>
      </c>
      <c r="F1071" s="42" t="s">
        <v>0</v>
      </c>
    </row>
    <row r="1072" spans="1:6">
      <c r="A1072" s="39">
        <v>45798</v>
      </c>
      <c r="B1072" s="40" t="s">
        <v>19</v>
      </c>
      <c r="C1072" s="40" t="s">
        <v>54</v>
      </c>
      <c r="D1072" s="41">
        <v>-10</v>
      </c>
      <c r="E1072" s="43" t="s">
        <v>356</v>
      </c>
      <c r="F1072" s="42" t="s">
        <v>1</v>
      </c>
    </row>
    <row r="1073" spans="1:6">
      <c r="A1073" s="39">
        <v>45798</v>
      </c>
      <c r="B1073" s="40" t="s">
        <v>19</v>
      </c>
      <c r="C1073" s="40" t="s">
        <v>46</v>
      </c>
      <c r="D1073" s="41">
        <v>-60</v>
      </c>
      <c r="E1073" s="43" t="str">
        <f>C1073</f>
        <v>Traspaso</v>
      </c>
      <c r="F1073" s="42" t="s">
        <v>1</v>
      </c>
    </row>
    <row r="1074" spans="1:6">
      <c r="A1074" s="39">
        <v>45798</v>
      </c>
      <c r="B1074" s="40" t="s">
        <v>32</v>
      </c>
      <c r="C1074" s="40" t="s">
        <v>46</v>
      </c>
      <c r="D1074" s="41">
        <v>60</v>
      </c>
      <c r="E1074" s="43" t="str">
        <f>C1074</f>
        <v>Traspaso</v>
      </c>
      <c r="F1074" s="42" t="s">
        <v>1</v>
      </c>
    </row>
    <row r="1075" spans="1:6">
      <c r="A1075" s="39">
        <v>45799</v>
      </c>
      <c r="B1075" s="40" t="s">
        <v>26</v>
      </c>
      <c r="C1075" s="40" t="s">
        <v>41</v>
      </c>
      <c r="D1075" s="41">
        <v>-1.3</v>
      </c>
      <c r="E1075" s="43" t="s">
        <v>42</v>
      </c>
      <c r="F1075" s="42" t="s">
        <v>0</v>
      </c>
    </row>
    <row r="1076" spans="1:6">
      <c r="A1076" s="39">
        <f>A1075</f>
        <v>45799</v>
      </c>
      <c r="B1076" s="40" t="s">
        <v>239</v>
      </c>
      <c r="C1076" s="40" t="s">
        <v>46</v>
      </c>
      <c r="D1076" s="41">
        <v>-1300</v>
      </c>
      <c r="E1076" s="43" t="str">
        <f>C1076</f>
        <v>Traspaso</v>
      </c>
      <c r="F1076" s="42" t="s">
        <v>0</v>
      </c>
    </row>
    <row r="1077" spans="1:6">
      <c r="A1077" s="39">
        <f>A1076</f>
        <v>45799</v>
      </c>
      <c r="B1077" s="40" t="s">
        <v>125</v>
      </c>
      <c r="C1077" s="40" t="s">
        <v>46</v>
      </c>
      <c r="D1077" s="41">
        <v>1300</v>
      </c>
      <c r="E1077" s="43" t="str">
        <f>C1077</f>
        <v>Traspaso</v>
      </c>
      <c r="F1077" s="42" t="s">
        <v>0</v>
      </c>
    </row>
    <row r="1078" spans="1:6">
      <c r="A1078" s="39">
        <f>A1077</f>
        <v>45799</v>
      </c>
      <c r="B1078" s="40" t="s">
        <v>256</v>
      </c>
      <c r="C1078" s="40" t="s">
        <v>119</v>
      </c>
      <c r="D1078" s="41">
        <v>-57.67</v>
      </c>
      <c r="E1078" s="43" t="s">
        <v>357</v>
      </c>
      <c r="F1078" s="42" t="s">
        <v>1</v>
      </c>
    </row>
    <row r="1079" spans="1:6">
      <c r="A1079" s="39">
        <f>A1078</f>
        <v>45799</v>
      </c>
      <c r="B1079" s="40" t="s">
        <v>19</v>
      </c>
      <c r="C1079" s="40" t="s">
        <v>62</v>
      </c>
      <c r="D1079" s="41">
        <v>-2</v>
      </c>
      <c r="E1079" s="43" t="s">
        <v>358</v>
      </c>
      <c r="F1079" s="42" t="s">
        <v>1</v>
      </c>
    </row>
    <row r="1080" spans="1:6">
      <c r="A1080" s="39">
        <f>A1079</f>
        <v>45799</v>
      </c>
      <c r="B1080" s="40" t="s">
        <v>19</v>
      </c>
      <c r="C1080" s="40" t="s">
        <v>36</v>
      </c>
      <c r="D1080" s="41">
        <v>-1.5</v>
      </c>
      <c r="E1080" s="43" t="s">
        <v>84</v>
      </c>
      <c r="F1080" s="42" t="s">
        <v>1</v>
      </c>
    </row>
    <row r="1081" spans="1:6">
      <c r="A1081" s="39">
        <f>A1080</f>
        <v>45799</v>
      </c>
      <c r="B1081" s="40" t="s">
        <v>256</v>
      </c>
      <c r="C1081" s="40" t="s">
        <v>119</v>
      </c>
      <c r="D1081" s="41">
        <v>15</v>
      </c>
      <c r="E1081" s="43" t="s">
        <v>359</v>
      </c>
      <c r="F1081" s="42" t="s">
        <v>1</v>
      </c>
    </row>
    <row r="1082" spans="1:6">
      <c r="A1082" s="39">
        <f>A1081</f>
        <v>45799</v>
      </c>
      <c r="B1082" s="40" t="s">
        <v>256</v>
      </c>
      <c r="C1082" s="40" t="s">
        <v>119</v>
      </c>
      <c r="D1082" s="41">
        <v>15</v>
      </c>
      <c r="E1082" s="43" t="s">
        <v>360</v>
      </c>
      <c r="F1082" s="42" t="s">
        <v>1</v>
      </c>
    </row>
    <row r="1083" spans="1:6">
      <c r="A1083" s="39">
        <v>45800</v>
      </c>
      <c r="B1083" s="40" t="s">
        <v>19</v>
      </c>
      <c r="C1083" s="40" t="s">
        <v>36</v>
      </c>
      <c r="D1083" s="41">
        <v>-3</v>
      </c>
      <c r="E1083" s="43" t="s">
        <v>142</v>
      </c>
      <c r="F1083" s="42" t="s">
        <v>1</v>
      </c>
    </row>
    <row r="1084" spans="1:6">
      <c r="A1084" s="39">
        <f>A1083</f>
        <v>45800</v>
      </c>
      <c r="B1084" s="40" t="s">
        <v>29</v>
      </c>
      <c r="C1084" s="40" t="s">
        <v>76</v>
      </c>
      <c r="D1084" s="41">
        <v>-44.96</v>
      </c>
      <c r="E1084" s="43" t="s">
        <v>361</v>
      </c>
      <c r="F1084" s="42" t="s">
        <v>1</v>
      </c>
    </row>
    <row r="1085" spans="1:6">
      <c r="A1085" s="39">
        <f>A1084</f>
        <v>45800</v>
      </c>
      <c r="B1085" s="40" t="s">
        <v>19</v>
      </c>
      <c r="C1085" s="40" t="s">
        <v>105</v>
      </c>
      <c r="D1085" s="41">
        <v>-77.5</v>
      </c>
      <c r="E1085" s="43" t="s">
        <v>362</v>
      </c>
      <c r="F1085" s="42" t="s">
        <v>1</v>
      </c>
    </row>
    <row r="1086" spans="1:6">
      <c r="A1086" s="39">
        <f>A1085</f>
        <v>45800</v>
      </c>
      <c r="B1086" s="40" t="s">
        <v>19</v>
      </c>
      <c r="C1086" s="40" t="s">
        <v>36</v>
      </c>
      <c r="D1086" s="41">
        <v>-5</v>
      </c>
      <c r="E1086" s="43" t="s">
        <v>84</v>
      </c>
      <c r="F1086" s="42" t="s">
        <v>1</v>
      </c>
    </row>
    <row r="1087" spans="1:6">
      <c r="A1087" s="39">
        <f>A1086</f>
        <v>45800</v>
      </c>
      <c r="B1087" s="40" t="s">
        <v>256</v>
      </c>
      <c r="C1087" s="40" t="s">
        <v>50</v>
      </c>
      <c r="D1087" s="41">
        <v>495</v>
      </c>
      <c r="E1087" s="43" t="s">
        <v>232</v>
      </c>
      <c r="F1087" s="42" t="s">
        <v>1</v>
      </c>
    </row>
    <row r="1088" spans="1:6">
      <c r="A1088" s="39">
        <f>A1087</f>
        <v>45800</v>
      </c>
      <c r="B1088" s="40" t="s">
        <v>26</v>
      </c>
      <c r="C1088" s="40" t="s">
        <v>41</v>
      </c>
      <c r="D1088" s="41">
        <v>-1.3</v>
      </c>
      <c r="E1088" s="43" t="s">
        <v>42</v>
      </c>
      <c r="F1088" s="42" t="s">
        <v>0</v>
      </c>
    </row>
    <row r="1089" spans="1:6">
      <c r="A1089" s="39">
        <v>45801</v>
      </c>
      <c r="B1089" s="40" t="s">
        <v>26</v>
      </c>
      <c r="C1089" s="40" t="s">
        <v>36</v>
      </c>
      <c r="D1089" s="41">
        <v>-92.58</v>
      </c>
      <c r="E1089" s="43" t="s">
        <v>37</v>
      </c>
      <c r="F1089" s="42" t="s">
        <v>0</v>
      </c>
    </row>
    <row r="1090" spans="1:6">
      <c r="A1090" s="39">
        <v>45803</v>
      </c>
      <c r="B1090" s="40" t="s">
        <v>26</v>
      </c>
      <c r="C1090" s="40" t="s">
        <v>41</v>
      </c>
      <c r="D1090" s="41">
        <v>-1.3</v>
      </c>
      <c r="E1090" s="43" t="s">
        <v>42</v>
      </c>
      <c r="F1090" s="42" t="s">
        <v>0</v>
      </c>
    </row>
    <row r="1091" spans="1:6">
      <c r="A1091" s="39">
        <f>A1090</f>
        <v>45803</v>
      </c>
      <c r="B1091" s="40" t="s">
        <v>19</v>
      </c>
      <c r="C1091" s="40" t="s">
        <v>36</v>
      </c>
      <c r="D1091" s="41">
        <v>-2</v>
      </c>
      <c r="E1091" s="43" t="s">
        <v>84</v>
      </c>
      <c r="F1091" s="42" t="s">
        <v>1</v>
      </c>
    </row>
    <row r="1092" spans="1:6">
      <c r="A1092" s="39">
        <f>A1091</f>
        <v>45803</v>
      </c>
      <c r="B1092" s="40" t="s">
        <v>17</v>
      </c>
      <c r="C1092" s="40" t="s">
        <v>50</v>
      </c>
      <c r="D1092" s="41">
        <v>39.99</v>
      </c>
      <c r="E1092" s="43" t="s">
        <v>363</v>
      </c>
      <c r="F1092" s="42" t="s">
        <v>1</v>
      </c>
    </row>
    <row r="1093" spans="1:6">
      <c r="A1093" s="39">
        <f>A1092</f>
        <v>45803</v>
      </c>
      <c r="B1093" s="40" t="s">
        <v>17</v>
      </c>
      <c r="C1093" s="40" t="s">
        <v>76</v>
      </c>
      <c r="D1093" s="41">
        <v>-34.97</v>
      </c>
      <c r="E1093" s="43" t="s">
        <v>288</v>
      </c>
      <c r="F1093" s="42" t="s">
        <v>1</v>
      </c>
    </row>
    <row r="1094" spans="1:6">
      <c r="A1094" s="39">
        <v>45804</v>
      </c>
      <c r="B1094" s="40" t="s">
        <v>26</v>
      </c>
      <c r="C1094" s="40" t="s">
        <v>41</v>
      </c>
      <c r="D1094" s="41">
        <v>-1.3</v>
      </c>
      <c r="E1094" s="43" t="s">
        <v>42</v>
      </c>
      <c r="F1094" s="42" t="s">
        <v>0</v>
      </c>
    </row>
    <row r="1095" spans="1:6">
      <c r="A1095" s="39">
        <f>A1094</f>
        <v>45804</v>
      </c>
      <c r="B1095" s="40" t="s">
        <v>132</v>
      </c>
      <c r="C1095" s="40" t="s">
        <v>43</v>
      </c>
      <c r="D1095" s="41">
        <v>-45.86</v>
      </c>
      <c r="E1095" s="43" t="s">
        <v>312</v>
      </c>
      <c r="F1095" s="42" t="s">
        <v>0</v>
      </c>
    </row>
    <row r="1096" spans="1:6">
      <c r="A1096" s="39">
        <f>A1095</f>
        <v>45804</v>
      </c>
      <c r="B1096" s="40" t="s">
        <v>132</v>
      </c>
      <c r="C1096" s="40" t="s">
        <v>43</v>
      </c>
      <c r="D1096" s="41">
        <v>-35.880000000000003</v>
      </c>
      <c r="E1096" s="43" t="s">
        <v>262</v>
      </c>
      <c r="F1096" s="42" t="s">
        <v>0</v>
      </c>
    </row>
    <row r="1097" spans="1:6">
      <c r="A1097" s="39">
        <f>A1096</f>
        <v>45804</v>
      </c>
      <c r="B1097" s="40" t="s">
        <v>132</v>
      </c>
      <c r="C1097" s="40" t="s">
        <v>34</v>
      </c>
      <c r="D1097" s="41">
        <v>16.2</v>
      </c>
      <c r="E1097" s="43" t="s">
        <v>272</v>
      </c>
      <c r="F1097" s="42" t="s">
        <v>0</v>
      </c>
    </row>
    <row r="1098" spans="1:6">
      <c r="A1098" s="39">
        <f>A1097</f>
        <v>45804</v>
      </c>
      <c r="B1098" s="40" t="s">
        <v>16</v>
      </c>
      <c r="C1098" s="40" t="s">
        <v>46</v>
      </c>
      <c r="D1098" s="41">
        <v>-500</v>
      </c>
      <c r="E1098" s="43" t="str">
        <f>C1098</f>
        <v>Traspaso</v>
      </c>
      <c r="F1098" s="42" t="s">
        <v>0</v>
      </c>
    </row>
    <row r="1099" spans="1:6">
      <c r="A1099" s="39">
        <f>A1098</f>
        <v>45804</v>
      </c>
      <c r="B1099" s="40" t="s">
        <v>343</v>
      </c>
      <c r="C1099" s="40" t="s">
        <v>46</v>
      </c>
      <c r="D1099" s="41">
        <v>500</v>
      </c>
      <c r="E1099" s="43" t="str">
        <f>C1099</f>
        <v>Traspaso</v>
      </c>
      <c r="F1099" s="42" t="s">
        <v>0</v>
      </c>
    </row>
    <row r="1100" spans="1:6">
      <c r="A1100" s="39">
        <f>A1099</f>
        <v>45804</v>
      </c>
      <c r="B1100" s="40" t="s">
        <v>31</v>
      </c>
      <c r="C1100" s="40" t="s">
        <v>110</v>
      </c>
      <c r="D1100" s="41">
        <v>1955.54</v>
      </c>
      <c r="E1100" s="43" t="str">
        <f>C1100</f>
        <v>Nómina</v>
      </c>
      <c r="F1100" s="42" t="s">
        <v>1</v>
      </c>
    </row>
    <row r="1101" spans="1:6">
      <c r="A1101" s="39">
        <f>A1100</f>
        <v>45804</v>
      </c>
      <c r="B1101" s="40" t="s">
        <v>19</v>
      </c>
      <c r="C1101" s="40" t="s">
        <v>36</v>
      </c>
      <c r="D1101" s="41">
        <v>-1.4</v>
      </c>
      <c r="E1101" s="43" t="s">
        <v>84</v>
      </c>
      <c r="F1101" s="42" t="s">
        <v>1</v>
      </c>
    </row>
    <row r="1102" spans="1:6">
      <c r="A1102" s="39">
        <f>A1101</f>
        <v>45804</v>
      </c>
      <c r="B1102" s="40" t="s">
        <v>19</v>
      </c>
      <c r="C1102" s="40" t="s">
        <v>76</v>
      </c>
      <c r="D1102" s="41">
        <v>-15</v>
      </c>
      <c r="E1102" s="43" t="s">
        <v>364</v>
      </c>
      <c r="F1102" s="42" t="s">
        <v>1</v>
      </c>
    </row>
    <row r="1103" spans="1:6">
      <c r="A1103" s="39">
        <f>A1102</f>
        <v>45804</v>
      </c>
      <c r="B1103" s="40" t="s">
        <v>19</v>
      </c>
      <c r="C1103" s="40" t="s">
        <v>76</v>
      </c>
      <c r="D1103" s="41">
        <v>-10</v>
      </c>
      <c r="E1103" s="43" t="s">
        <v>365</v>
      </c>
      <c r="F1103" s="42" t="s">
        <v>1</v>
      </c>
    </row>
    <row r="1104" spans="1:6">
      <c r="A1104" s="39">
        <f>A1103</f>
        <v>45804</v>
      </c>
      <c r="B1104" s="40" t="s">
        <v>19</v>
      </c>
      <c r="C1104" s="40" t="s">
        <v>76</v>
      </c>
      <c r="D1104" s="41">
        <v>-18</v>
      </c>
      <c r="E1104" s="43" t="s">
        <v>366</v>
      </c>
      <c r="F1104" s="42" t="s">
        <v>1</v>
      </c>
    </row>
    <row r="1105" spans="1:6">
      <c r="A1105" s="39">
        <f>A1104</f>
        <v>45804</v>
      </c>
      <c r="B1105" s="40" t="s">
        <v>19</v>
      </c>
      <c r="C1105" s="40" t="s">
        <v>36</v>
      </c>
      <c r="D1105" s="41">
        <v>-3.1</v>
      </c>
      <c r="E1105" s="43" t="s">
        <v>367</v>
      </c>
      <c r="F1105" s="42" t="s">
        <v>38</v>
      </c>
    </row>
    <row r="1106" spans="1:6">
      <c r="A1106" s="39">
        <f>A1105</f>
        <v>45804</v>
      </c>
      <c r="B1106" s="40" t="s">
        <v>256</v>
      </c>
      <c r="C1106" s="40" t="s">
        <v>50</v>
      </c>
      <c r="D1106" s="41">
        <v>50</v>
      </c>
      <c r="E1106" s="43" t="s">
        <v>51</v>
      </c>
      <c r="F1106" s="42" t="s">
        <v>1</v>
      </c>
    </row>
    <row r="1107" spans="1:6">
      <c r="A1107" s="39">
        <f>A1106</f>
        <v>45804</v>
      </c>
      <c r="B1107" s="40" t="s">
        <v>26</v>
      </c>
      <c r="C1107" s="40" t="s">
        <v>36</v>
      </c>
      <c r="D1107" s="41">
        <v>-8.85</v>
      </c>
      <c r="E1107" s="43" t="s">
        <v>37</v>
      </c>
      <c r="F1107" s="42" t="s">
        <v>0</v>
      </c>
    </row>
    <row r="1108" spans="1:6">
      <c r="A1108" s="39">
        <v>45804</v>
      </c>
      <c r="B1108" s="40" t="s">
        <v>26</v>
      </c>
      <c r="C1108" s="40" t="s">
        <v>50</v>
      </c>
      <c r="D1108" s="41">
        <v>-24.99</v>
      </c>
      <c r="E1108" s="43" t="s">
        <v>368</v>
      </c>
      <c r="F1108" s="42" t="s">
        <v>0</v>
      </c>
    </row>
    <row r="1109" spans="1:6">
      <c r="A1109" s="39">
        <v>45805</v>
      </c>
      <c r="B1109" s="40" t="s">
        <v>24</v>
      </c>
      <c r="C1109" s="40" t="s">
        <v>46</v>
      </c>
      <c r="D1109" s="41">
        <v>-800</v>
      </c>
      <c r="E1109" s="43" t="str">
        <f>C1109</f>
        <v>Traspaso</v>
      </c>
      <c r="F1109" s="42" t="s">
        <v>0</v>
      </c>
    </row>
    <row r="1110" spans="1:6">
      <c r="A1110" s="39">
        <f>A1109</f>
        <v>45805</v>
      </c>
      <c r="B1110" s="40" t="s">
        <v>132</v>
      </c>
      <c r="C1110" s="40" t="s">
        <v>46</v>
      </c>
      <c r="D1110" s="41">
        <v>800</v>
      </c>
      <c r="E1110" s="43" t="str">
        <f>C1110</f>
        <v>Traspaso</v>
      </c>
      <c r="F1110" s="42" t="s">
        <v>0</v>
      </c>
    </row>
    <row r="1111" spans="1:6">
      <c r="A1111" s="39">
        <f>A1110</f>
        <v>45805</v>
      </c>
      <c r="B1111" s="40" t="s">
        <v>26</v>
      </c>
      <c r="C1111" s="40" t="s">
        <v>41</v>
      </c>
      <c r="D1111" s="41">
        <v>-1.3</v>
      </c>
      <c r="E1111" s="43" t="s">
        <v>42</v>
      </c>
      <c r="F1111" s="42" t="s">
        <v>0</v>
      </c>
    </row>
    <row r="1112" spans="1:6">
      <c r="A1112" s="39">
        <f>A1111</f>
        <v>45805</v>
      </c>
      <c r="B1112" s="40" t="s">
        <v>260</v>
      </c>
      <c r="C1112" s="40" t="s">
        <v>110</v>
      </c>
      <c r="D1112" s="41">
        <v>1973.17</v>
      </c>
      <c r="E1112" s="43" t="str">
        <f>C1112</f>
        <v>Nómina</v>
      </c>
      <c r="F1112" s="42" t="s">
        <v>0</v>
      </c>
    </row>
    <row r="1113" spans="1:6">
      <c r="A1113" s="39">
        <f>A1112</f>
        <v>45805</v>
      </c>
      <c r="B1113" s="40" t="s">
        <v>19</v>
      </c>
      <c r="C1113" s="40" t="s">
        <v>36</v>
      </c>
      <c r="D1113" s="41">
        <v>-1.4</v>
      </c>
      <c r="E1113" s="43" t="s">
        <v>84</v>
      </c>
      <c r="F1113" s="42" t="s">
        <v>1</v>
      </c>
    </row>
    <row r="1114" spans="1:6">
      <c r="A1114" s="39">
        <f>A1113</f>
        <v>45805</v>
      </c>
      <c r="B1114" s="40" t="s">
        <v>19</v>
      </c>
      <c r="C1114" s="40" t="s">
        <v>44</v>
      </c>
      <c r="D1114" s="41">
        <v>-33</v>
      </c>
      <c r="E1114" s="43" t="s">
        <v>369</v>
      </c>
      <c r="F1114" s="42" t="s">
        <v>38</v>
      </c>
    </row>
    <row r="1115" spans="1:6">
      <c r="A1115" s="39">
        <f>A1114</f>
        <v>45805</v>
      </c>
      <c r="B1115" s="40" t="s">
        <v>260</v>
      </c>
      <c r="C1115" s="40" t="s">
        <v>46</v>
      </c>
      <c r="D1115" s="41">
        <v>-1500</v>
      </c>
      <c r="E1115" s="43" t="str">
        <f>C1115</f>
        <v>Traspaso</v>
      </c>
      <c r="F1115" s="42" t="s">
        <v>0</v>
      </c>
    </row>
    <row r="1116" spans="1:6">
      <c r="A1116" s="39">
        <f>A1115</f>
        <v>45805</v>
      </c>
      <c r="B1116" s="40" t="s">
        <v>24</v>
      </c>
      <c r="C1116" s="40" t="s">
        <v>46</v>
      </c>
      <c r="D1116" s="41">
        <v>1500</v>
      </c>
      <c r="E1116" s="43" t="str">
        <f>C1116</f>
        <v>Traspaso</v>
      </c>
      <c r="F1116" s="42" t="s">
        <v>0</v>
      </c>
    </row>
    <row r="1117" spans="1:6">
      <c r="A1117" s="39">
        <f>A1116</f>
        <v>45805</v>
      </c>
      <c r="B1117" s="40" t="s">
        <v>24</v>
      </c>
      <c r="C1117" s="40" t="s">
        <v>46</v>
      </c>
      <c r="D1117" s="41">
        <v>-241.65</v>
      </c>
      <c r="E1117" s="43" t="str">
        <f>C1117</f>
        <v>Traspaso</v>
      </c>
      <c r="F1117" s="42" t="s">
        <v>0</v>
      </c>
    </row>
    <row r="1118" spans="1:6">
      <c r="A1118" s="39">
        <f>A1117</f>
        <v>45805</v>
      </c>
      <c r="B1118" s="40" t="s">
        <v>25</v>
      </c>
      <c r="C1118" s="40" t="s">
        <v>46</v>
      </c>
      <c r="D1118" s="41">
        <v>241.65</v>
      </c>
      <c r="E1118" s="43" t="str">
        <f>C1118</f>
        <v>Traspaso</v>
      </c>
      <c r="F1118" s="42" t="s">
        <v>0</v>
      </c>
    </row>
    <row r="1119" spans="1:6">
      <c r="A1119" s="39">
        <f>A1116</f>
        <v>45805</v>
      </c>
      <c r="B1119" s="40" t="s">
        <v>26</v>
      </c>
      <c r="C1119" s="40" t="s">
        <v>52</v>
      </c>
      <c r="D1119" s="41">
        <v>-39.99</v>
      </c>
      <c r="E1119" s="43" t="s">
        <v>370</v>
      </c>
      <c r="F1119" s="42" t="s">
        <v>0</v>
      </c>
    </row>
    <row r="1120" spans="1:6">
      <c r="A1120" s="39">
        <v>45806</v>
      </c>
      <c r="B1120" s="40" t="s">
        <v>26</v>
      </c>
      <c r="C1120" s="40" t="s">
        <v>41</v>
      </c>
      <c r="D1120" s="41">
        <v>-1.3</v>
      </c>
      <c r="E1120" s="43" t="s">
        <v>42</v>
      </c>
      <c r="F1120" s="42" t="s">
        <v>0</v>
      </c>
    </row>
    <row r="1121" spans="1:6">
      <c r="A1121" s="39">
        <v>45806</v>
      </c>
      <c r="B1121" s="40" t="s">
        <v>26</v>
      </c>
      <c r="C1121" s="40" t="s">
        <v>34</v>
      </c>
      <c r="D1121" s="41">
        <v>3.18</v>
      </c>
      <c r="E1121" s="43" t="s">
        <v>371</v>
      </c>
      <c r="F1121" s="42" t="s">
        <v>0</v>
      </c>
    </row>
    <row r="1122" spans="1:6">
      <c r="A1122" s="39">
        <v>45806</v>
      </c>
      <c r="B1122" s="40" t="s">
        <v>132</v>
      </c>
      <c r="C1122" s="40" t="s">
        <v>46</v>
      </c>
      <c r="D1122" s="41">
        <v>-100</v>
      </c>
      <c r="E1122" s="43" t="str">
        <f>C1122</f>
        <v>Traspaso</v>
      </c>
      <c r="F1122" s="42" t="s">
        <v>0</v>
      </c>
    </row>
    <row r="1123" spans="1:6">
      <c r="A1123" s="39">
        <v>45806</v>
      </c>
      <c r="B1123" s="40" t="s">
        <v>151</v>
      </c>
      <c r="C1123" s="40" t="s">
        <v>46</v>
      </c>
      <c r="D1123" s="41">
        <v>100</v>
      </c>
      <c r="E1123" s="43" t="str">
        <f>C1123</f>
        <v>Traspaso</v>
      </c>
      <c r="F1123" s="42" t="s">
        <v>0</v>
      </c>
    </row>
    <row r="1124" spans="1:6">
      <c r="A1124" s="39">
        <v>45806</v>
      </c>
      <c r="B1124" s="40" t="s">
        <v>132</v>
      </c>
      <c r="C1124" s="40" t="s">
        <v>46</v>
      </c>
      <c r="D1124" s="41">
        <v>-200</v>
      </c>
      <c r="E1124" s="43" t="str">
        <f>C1124</f>
        <v>Traspaso</v>
      </c>
      <c r="F1124" s="42" t="s">
        <v>0</v>
      </c>
    </row>
    <row r="1125" spans="1:6">
      <c r="A1125" s="39">
        <v>45806</v>
      </c>
      <c r="B1125" s="40" t="s">
        <v>151</v>
      </c>
      <c r="C1125" s="40" t="s">
        <v>46</v>
      </c>
      <c r="D1125" s="41">
        <v>200</v>
      </c>
      <c r="E1125" s="43" t="str">
        <f>C1125</f>
        <v>Traspaso</v>
      </c>
      <c r="F1125" s="42" t="s">
        <v>0</v>
      </c>
    </row>
    <row r="1126" spans="1:6">
      <c r="A1126" s="39">
        <v>45806</v>
      </c>
      <c r="B1126" s="40" t="s">
        <v>19</v>
      </c>
      <c r="C1126" s="40" t="s">
        <v>36</v>
      </c>
      <c r="D1126" s="41">
        <v>-3</v>
      </c>
      <c r="E1126" s="43" t="s">
        <v>69</v>
      </c>
      <c r="F1126" s="42" t="s">
        <v>38</v>
      </c>
    </row>
    <row r="1127" spans="1:6">
      <c r="A1127" s="39">
        <v>45806</v>
      </c>
      <c r="B1127" s="40" t="s">
        <v>19</v>
      </c>
      <c r="C1127" s="40" t="s">
        <v>36</v>
      </c>
      <c r="D1127" s="41">
        <v>-1.55</v>
      </c>
      <c r="E1127" s="43" t="s">
        <v>84</v>
      </c>
      <c r="F1127" s="42" t="s">
        <v>1</v>
      </c>
    </row>
    <row r="1128" spans="1:6">
      <c r="A1128" s="39">
        <v>45806</v>
      </c>
      <c r="B1128" s="40" t="s">
        <v>17</v>
      </c>
      <c r="C1128" s="40" t="s">
        <v>36</v>
      </c>
      <c r="D1128" s="41">
        <v>-27.17</v>
      </c>
      <c r="E1128" s="43" t="s">
        <v>143</v>
      </c>
      <c r="F1128" s="42" t="s">
        <v>38</v>
      </c>
    </row>
    <row r="1129" spans="1:6">
      <c r="A1129" s="39">
        <v>45806</v>
      </c>
      <c r="B1129" s="40" t="s">
        <v>17</v>
      </c>
      <c r="C1129" s="40" t="s">
        <v>76</v>
      </c>
      <c r="D1129" s="41">
        <v>-38.981000000000002</v>
      </c>
      <c r="E1129" s="43" t="s">
        <v>372</v>
      </c>
      <c r="F1129" s="42" t="s">
        <v>1</v>
      </c>
    </row>
    <row r="1130" spans="1:6">
      <c r="A1130" s="39">
        <v>45806</v>
      </c>
      <c r="B1130" s="40" t="s">
        <v>17</v>
      </c>
      <c r="C1130" s="40" t="s">
        <v>76</v>
      </c>
      <c r="D1130" s="41">
        <v>-25.48</v>
      </c>
      <c r="E1130" s="43" t="s">
        <v>373</v>
      </c>
      <c r="F1130" s="42" t="s">
        <v>1</v>
      </c>
    </row>
    <row r="1131" spans="1:6">
      <c r="A1131" s="39">
        <v>45806</v>
      </c>
      <c r="B1131" s="40" t="s">
        <v>31</v>
      </c>
      <c r="C1131" s="40" t="s">
        <v>46</v>
      </c>
      <c r="D1131" s="41">
        <v>-2000</v>
      </c>
      <c r="E1131" s="43" t="s">
        <v>113</v>
      </c>
      <c r="F1131" s="42" t="s">
        <v>1</v>
      </c>
    </row>
    <row r="1132" spans="1:6">
      <c r="A1132" s="39">
        <v>45806</v>
      </c>
      <c r="B1132" s="40" t="s">
        <v>374</v>
      </c>
      <c r="C1132" s="40" t="s">
        <v>46</v>
      </c>
      <c r="D1132" s="41">
        <v>2000</v>
      </c>
      <c r="E1132" s="43" t="s">
        <v>113</v>
      </c>
      <c r="F1132" s="42" t="s">
        <v>1</v>
      </c>
    </row>
    <row r="1133" spans="1:6">
      <c r="A1133" s="39">
        <v>45807</v>
      </c>
      <c r="B1133" s="40" t="s">
        <v>26</v>
      </c>
      <c r="C1133" s="40" t="s">
        <v>41</v>
      </c>
      <c r="D1133" s="41">
        <v>-1.3</v>
      </c>
      <c r="E1133" s="43" t="s">
        <v>42</v>
      </c>
      <c r="F1133" s="42" t="s">
        <v>0</v>
      </c>
    </row>
    <row r="1134" spans="1:6">
      <c r="A1134" s="39">
        <f>A1133</f>
        <v>45807</v>
      </c>
      <c r="B1134" s="40" t="s">
        <v>132</v>
      </c>
      <c r="C1134" s="40" t="s">
        <v>46</v>
      </c>
      <c r="D1134" s="41">
        <v>-1204.33</v>
      </c>
      <c r="E1134" s="43" t="str">
        <f>C1134</f>
        <v>Traspaso</v>
      </c>
      <c r="F1134" s="42" t="s">
        <v>0</v>
      </c>
    </row>
    <row r="1135" spans="1:6">
      <c r="A1135" s="39">
        <f>A1134</f>
        <v>45807</v>
      </c>
      <c r="B1135" s="40" t="s">
        <v>16</v>
      </c>
      <c r="C1135" s="40" t="s">
        <v>46</v>
      </c>
      <c r="D1135" s="41">
        <v>1204.33</v>
      </c>
      <c r="E1135" s="43" t="str">
        <f>C1135</f>
        <v>Traspaso</v>
      </c>
      <c r="F1135" s="42" t="s">
        <v>0</v>
      </c>
    </row>
    <row r="1136" spans="1:6">
      <c r="A1136" s="39">
        <f>A1135</f>
        <v>45807</v>
      </c>
      <c r="B1136" s="40" t="s">
        <v>132</v>
      </c>
      <c r="C1136" s="40" t="s">
        <v>34</v>
      </c>
      <c r="D1136" s="41">
        <v>16.2</v>
      </c>
      <c r="E1136" s="43" t="s">
        <v>272</v>
      </c>
      <c r="F1136" s="42" t="s">
        <v>0</v>
      </c>
    </row>
    <row r="1137" spans="1:6">
      <c r="A1137" s="39">
        <f>A1136</f>
        <v>45807</v>
      </c>
      <c r="B1137" s="40" t="s">
        <v>24</v>
      </c>
      <c r="C1137" s="40" t="s">
        <v>46</v>
      </c>
      <c r="D1137" s="41">
        <v>-758.35</v>
      </c>
      <c r="E1137" s="43" t="str">
        <f>C1137</f>
        <v>Traspaso</v>
      </c>
      <c r="F1137" s="42" t="s">
        <v>0</v>
      </c>
    </row>
    <row r="1138" spans="1:6">
      <c r="A1138" s="39">
        <f>A1137</f>
        <v>45807</v>
      </c>
      <c r="B1138" s="40" t="s">
        <v>132</v>
      </c>
      <c r="C1138" s="40" t="s">
        <v>46</v>
      </c>
      <c r="D1138" s="41">
        <v>758.35</v>
      </c>
      <c r="E1138" s="43" t="str">
        <f>C1138</f>
        <v>Traspaso</v>
      </c>
      <c r="F1138" s="42" t="s">
        <v>0</v>
      </c>
    </row>
    <row r="1139" spans="1:6">
      <c r="A1139" s="39">
        <f>A1138</f>
        <v>45807</v>
      </c>
      <c r="B1139" s="40" t="s">
        <v>32</v>
      </c>
      <c r="C1139" s="40" t="s">
        <v>46</v>
      </c>
      <c r="D1139" s="41">
        <v>-128.84</v>
      </c>
      <c r="E1139" s="43" t="s">
        <v>375</v>
      </c>
      <c r="F1139" s="42" t="s">
        <v>1</v>
      </c>
    </row>
    <row r="1140" spans="1:6">
      <c r="A1140" s="39">
        <f>A1139</f>
        <v>45807</v>
      </c>
      <c r="B1140" s="40" t="s">
        <v>17</v>
      </c>
      <c r="C1140" s="40" t="s">
        <v>46</v>
      </c>
      <c r="D1140" s="41">
        <v>128.84</v>
      </c>
      <c r="E1140" s="43" t="str">
        <f>C1140</f>
        <v>Traspaso</v>
      </c>
      <c r="F1140" s="42" t="s">
        <v>1</v>
      </c>
    </row>
    <row r="1141" spans="1:6">
      <c r="A1141" s="39">
        <f>A1140</f>
        <v>45807</v>
      </c>
      <c r="B1141" s="40" t="s">
        <v>376</v>
      </c>
      <c r="C1141" s="40" t="s">
        <v>34</v>
      </c>
      <c r="D1141" s="41">
        <v>16.2</v>
      </c>
      <c r="E1141" s="43" t="s">
        <v>377</v>
      </c>
      <c r="F1141" s="42" t="s">
        <v>1</v>
      </c>
    </row>
    <row r="1142" spans="1:6">
      <c r="A1142" s="39">
        <f>A1141</f>
        <v>45807</v>
      </c>
      <c r="B1142" s="40" t="s">
        <v>19</v>
      </c>
      <c r="C1142" s="40" t="s">
        <v>36</v>
      </c>
      <c r="D1142" s="41">
        <v>-5.5</v>
      </c>
      <c r="E1142" s="43" t="s">
        <v>84</v>
      </c>
      <c r="F1142" s="42" t="s">
        <v>1</v>
      </c>
    </row>
    <row r="1143" spans="1:6">
      <c r="A1143" s="39">
        <f>A1142</f>
        <v>45807</v>
      </c>
      <c r="B1143" s="40" t="s">
        <v>19</v>
      </c>
      <c r="C1143" s="40" t="s">
        <v>105</v>
      </c>
      <c r="D1143" s="41">
        <v>-78</v>
      </c>
      <c r="E1143" s="43" t="s">
        <v>120</v>
      </c>
      <c r="F1143" s="42" t="s">
        <v>1</v>
      </c>
    </row>
    <row r="1144" spans="1:6">
      <c r="A1144" s="39">
        <v>45807</v>
      </c>
      <c r="B1144" s="40" t="s">
        <v>17</v>
      </c>
      <c r="C1144" s="40" t="s">
        <v>73</v>
      </c>
      <c r="D1144" s="41">
        <v>-50.6</v>
      </c>
      <c r="E1144" s="43" t="s">
        <v>107</v>
      </c>
      <c r="F1144" s="42" t="s">
        <v>38</v>
      </c>
    </row>
    <row r="1145" spans="1:6">
      <c r="A1145" s="39">
        <v>45807</v>
      </c>
      <c r="B1145" s="40" t="s">
        <v>17</v>
      </c>
      <c r="C1145" s="40" t="s">
        <v>76</v>
      </c>
      <c r="D1145" s="41">
        <v>-32.979999999999997</v>
      </c>
      <c r="E1145" s="43" t="s">
        <v>378</v>
      </c>
      <c r="F1145" s="42" t="s">
        <v>1</v>
      </c>
    </row>
    <row r="1146" spans="1:6">
      <c r="A1146" s="39">
        <v>45808</v>
      </c>
      <c r="B1146" s="40" t="s">
        <v>26</v>
      </c>
      <c r="C1146" s="40" t="s">
        <v>36</v>
      </c>
      <c r="D1146" s="41">
        <v>-48.13</v>
      </c>
      <c r="E1146" s="43" t="s">
        <v>37</v>
      </c>
      <c r="F1146" s="42" t="s">
        <v>38</v>
      </c>
    </row>
    <row r="1147" spans="1:6">
      <c r="A1147" s="39">
        <v>45809</v>
      </c>
      <c r="B1147" s="40" t="s">
        <v>22</v>
      </c>
      <c r="C1147" s="40" t="s">
        <v>34</v>
      </c>
      <c r="D1147" s="41">
        <v>0.02</v>
      </c>
      <c r="E1147" s="43" t="str">
        <f>C1147</f>
        <v>Intereses</v>
      </c>
      <c r="F1147" s="42" t="s">
        <v>0</v>
      </c>
    </row>
    <row r="1148" spans="1:6">
      <c r="A1148" s="39">
        <f>A1147</f>
        <v>45809</v>
      </c>
      <c r="B1148" s="40" t="s">
        <v>26</v>
      </c>
      <c r="C1148" s="40" t="s">
        <v>34</v>
      </c>
      <c r="D1148" s="41">
        <v>2.96</v>
      </c>
      <c r="E1148" s="43" t="str">
        <f>C1148</f>
        <v>Intereses</v>
      </c>
      <c r="F1148" s="42" t="s">
        <v>0</v>
      </c>
    </row>
    <row r="1149" spans="1:6">
      <c r="A1149" s="39">
        <f>A1148</f>
        <v>45809</v>
      </c>
      <c r="B1149" s="40" t="s">
        <v>239</v>
      </c>
      <c r="C1149" s="40" t="s">
        <v>34</v>
      </c>
      <c r="D1149" s="41">
        <v>8.1999999999999993</v>
      </c>
      <c r="E1149" s="43" t="str">
        <f>C1149</f>
        <v>Intereses</v>
      </c>
      <c r="F1149" s="42" t="s">
        <v>0</v>
      </c>
    </row>
    <row r="1150" spans="1:6">
      <c r="A1150" s="39">
        <f>A1149</f>
        <v>45809</v>
      </c>
      <c r="B1150" s="40" t="s">
        <v>18</v>
      </c>
      <c r="C1150" s="40" t="s">
        <v>92</v>
      </c>
      <c r="D1150" s="41">
        <v>65</v>
      </c>
      <c r="E1150" s="43" t="s">
        <v>379</v>
      </c>
      <c r="F1150" s="42" t="s">
        <v>38</v>
      </c>
    </row>
    <row r="1151" spans="1:6">
      <c r="A1151" s="39">
        <f>A1150</f>
        <v>45809</v>
      </c>
      <c r="B1151" s="40" t="s">
        <v>132</v>
      </c>
      <c r="C1151" s="40" t="s">
        <v>39</v>
      </c>
      <c r="D1151" s="41">
        <v>800</v>
      </c>
      <c r="E1151" s="43" t="s">
        <v>380</v>
      </c>
      <c r="F1151" s="42" t="s">
        <v>0</v>
      </c>
    </row>
    <row r="1152" spans="1:6">
      <c r="A1152" s="39">
        <v>45809</v>
      </c>
      <c r="B1152" s="40" t="s">
        <v>29</v>
      </c>
      <c r="C1152" s="40" t="s">
        <v>34</v>
      </c>
      <c r="D1152" s="41">
        <v>0.17</v>
      </c>
      <c r="E1152" s="43" t="s">
        <v>49</v>
      </c>
      <c r="F1152" s="42" t="s">
        <v>1</v>
      </c>
    </row>
    <row r="1153" spans="1:6">
      <c r="A1153" s="39">
        <v>45809</v>
      </c>
      <c r="B1153" s="40" t="s">
        <v>256</v>
      </c>
      <c r="C1153" s="40" t="s">
        <v>34</v>
      </c>
      <c r="D1153" s="41">
        <v>39.700000000000003</v>
      </c>
      <c r="E1153" s="43" t="s">
        <v>49</v>
      </c>
      <c r="F1153" s="42" t="s">
        <v>1</v>
      </c>
    </row>
    <row r="1154" spans="1:6">
      <c r="A1154" s="39">
        <v>45809</v>
      </c>
      <c r="B1154" s="40" t="s">
        <v>256</v>
      </c>
      <c r="C1154" s="40" t="s">
        <v>319</v>
      </c>
      <c r="D1154" s="41">
        <v>-7.54</v>
      </c>
      <c r="E1154" s="43" t="s">
        <v>381</v>
      </c>
      <c r="F1154" s="42" t="s">
        <v>1</v>
      </c>
    </row>
    <row r="1155" spans="1:6">
      <c r="A1155" s="39">
        <v>45809</v>
      </c>
      <c r="B1155" s="40" t="s">
        <v>33</v>
      </c>
      <c r="C1155" s="40" t="s">
        <v>34</v>
      </c>
      <c r="D1155" s="41">
        <v>51.42</v>
      </c>
      <c r="E1155" s="43" t="s">
        <v>49</v>
      </c>
      <c r="F1155" s="42" t="s">
        <v>1</v>
      </c>
    </row>
    <row r="1156" spans="1:6">
      <c r="A1156" s="39">
        <v>45810</v>
      </c>
      <c r="B1156" s="40" t="s">
        <v>33</v>
      </c>
      <c r="C1156" s="40" t="s">
        <v>46</v>
      </c>
      <c r="D1156" s="41">
        <v>-70</v>
      </c>
      <c r="E1156" s="43" t="str">
        <f>C1156</f>
        <v>Traspaso</v>
      </c>
      <c r="F1156" s="42" t="s">
        <v>1</v>
      </c>
    </row>
    <row r="1157" spans="1:6">
      <c r="A1157" s="39">
        <v>45810</v>
      </c>
      <c r="B1157" s="40" t="s">
        <v>201</v>
      </c>
      <c r="C1157" s="40" t="s">
        <v>46</v>
      </c>
      <c r="D1157" s="41">
        <v>70</v>
      </c>
      <c r="E1157" s="43" t="str">
        <f>C1157</f>
        <v>Traspaso</v>
      </c>
      <c r="F1157" s="42" t="s">
        <v>1</v>
      </c>
    </row>
    <row r="1158" spans="1:6">
      <c r="A1158" s="39">
        <v>45810</v>
      </c>
      <c r="B1158" s="40" t="s">
        <v>26</v>
      </c>
      <c r="C1158" s="40" t="s">
        <v>46</v>
      </c>
      <c r="D1158" s="41">
        <v>-660</v>
      </c>
      <c r="E1158" s="43" t="str">
        <f>C1158</f>
        <v>Traspaso</v>
      </c>
      <c r="F1158" s="42" t="s">
        <v>0</v>
      </c>
    </row>
    <row r="1159" spans="1:6">
      <c r="A1159" s="39">
        <f>A1158</f>
        <v>45810</v>
      </c>
      <c r="B1159" s="40" t="s">
        <v>13</v>
      </c>
      <c r="C1159" s="40" t="s">
        <v>46</v>
      </c>
      <c r="D1159" s="41">
        <v>660</v>
      </c>
      <c r="E1159" s="43" t="str">
        <f>C1159</f>
        <v>Traspaso</v>
      </c>
      <c r="F1159" s="42" t="s">
        <v>0</v>
      </c>
    </row>
    <row r="1160" spans="1:6">
      <c r="A1160" s="39">
        <f>A1159</f>
        <v>45810</v>
      </c>
      <c r="B1160" s="40" t="s">
        <v>26</v>
      </c>
      <c r="C1160" s="40" t="s">
        <v>41</v>
      </c>
      <c r="D1160" s="41">
        <v>-1.3</v>
      </c>
      <c r="E1160" s="43" t="s">
        <v>42</v>
      </c>
      <c r="F1160" s="42" t="s">
        <v>0</v>
      </c>
    </row>
    <row r="1161" spans="1:6">
      <c r="A1161" s="39">
        <v>45810</v>
      </c>
      <c r="B1161" s="40" t="s">
        <v>31</v>
      </c>
      <c r="C1161" s="40" t="s">
        <v>46</v>
      </c>
      <c r="D1161" s="41">
        <v>-2000</v>
      </c>
      <c r="E1161" s="43" t="s">
        <v>382</v>
      </c>
      <c r="F1161" s="42" t="s">
        <v>1</v>
      </c>
    </row>
    <row r="1162" spans="1:6">
      <c r="A1162" s="39">
        <v>45810</v>
      </c>
      <c r="B1162" s="40" t="s">
        <v>383</v>
      </c>
      <c r="C1162" s="40" t="s">
        <v>46</v>
      </c>
      <c r="D1162" s="41">
        <v>2000</v>
      </c>
      <c r="E1162" s="43" t="s">
        <v>382</v>
      </c>
      <c r="F1162" s="42" t="s">
        <v>1</v>
      </c>
    </row>
    <row r="1163" spans="1:6">
      <c r="A1163" s="39">
        <v>45810</v>
      </c>
      <c r="B1163" s="40" t="s">
        <v>31</v>
      </c>
      <c r="C1163" s="40" t="s">
        <v>46</v>
      </c>
      <c r="D1163" s="41">
        <v>-1000</v>
      </c>
      <c r="E1163" s="43" t="str">
        <f>C1163</f>
        <v>Traspaso</v>
      </c>
      <c r="F1163" s="42" t="s">
        <v>1</v>
      </c>
    </row>
    <row r="1164" spans="1:6">
      <c r="A1164" s="39">
        <v>45810</v>
      </c>
      <c r="B1164" s="40" t="s">
        <v>32</v>
      </c>
      <c r="C1164" s="40" t="s">
        <v>46</v>
      </c>
      <c r="D1164" s="41">
        <v>1000</v>
      </c>
      <c r="E1164" s="43" t="str">
        <f>C1164</f>
        <v>Traspaso</v>
      </c>
      <c r="F1164" s="42" t="s">
        <v>1</v>
      </c>
    </row>
    <row r="1165" spans="1:6">
      <c r="A1165" s="39">
        <v>45810</v>
      </c>
      <c r="B1165" s="40" t="s">
        <v>31</v>
      </c>
      <c r="C1165" s="40" t="s">
        <v>46</v>
      </c>
      <c r="D1165" s="41">
        <v>-1000</v>
      </c>
      <c r="E1165" s="43" t="str">
        <f>C1165</f>
        <v>Traspaso</v>
      </c>
      <c r="F1165" s="42" t="s">
        <v>1</v>
      </c>
    </row>
    <row r="1166" spans="1:6">
      <c r="A1166" s="39">
        <f>A1160</f>
        <v>45810</v>
      </c>
      <c r="B1166" s="40" t="s">
        <v>29</v>
      </c>
      <c r="C1166" s="40" t="s">
        <v>46</v>
      </c>
      <c r="D1166" s="41">
        <v>1000</v>
      </c>
      <c r="E1166" s="43" t="str">
        <f>C1166</f>
        <v>Traspaso</v>
      </c>
      <c r="F1166" s="42" t="s">
        <v>1</v>
      </c>
    </row>
    <row r="1167" spans="1:6">
      <c r="A1167" s="39">
        <v>45810</v>
      </c>
      <c r="B1167" s="40" t="s">
        <v>132</v>
      </c>
      <c r="C1167" s="40" t="s">
        <v>43</v>
      </c>
      <c r="D1167" s="41">
        <v>-60</v>
      </c>
      <c r="E1167" s="43" t="s">
        <v>124</v>
      </c>
      <c r="F1167" s="42" t="s">
        <v>0</v>
      </c>
    </row>
    <row r="1168" spans="1:6">
      <c r="A1168" s="39">
        <v>45810</v>
      </c>
      <c r="B1168" s="40" t="s">
        <v>19</v>
      </c>
      <c r="C1168" s="40" t="s">
        <v>54</v>
      </c>
      <c r="D1168" s="41">
        <v>-6.17</v>
      </c>
      <c r="E1168" s="43" t="s">
        <v>384</v>
      </c>
      <c r="F1168" s="42" t="s">
        <v>1</v>
      </c>
    </row>
    <row r="1169" spans="1:6">
      <c r="A1169" s="39">
        <v>45810</v>
      </c>
      <c r="B1169" s="40" t="s">
        <v>19</v>
      </c>
      <c r="C1169" s="40" t="s">
        <v>36</v>
      </c>
      <c r="D1169" s="41">
        <v>-1.5</v>
      </c>
      <c r="E1169" s="43" t="s">
        <v>84</v>
      </c>
      <c r="F1169" s="42" t="s">
        <v>1</v>
      </c>
    </row>
    <row r="1170" spans="1:6">
      <c r="A1170" s="39">
        <v>45810</v>
      </c>
      <c r="B1170" s="40" t="s">
        <v>32</v>
      </c>
      <c r="C1170" s="40" t="s">
        <v>92</v>
      </c>
      <c r="D1170" s="41">
        <v>100</v>
      </c>
      <c r="E1170" s="43" t="s">
        <v>126</v>
      </c>
      <c r="F1170" s="42" t="s">
        <v>38</v>
      </c>
    </row>
    <row r="1171" spans="1:6">
      <c r="A1171" s="39">
        <v>45810</v>
      </c>
      <c r="B1171" s="40" t="s">
        <v>32</v>
      </c>
      <c r="C1171" s="40" t="s">
        <v>54</v>
      </c>
      <c r="D1171" s="41">
        <v>-57.71</v>
      </c>
      <c r="E1171" s="43" t="s">
        <v>123</v>
      </c>
      <c r="F1171" s="42" t="s">
        <v>1</v>
      </c>
    </row>
    <row r="1172" spans="1:6">
      <c r="A1172" s="39">
        <v>45811</v>
      </c>
      <c r="B1172" s="40" t="s">
        <v>32</v>
      </c>
      <c r="C1172" s="40" t="s">
        <v>44</v>
      </c>
      <c r="D1172" s="41">
        <v>-10.48</v>
      </c>
      <c r="E1172" s="43" t="s">
        <v>80</v>
      </c>
      <c r="F1172" s="42" t="s">
        <v>1</v>
      </c>
    </row>
    <row r="1173" spans="1:6">
      <c r="A1173" s="39">
        <v>45811</v>
      </c>
      <c r="B1173" s="40" t="s">
        <v>26</v>
      </c>
      <c r="C1173" s="40" t="s">
        <v>41</v>
      </c>
      <c r="D1173" s="41">
        <v>-1.3</v>
      </c>
      <c r="E1173" s="43" t="s">
        <v>42</v>
      </c>
      <c r="F1173" s="42" t="s">
        <v>0</v>
      </c>
    </row>
    <row r="1174" spans="1:6">
      <c r="A1174" s="39">
        <f>A1173</f>
        <v>45811</v>
      </c>
      <c r="B1174" s="40" t="s">
        <v>132</v>
      </c>
      <c r="C1174" s="40" t="s">
        <v>47</v>
      </c>
      <c r="D1174" s="41">
        <v>-742.35</v>
      </c>
      <c r="E1174" s="43" t="s">
        <v>318</v>
      </c>
      <c r="F1174" s="42" t="s">
        <v>0</v>
      </c>
    </row>
    <row r="1175" spans="1:6">
      <c r="A1175" s="39">
        <v>45811</v>
      </c>
      <c r="B1175" s="40" t="s">
        <v>19</v>
      </c>
      <c r="C1175" s="40" t="s">
        <v>36</v>
      </c>
      <c r="D1175" s="41">
        <v>-2.1</v>
      </c>
      <c r="E1175" s="43" t="s">
        <v>84</v>
      </c>
      <c r="F1175" s="42" t="s">
        <v>1</v>
      </c>
    </row>
    <row r="1176" spans="1:6">
      <c r="A1176" s="39">
        <v>45811</v>
      </c>
      <c r="B1176" s="40" t="s">
        <v>32</v>
      </c>
      <c r="C1176" s="40" t="s">
        <v>47</v>
      </c>
      <c r="D1176" s="41">
        <v>742.35</v>
      </c>
      <c r="E1176" s="43" t="s">
        <v>385</v>
      </c>
      <c r="F1176" s="42" t="s">
        <v>1</v>
      </c>
    </row>
    <row r="1177" spans="1:6">
      <c r="A1177" s="39">
        <v>45811</v>
      </c>
      <c r="B1177" s="40" t="s">
        <v>19</v>
      </c>
      <c r="C1177" s="40" t="s">
        <v>54</v>
      </c>
      <c r="D1177" s="41">
        <v>-8.9499999999999993</v>
      </c>
      <c r="E1177" s="43" t="s">
        <v>386</v>
      </c>
      <c r="F1177" s="42" t="s">
        <v>1</v>
      </c>
    </row>
    <row r="1178" spans="1:6">
      <c r="A1178" s="39">
        <v>45811</v>
      </c>
      <c r="B1178" s="40" t="s">
        <v>18</v>
      </c>
      <c r="C1178" s="40" t="s">
        <v>44</v>
      </c>
      <c r="D1178" s="41">
        <v>-5</v>
      </c>
      <c r="E1178" s="43" t="s">
        <v>387</v>
      </c>
      <c r="F1178" s="42" t="s">
        <v>0</v>
      </c>
    </row>
    <row r="1179" spans="1:6">
      <c r="A1179" s="39">
        <v>45812</v>
      </c>
      <c r="B1179" s="40" t="s">
        <v>26</v>
      </c>
      <c r="C1179" s="40" t="s">
        <v>41</v>
      </c>
      <c r="D1179" s="41">
        <v>-1.3</v>
      </c>
      <c r="E1179" s="43" t="s">
        <v>42</v>
      </c>
      <c r="F1179" s="42" t="s">
        <v>0</v>
      </c>
    </row>
    <row r="1180" spans="1:6">
      <c r="A1180" s="39">
        <v>45812</v>
      </c>
      <c r="B1180" s="40" t="s">
        <v>32</v>
      </c>
      <c r="C1180" s="40" t="s">
        <v>46</v>
      </c>
      <c r="D1180" s="41">
        <v>-1500</v>
      </c>
      <c r="E1180" s="43" t="str">
        <f>C1180</f>
        <v>Traspaso</v>
      </c>
      <c r="F1180" s="42" t="s">
        <v>1</v>
      </c>
    </row>
    <row r="1181" spans="1:6">
      <c r="A1181" s="39">
        <v>45812</v>
      </c>
      <c r="B1181" s="40" t="s">
        <v>256</v>
      </c>
      <c r="C1181" s="40" t="s">
        <v>46</v>
      </c>
      <c r="D1181" s="41">
        <v>1500</v>
      </c>
      <c r="E1181" s="43" t="str">
        <f>C1181</f>
        <v>Traspaso</v>
      </c>
      <c r="F1181" s="42" t="s">
        <v>1</v>
      </c>
    </row>
    <row r="1182" spans="1:6">
      <c r="A1182" s="39">
        <v>45812</v>
      </c>
      <c r="B1182" s="40" t="s">
        <v>32</v>
      </c>
      <c r="C1182" s="40" t="s">
        <v>52</v>
      </c>
      <c r="D1182" s="41">
        <v>-74</v>
      </c>
      <c r="E1182" s="43" t="s">
        <v>130</v>
      </c>
      <c r="F1182" s="42" t="s">
        <v>38</v>
      </c>
    </row>
    <row r="1183" spans="1:6">
      <c r="A1183" s="39">
        <v>45812</v>
      </c>
      <c r="B1183" s="40" t="s">
        <v>17</v>
      </c>
      <c r="C1183" s="40" t="s">
        <v>76</v>
      </c>
      <c r="D1183" s="41">
        <v>38.979999999999997</v>
      </c>
      <c r="E1183" s="43" t="s">
        <v>388</v>
      </c>
      <c r="F1183" s="42" t="s">
        <v>1</v>
      </c>
    </row>
    <row r="1184" spans="1:6">
      <c r="A1184" s="39">
        <v>45812</v>
      </c>
      <c r="B1184" s="40" t="s">
        <v>19</v>
      </c>
      <c r="C1184" s="40" t="s">
        <v>119</v>
      </c>
      <c r="D1184" s="41">
        <v>-16.66</v>
      </c>
      <c r="E1184" s="43" t="s">
        <v>389</v>
      </c>
      <c r="F1184" s="42" t="s">
        <v>1</v>
      </c>
    </row>
    <row r="1185" spans="1:6">
      <c r="A1185" s="39">
        <v>45812</v>
      </c>
      <c r="B1185" s="40" t="s">
        <v>29</v>
      </c>
      <c r="C1185" s="40" t="s">
        <v>46</v>
      </c>
      <c r="D1185" s="41">
        <v>-500</v>
      </c>
      <c r="E1185" s="43" t="s">
        <v>113</v>
      </c>
      <c r="F1185" s="42" t="s">
        <v>1</v>
      </c>
    </row>
    <row r="1186" spans="1:6">
      <c r="A1186" s="39">
        <v>45812</v>
      </c>
      <c r="B1186" s="40" t="s">
        <v>30</v>
      </c>
      <c r="C1186" s="40" t="s">
        <v>46</v>
      </c>
      <c r="D1186" s="41">
        <v>500</v>
      </c>
      <c r="E1186" s="43" t="s">
        <v>113</v>
      </c>
      <c r="F1186" s="42" t="s">
        <v>1</v>
      </c>
    </row>
    <row r="1187" spans="1:6">
      <c r="A1187" s="39">
        <v>45812</v>
      </c>
      <c r="B1187" s="40" t="s">
        <v>26</v>
      </c>
      <c r="C1187" s="40" t="s">
        <v>54</v>
      </c>
      <c r="D1187" s="41">
        <v>-2.2799999999999998</v>
      </c>
      <c r="E1187" s="43" t="s">
        <v>390</v>
      </c>
      <c r="F1187" s="42" t="s">
        <v>0</v>
      </c>
    </row>
    <row r="1188" spans="1:6">
      <c r="A1188" s="39">
        <v>45812</v>
      </c>
      <c r="B1188" s="40" t="s">
        <v>26</v>
      </c>
      <c r="C1188" s="40" t="s">
        <v>58</v>
      </c>
      <c r="D1188" s="41">
        <v>-23.34</v>
      </c>
      <c r="E1188" s="43" t="s">
        <v>391</v>
      </c>
      <c r="F1188" s="42" t="s">
        <v>0</v>
      </c>
    </row>
    <row r="1189" spans="1:6">
      <c r="A1189" s="39">
        <v>45812</v>
      </c>
      <c r="B1189" s="40" t="s">
        <v>26</v>
      </c>
      <c r="C1189" s="40" t="s">
        <v>52</v>
      </c>
      <c r="D1189" s="41">
        <v>-50</v>
      </c>
      <c r="E1189" s="43" t="s">
        <v>392</v>
      </c>
      <c r="F1189" s="42" t="s">
        <v>0</v>
      </c>
    </row>
    <row r="1190" spans="1:6">
      <c r="A1190" s="39">
        <v>45813</v>
      </c>
      <c r="B1190" s="40" t="s">
        <v>32</v>
      </c>
      <c r="C1190" s="40" t="s">
        <v>60</v>
      </c>
      <c r="D1190" s="41">
        <v>-21</v>
      </c>
      <c r="E1190" s="43" t="s">
        <v>68</v>
      </c>
      <c r="F1190" s="42" t="s">
        <v>1</v>
      </c>
    </row>
    <row r="1191" spans="1:6">
      <c r="A1191" s="39">
        <v>45813</v>
      </c>
      <c r="B1191" s="40" t="s">
        <v>29</v>
      </c>
      <c r="C1191" s="40" t="s">
        <v>60</v>
      </c>
      <c r="D1191" s="41">
        <v>-50</v>
      </c>
      <c r="E1191" s="43" t="s">
        <v>393</v>
      </c>
      <c r="F1191" s="42" t="s">
        <v>1</v>
      </c>
    </row>
    <row r="1192" spans="1:6">
      <c r="A1192" s="39">
        <v>45813</v>
      </c>
      <c r="B1192" s="40" t="s">
        <v>260</v>
      </c>
      <c r="C1192" s="40" t="s">
        <v>46</v>
      </c>
      <c r="D1192" s="41">
        <v>-501.3</v>
      </c>
      <c r="E1192" s="43" t="str">
        <f>C1192</f>
        <v>Traspaso</v>
      </c>
      <c r="F1192" s="42" t="s">
        <v>0</v>
      </c>
    </row>
    <row r="1193" spans="1:6">
      <c r="A1193" s="39">
        <f>A1192</f>
        <v>45813</v>
      </c>
      <c r="B1193" s="40" t="s">
        <v>16</v>
      </c>
      <c r="C1193" s="40" t="s">
        <v>46</v>
      </c>
      <c r="D1193" s="41">
        <v>501.3</v>
      </c>
      <c r="E1193" s="43" t="str">
        <f>C1193</f>
        <v>Traspaso</v>
      </c>
      <c r="F1193" s="42" t="s">
        <v>0</v>
      </c>
    </row>
    <row r="1194" spans="1:6">
      <c r="A1194" s="39">
        <f>A1193</f>
        <v>45813</v>
      </c>
      <c r="B1194" s="40" t="s">
        <v>26</v>
      </c>
      <c r="C1194" s="40" t="s">
        <v>41</v>
      </c>
      <c r="D1194" s="41">
        <v>-1.3</v>
      </c>
      <c r="E1194" s="43" t="s">
        <v>42</v>
      </c>
      <c r="F1194" s="42" t="s">
        <v>0</v>
      </c>
    </row>
    <row r="1195" spans="1:6">
      <c r="A1195" s="39">
        <f>A1194</f>
        <v>45813</v>
      </c>
      <c r="B1195" s="40" t="s">
        <v>260</v>
      </c>
      <c r="C1195" s="40" t="s">
        <v>46</v>
      </c>
      <c r="D1195" s="41">
        <v>-100</v>
      </c>
      <c r="E1195" s="43" t="str">
        <f>C1195</f>
        <v>Traspaso</v>
      </c>
      <c r="F1195" s="42" t="s">
        <v>0</v>
      </c>
    </row>
    <row r="1196" spans="1:6">
      <c r="A1196" s="39">
        <f>A1195</f>
        <v>45813</v>
      </c>
      <c r="B1196" s="8" t="s">
        <v>328</v>
      </c>
      <c r="C1196" s="40" t="s">
        <v>46</v>
      </c>
      <c r="D1196" s="41">
        <v>100</v>
      </c>
      <c r="E1196" s="43" t="str">
        <f>C1196</f>
        <v>Traspaso</v>
      </c>
      <c r="F1196" s="42" t="s">
        <v>0</v>
      </c>
    </row>
    <row r="1197" spans="1:6">
      <c r="A1197" s="39">
        <v>45813</v>
      </c>
      <c r="B1197" s="40" t="s">
        <v>26</v>
      </c>
      <c r="C1197" s="40" t="s">
        <v>58</v>
      </c>
      <c r="D1197" s="41">
        <v>-22.68</v>
      </c>
      <c r="E1197" s="43" t="s">
        <v>391</v>
      </c>
      <c r="F1197" s="42" t="s">
        <v>0</v>
      </c>
    </row>
    <row r="1198" spans="1:6">
      <c r="A1198" s="39">
        <v>45814</v>
      </c>
      <c r="B1198" s="40" t="s">
        <v>14</v>
      </c>
      <c r="C1198" s="40" t="s">
        <v>46</v>
      </c>
      <c r="D1198" s="41">
        <v>-8540</v>
      </c>
      <c r="E1198" s="43" t="s">
        <v>113</v>
      </c>
      <c r="F1198" s="42" t="s">
        <v>1</v>
      </c>
    </row>
    <row r="1199" spans="1:6">
      <c r="A1199" s="39">
        <v>45814</v>
      </c>
      <c r="B1199" s="46" t="s">
        <v>394</v>
      </c>
      <c r="C1199" s="40" t="s">
        <v>46</v>
      </c>
      <c r="D1199" s="41">
        <v>8540</v>
      </c>
      <c r="E1199" s="43" t="s">
        <v>113</v>
      </c>
      <c r="F1199" s="42" t="s">
        <v>1</v>
      </c>
    </row>
    <row r="1200" spans="1:6">
      <c r="A1200" s="39">
        <v>45814</v>
      </c>
      <c r="B1200" s="40" t="s">
        <v>17</v>
      </c>
      <c r="C1200" s="40" t="s">
        <v>176</v>
      </c>
      <c r="D1200" s="41">
        <v>-198.2</v>
      </c>
      <c r="E1200" s="43" t="s">
        <v>395</v>
      </c>
      <c r="F1200" s="42" t="s">
        <v>38</v>
      </c>
    </row>
    <row r="1201" spans="1:6">
      <c r="A1201" s="39">
        <v>45814</v>
      </c>
      <c r="B1201" s="40" t="s">
        <v>19</v>
      </c>
      <c r="C1201" s="40" t="s">
        <v>36</v>
      </c>
      <c r="D1201" s="41">
        <v>-2.6</v>
      </c>
      <c r="E1201" s="43" t="s">
        <v>70</v>
      </c>
      <c r="F1201" s="42" t="s">
        <v>38</v>
      </c>
    </row>
    <row r="1202" spans="1:6">
      <c r="A1202" s="39">
        <v>45814</v>
      </c>
      <c r="B1202" s="40" t="s">
        <v>26</v>
      </c>
      <c r="C1202" s="40" t="s">
        <v>36</v>
      </c>
      <c r="D1202" s="41">
        <v>-20.43</v>
      </c>
      <c r="E1202" s="43" t="s">
        <v>37</v>
      </c>
      <c r="F1202" s="42" t="s">
        <v>0</v>
      </c>
    </row>
    <row r="1203" spans="1:6">
      <c r="A1203" s="39">
        <f>A1202</f>
        <v>45814</v>
      </c>
      <c r="B1203" s="40" t="s">
        <v>26</v>
      </c>
      <c r="C1203" s="40" t="s">
        <v>34</v>
      </c>
      <c r="D1203" s="41">
        <v>13.67</v>
      </c>
      <c r="E1203" s="43" t="s">
        <v>371</v>
      </c>
      <c r="F1203" s="42" t="s">
        <v>0</v>
      </c>
    </row>
    <row r="1204" spans="1:6">
      <c r="A1204" s="39">
        <f>A1203</f>
        <v>45814</v>
      </c>
      <c r="B1204" s="40" t="s">
        <v>26</v>
      </c>
      <c r="C1204" s="40" t="s">
        <v>34</v>
      </c>
      <c r="D1204" s="41">
        <v>42.74</v>
      </c>
      <c r="E1204" s="43" t="s">
        <v>371</v>
      </c>
      <c r="F1204" s="42" t="s">
        <v>0</v>
      </c>
    </row>
    <row r="1205" spans="1:6">
      <c r="A1205" s="39">
        <f>A1204</f>
        <v>45814</v>
      </c>
      <c r="B1205" s="40" t="s">
        <v>260</v>
      </c>
      <c r="C1205" s="40" t="s">
        <v>34</v>
      </c>
      <c r="D1205" s="41">
        <v>25</v>
      </c>
      <c r="E1205" s="43" t="s">
        <v>396</v>
      </c>
      <c r="F1205" s="42" t="s">
        <v>0</v>
      </c>
    </row>
    <row r="1206" spans="1:6">
      <c r="A1206" s="39">
        <v>45814</v>
      </c>
      <c r="B1206" s="40" t="s">
        <v>26</v>
      </c>
      <c r="C1206" s="40" t="s">
        <v>41</v>
      </c>
      <c r="D1206" s="41">
        <v>-29.4</v>
      </c>
      <c r="E1206" s="43" t="s">
        <v>397</v>
      </c>
      <c r="F1206" s="42" t="s">
        <v>38</v>
      </c>
    </row>
    <row r="1207" spans="1:6">
      <c r="A1207" s="39">
        <v>45814</v>
      </c>
      <c r="B1207" s="40" t="s">
        <v>26</v>
      </c>
      <c r="C1207" s="40" t="s">
        <v>34</v>
      </c>
      <c r="D1207" s="41">
        <v>30.18</v>
      </c>
      <c r="E1207" s="43" t="s">
        <v>371</v>
      </c>
      <c r="F1207" s="42" t="s">
        <v>0</v>
      </c>
    </row>
    <row r="1208" spans="1:6">
      <c r="A1208" s="39">
        <v>45815</v>
      </c>
      <c r="B1208" s="40" t="s">
        <v>132</v>
      </c>
      <c r="C1208" s="40" t="s">
        <v>34</v>
      </c>
      <c r="D1208" s="41">
        <v>0.91</v>
      </c>
      <c r="E1208" s="43" t="str">
        <f>C1208</f>
        <v>Intereses</v>
      </c>
      <c r="F1208" s="42" t="s">
        <v>0</v>
      </c>
    </row>
    <row r="1209" spans="1:6">
      <c r="A1209" s="39">
        <v>45815</v>
      </c>
      <c r="B1209" s="40" t="s">
        <v>19</v>
      </c>
      <c r="C1209" s="40" t="s">
        <v>176</v>
      </c>
      <c r="D1209" s="41">
        <v>-30</v>
      </c>
      <c r="E1209" s="43" t="s">
        <v>398</v>
      </c>
      <c r="F1209" s="42" t="s">
        <v>38</v>
      </c>
    </row>
    <row r="1210" spans="1:6">
      <c r="A1210" s="39">
        <v>45815</v>
      </c>
      <c r="B1210" s="40" t="s">
        <v>19</v>
      </c>
      <c r="C1210" s="40" t="s">
        <v>76</v>
      </c>
      <c r="D1210" s="41">
        <v>-5</v>
      </c>
      <c r="E1210" s="43" t="s">
        <v>399</v>
      </c>
      <c r="F1210" s="42" t="s">
        <v>1</v>
      </c>
    </row>
    <row r="1211" spans="1:6">
      <c r="A1211" s="39">
        <v>45815</v>
      </c>
      <c r="B1211" s="40" t="s">
        <v>19</v>
      </c>
      <c r="C1211" s="40" t="s">
        <v>176</v>
      </c>
      <c r="D1211" s="41">
        <v>-4</v>
      </c>
      <c r="E1211" s="43" t="s">
        <v>400</v>
      </c>
      <c r="F1211" s="42" t="s">
        <v>38</v>
      </c>
    </row>
    <row r="1212" spans="1:6">
      <c r="A1212" s="39">
        <v>45815</v>
      </c>
      <c r="B1212" s="40" t="s">
        <v>29</v>
      </c>
      <c r="C1212" s="40" t="s">
        <v>76</v>
      </c>
      <c r="D1212" s="41">
        <v>22.48</v>
      </c>
      <c r="E1212" s="43" t="s">
        <v>401</v>
      </c>
      <c r="F1212" s="42" t="s">
        <v>1</v>
      </c>
    </row>
    <row r="1213" spans="1:6">
      <c r="A1213" s="39">
        <v>45815</v>
      </c>
      <c r="B1213" s="40" t="s">
        <v>29</v>
      </c>
      <c r="C1213" s="40" t="s">
        <v>46</v>
      </c>
      <c r="D1213" s="41">
        <v>-200</v>
      </c>
      <c r="E1213" s="43" t="s">
        <v>113</v>
      </c>
      <c r="F1213" s="42" t="s">
        <v>1</v>
      </c>
    </row>
    <row r="1214" spans="1:6">
      <c r="A1214" s="39">
        <v>45815</v>
      </c>
      <c r="B1214" s="40" t="s">
        <v>30</v>
      </c>
      <c r="C1214" s="40" t="s">
        <v>46</v>
      </c>
      <c r="D1214" s="41">
        <v>200</v>
      </c>
      <c r="E1214" s="43" t="s">
        <v>113</v>
      </c>
      <c r="F1214" s="42" t="s">
        <v>1</v>
      </c>
    </row>
    <row r="1215" spans="1:6">
      <c r="A1215" s="39">
        <v>45817</v>
      </c>
      <c r="B1215" s="40" t="s">
        <v>181</v>
      </c>
      <c r="C1215" s="40" t="s">
        <v>34</v>
      </c>
      <c r="D1215" s="41">
        <v>25</v>
      </c>
      <c r="E1215" s="43" t="s">
        <v>272</v>
      </c>
      <c r="F1215" s="42" t="s">
        <v>0</v>
      </c>
    </row>
    <row r="1216" spans="1:6">
      <c r="A1216" s="39">
        <v>45818</v>
      </c>
      <c r="B1216" s="40" t="s">
        <v>25</v>
      </c>
      <c r="C1216" s="40" t="s">
        <v>319</v>
      </c>
      <c r="D1216" s="41">
        <v>-81.95</v>
      </c>
      <c r="E1216" s="43" t="s">
        <v>402</v>
      </c>
      <c r="F1216" s="42" t="s">
        <v>38</v>
      </c>
    </row>
    <row r="1217" spans="1:6">
      <c r="A1217" s="39">
        <v>45818</v>
      </c>
      <c r="B1217" s="40" t="s">
        <v>25</v>
      </c>
      <c r="C1217" s="40" t="s">
        <v>319</v>
      </c>
      <c r="D1217" s="41">
        <v>-66.03</v>
      </c>
      <c r="E1217" s="43" t="s">
        <v>403</v>
      </c>
      <c r="F1217" s="42" t="s">
        <v>0</v>
      </c>
    </row>
    <row r="1218" spans="1:6">
      <c r="A1218" s="39">
        <v>45818</v>
      </c>
      <c r="B1218" s="40" t="s">
        <v>25</v>
      </c>
      <c r="C1218" s="40" t="s">
        <v>319</v>
      </c>
      <c r="D1218" s="41">
        <v>-393.67</v>
      </c>
      <c r="E1218" s="43" t="s">
        <v>404</v>
      </c>
      <c r="F1218" s="42" t="s">
        <v>0</v>
      </c>
    </row>
    <row r="1219" spans="1:6">
      <c r="A1219" s="39">
        <v>45819</v>
      </c>
      <c r="B1219" s="40" t="s">
        <v>19</v>
      </c>
      <c r="C1219" s="40" t="s">
        <v>36</v>
      </c>
      <c r="D1219" s="41">
        <v>-1</v>
      </c>
      <c r="E1219" s="43" t="s">
        <v>405</v>
      </c>
      <c r="F1219" s="42" t="s">
        <v>1</v>
      </c>
    </row>
    <row r="1220" spans="1:6">
      <c r="A1220" s="39">
        <v>45820</v>
      </c>
      <c r="B1220" s="40" t="s">
        <v>26</v>
      </c>
      <c r="C1220" s="40" t="s">
        <v>34</v>
      </c>
      <c r="D1220" s="41">
        <v>0.48</v>
      </c>
      <c r="E1220" s="43" t="s">
        <v>406</v>
      </c>
      <c r="F1220" s="42" t="s">
        <v>0</v>
      </c>
    </row>
    <row r="1221" spans="1:6">
      <c r="A1221" s="39">
        <v>45820</v>
      </c>
      <c r="B1221" s="40" t="s">
        <v>132</v>
      </c>
      <c r="C1221" s="40" t="s">
        <v>46</v>
      </c>
      <c r="D1221" s="41">
        <v>-100</v>
      </c>
      <c r="E1221" s="43" t="str">
        <f>C1221</f>
        <v>Traspaso</v>
      </c>
      <c r="F1221" s="42" t="s">
        <v>0</v>
      </c>
    </row>
    <row r="1222" spans="1:6">
      <c r="A1222" s="39">
        <f>A1221</f>
        <v>45820</v>
      </c>
      <c r="B1222" s="40" t="s">
        <v>151</v>
      </c>
      <c r="C1222" s="40" t="s">
        <v>46</v>
      </c>
      <c r="D1222" s="41">
        <v>100</v>
      </c>
      <c r="E1222" s="43" t="str">
        <f>C1222</f>
        <v>Traspaso</v>
      </c>
      <c r="F1222" s="42" t="s">
        <v>0</v>
      </c>
    </row>
    <row r="1223" spans="1:6">
      <c r="A1223" s="39">
        <v>45820</v>
      </c>
      <c r="B1223" s="40" t="s">
        <v>19</v>
      </c>
      <c r="C1223" s="40" t="s">
        <v>176</v>
      </c>
      <c r="D1223" s="41">
        <v>-3</v>
      </c>
      <c r="E1223" s="43" t="s">
        <v>407</v>
      </c>
      <c r="F1223" s="42" t="s">
        <v>38</v>
      </c>
    </row>
    <row r="1224" spans="1:6">
      <c r="A1224" s="39">
        <v>45820</v>
      </c>
      <c r="B1224" s="40" t="s">
        <v>32</v>
      </c>
      <c r="C1224" s="40" t="s">
        <v>81</v>
      </c>
      <c r="D1224" s="41">
        <v>-35</v>
      </c>
      <c r="E1224" s="43" t="s">
        <v>82</v>
      </c>
      <c r="F1224" s="42" t="s">
        <v>38</v>
      </c>
    </row>
    <row r="1225" spans="1:6">
      <c r="A1225" s="39">
        <v>45821</v>
      </c>
      <c r="B1225" s="40" t="s">
        <v>132</v>
      </c>
      <c r="C1225" s="40" t="s">
        <v>166</v>
      </c>
      <c r="D1225" s="41">
        <v>-17.04</v>
      </c>
      <c r="E1225" s="43" t="s">
        <v>124</v>
      </c>
      <c r="F1225" s="42" t="s">
        <v>38</v>
      </c>
    </row>
    <row r="1226" spans="1:6">
      <c r="A1226" s="39">
        <v>45821</v>
      </c>
      <c r="B1226" s="40" t="s">
        <v>31</v>
      </c>
      <c r="C1226" s="40" t="s">
        <v>34</v>
      </c>
      <c r="D1226" s="41">
        <v>58.29</v>
      </c>
      <c r="E1226" s="43" t="s">
        <v>49</v>
      </c>
      <c r="F1226" s="42" t="s">
        <v>1</v>
      </c>
    </row>
    <row r="1227" spans="1:6">
      <c r="A1227" s="39">
        <v>45821</v>
      </c>
      <c r="B1227" s="40" t="s">
        <v>19</v>
      </c>
      <c r="C1227" s="40" t="s">
        <v>44</v>
      </c>
      <c r="D1227" s="41">
        <v>-0.2</v>
      </c>
      <c r="E1227" s="43" t="s">
        <v>408</v>
      </c>
      <c r="F1227" s="42" t="s">
        <v>1</v>
      </c>
    </row>
    <row r="1228" spans="1:6">
      <c r="A1228" s="39">
        <v>45822</v>
      </c>
      <c r="B1228" s="40" t="s">
        <v>256</v>
      </c>
      <c r="C1228" s="40" t="s">
        <v>50</v>
      </c>
      <c r="D1228" s="41">
        <v>-10</v>
      </c>
      <c r="E1228" s="43" t="s">
        <v>409</v>
      </c>
      <c r="F1228" s="42" t="s">
        <v>1</v>
      </c>
    </row>
    <row r="1229" spans="1:6">
      <c r="A1229" s="39">
        <v>45822</v>
      </c>
      <c r="B1229" s="40" t="s">
        <v>19</v>
      </c>
      <c r="C1229" s="40" t="s">
        <v>176</v>
      </c>
      <c r="D1229" s="41">
        <v>-5.3</v>
      </c>
      <c r="E1229" s="43" t="s">
        <v>410</v>
      </c>
      <c r="F1229" s="42" t="s">
        <v>38</v>
      </c>
    </row>
    <row r="1230" spans="1:6">
      <c r="A1230" s="39">
        <v>45822</v>
      </c>
      <c r="B1230" s="40" t="s">
        <v>18</v>
      </c>
      <c r="C1230" s="40" t="s">
        <v>41</v>
      </c>
      <c r="D1230" s="41">
        <v>-10</v>
      </c>
      <c r="E1230" s="43" t="s">
        <v>411</v>
      </c>
      <c r="F1230" s="42" t="s">
        <v>38</v>
      </c>
    </row>
    <row r="1231" spans="1:6">
      <c r="A1231" s="39">
        <v>45823</v>
      </c>
      <c r="B1231" s="40" t="s">
        <v>26</v>
      </c>
      <c r="C1231" s="40" t="s">
        <v>58</v>
      </c>
      <c r="D1231" s="41">
        <v>-30.88</v>
      </c>
      <c r="E1231" s="43" t="str">
        <f>C1231</f>
        <v>Variosvivienda</v>
      </c>
      <c r="F1231" s="42" t="s">
        <v>38</v>
      </c>
    </row>
    <row r="1232" spans="1:6">
      <c r="A1232" s="39">
        <v>45823</v>
      </c>
      <c r="B1232" s="40" t="s">
        <v>26</v>
      </c>
      <c r="C1232" s="40" t="s">
        <v>41</v>
      </c>
      <c r="D1232" s="41">
        <v>-42.1</v>
      </c>
      <c r="E1232" s="43" t="s">
        <v>397</v>
      </c>
      <c r="F1232" s="42" t="s">
        <v>38</v>
      </c>
    </row>
    <row r="1233" spans="1:6">
      <c r="A1233" s="39">
        <v>45823</v>
      </c>
      <c r="B1233" s="40" t="s">
        <v>260</v>
      </c>
      <c r="C1233" s="40" t="s">
        <v>46</v>
      </c>
      <c r="D1233" s="41">
        <v>-350</v>
      </c>
      <c r="E1233" s="43" t="str">
        <f>C1233</f>
        <v>Traspaso</v>
      </c>
      <c r="F1233" s="42" t="s">
        <v>0</v>
      </c>
    </row>
    <row r="1234" spans="1:6">
      <c r="A1234" s="39">
        <v>45823</v>
      </c>
      <c r="B1234" s="40" t="s">
        <v>182</v>
      </c>
      <c r="C1234" s="40" t="s">
        <v>46</v>
      </c>
      <c r="D1234" s="41">
        <v>350</v>
      </c>
      <c r="E1234" s="43" t="str">
        <f>C1234</f>
        <v>Traspaso</v>
      </c>
      <c r="F1234" s="42" t="s">
        <v>0</v>
      </c>
    </row>
    <row r="1235" spans="1:6">
      <c r="A1235" s="39">
        <v>45824</v>
      </c>
      <c r="B1235" s="40" t="s">
        <v>30</v>
      </c>
      <c r="C1235" s="40" t="s">
        <v>176</v>
      </c>
      <c r="D1235" s="41">
        <v>-342.1</v>
      </c>
      <c r="E1235" s="43" t="s">
        <v>412</v>
      </c>
      <c r="F1235" s="42" t="s">
        <v>38</v>
      </c>
    </row>
    <row r="1236" spans="1:6">
      <c r="A1236" s="39">
        <v>45824</v>
      </c>
      <c r="B1236" s="40" t="s">
        <v>30</v>
      </c>
      <c r="C1236" s="40" t="s">
        <v>46</v>
      </c>
      <c r="D1236" s="41">
        <v>-357.9</v>
      </c>
      <c r="E1236" s="43" t="s">
        <v>113</v>
      </c>
      <c r="F1236" s="42" t="s">
        <v>1</v>
      </c>
    </row>
    <row r="1237" spans="1:6">
      <c r="A1237" s="39">
        <v>45824</v>
      </c>
      <c r="B1237" s="40" t="s">
        <v>29</v>
      </c>
      <c r="C1237" s="40" t="s">
        <v>46</v>
      </c>
      <c r="D1237" s="41">
        <v>357.9</v>
      </c>
      <c r="E1237" s="43" t="s">
        <v>113</v>
      </c>
      <c r="F1237" s="42" t="s">
        <v>1</v>
      </c>
    </row>
    <row r="1238" spans="1:6">
      <c r="A1238" s="39">
        <v>45824</v>
      </c>
      <c r="B1238" s="40" t="s">
        <v>132</v>
      </c>
      <c r="C1238" s="40" t="s">
        <v>34</v>
      </c>
      <c r="D1238" s="41">
        <v>1.29</v>
      </c>
      <c r="E1238" s="43" t="s">
        <v>371</v>
      </c>
      <c r="F1238" s="42" t="s">
        <v>0</v>
      </c>
    </row>
    <row r="1239" spans="1:6">
      <c r="A1239" s="39">
        <f>A1238</f>
        <v>45824</v>
      </c>
      <c r="B1239" s="40" t="s">
        <v>24</v>
      </c>
      <c r="C1239" s="40" t="s">
        <v>46</v>
      </c>
      <c r="D1239" s="41">
        <v>-401.75</v>
      </c>
      <c r="E1239" s="43" t="str">
        <f>C1239</f>
        <v>Traspaso</v>
      </c>
      <c r="F1239" s="42" t="s">
        <v>0</v>
      </c>
    </row>
    <row r="1240" spans="1:6">
      <c r="A1240" s="39">
        <f>A1239</f>
        <v>45824</v>
      </c>
      <c r="B1240" s="40" t="s">
        <v>260</v>
      </c>
      <c r="C1240" s="40" t="s">
        <v>46</v>
      </c>
      <c r="D1240" s="41">
        <v>401.75</v>
      </c>
      <c r="E1240" s="43" t="str">
        <f>C1240</f>
        <v>Traspaso</v>
      </c>
      <c r="F1240" s="42" t="s">
        <v>0</v>
      </c>
    </row>
    <row r="1241" spans="1:6">
      <c r="A1241" s="39">
        <f>A1240</f>
        <v>45824</v>
      </c>
      <c r="B1241" s="40" t="s">
        <v>26</v>
      </c>
      <c r="C1241" s="40" t="s">
        <v>36</v>
      </c>
      <c r="D1241" s="41">
        <v>-120.33</v>
      </c>
      <c r="E1241" s="43" t="s">
        <v>37</v>
      </c>
      <c r="F1241" s="42" t="s">
        <v>38</v>
      </c>
    </row>
    <row r="1242" spans="1:6">
      <c r="A1242" s="39">
        <f>A1241</f>
        <v>45824</v>
      </c>
      <c r="B1242" s="40" t="s">
        <v>26</v>
      </c>
      <c r="C1242" s="40" t="s">
        <v>76</v>
      </c>
      <c r="D1242" s="41">
        <v>-22.58</v>
      </c>
      <c r="E1242" s="43" t="s">
        <v>413</v>
      </c>
      <c r="F1242" s="42" t="s">
        <v>0</v>
      </c>
    </row>
    <row r="1243" spans="1:6">
      <c r="A1243" s="39">
        <f>A1242</f>
        <v>45824</v>
      </c>
      <c r="B1243" s="40" t="s">
        <v>26</v>
      </c>
      <c r="C1243" s="40" t="s">
        <v>34</v>
      </c>
      <c r="D1243" s="41">
        <v>0.27</v>
      </c>
      <c r="E1243" s="43" t="s">
        <v>414</v>
      </c>
      <c r="F1243" s="42" t="s">
        <v>0</v>
      </c>
    </row>
    <row r="1244" spans="1:6">
      <c r="A1244" s="39">
        <f>A1243</f>
        <v>45824</v>
      </c>
      <c r="B1244" s="40" t="s">
        <v>24</v>
      </c>
      <c r="C1244" s="40" t="s">
        <v>34</v>
      </c>
      <c r="D1244" s="41">
        <v>1.75</v>
      </c>
      <c r="E1244" s="43" t="str">
        <f>C1244</f>
        <v>Intereses</v>
      </c>
      <c r="F1244" s="42" t="s">
        <v>0</v>
      </c>
    </row>
    <row r="1245" spans="1:6">
      <c r="A1245" s="39">
        <v>45825</v>
      </c>
      <c r="B1245" s="40" t="s">
        <v>19</v>
      </c>
      <c r="C1245" s="40" t="s">
        <v>36</v>
      </c>
      <c r="D1245" s="41">
        <v>-0.6</v>
      </c>
      <c r="E1245" s="43" t="s">
        <v>70</v>
      </c>
      <c r="F1245" s="42" t="s">
        <v>1</v>
      </c>
    </row>
    <row r="1246" spans="1:6">
      <c r="A1246" s="39">
        <f>A1245</f>
        <v>45825</v>
      </c>
      <c r="B1246" s="40" t="s">
        <v>26</v>
      </c>
      <c r="C1246" s="40" t="s">
        <v>41</v>
      </c>
      <c r="D1246" s="41">
        <v>-1.3</v>
      </c>
      <c r="E1246" s="43" t="s">
        <v>42</v>
      </c>
      <c r="F1246" s="42" t="s">
        <v>0</v>
      </c>
    </row>
    <row r="1247" spans="1:6">
      <c r="A1247" s="39">
        <v>45825</v>
      </c>
      <c r="B1247" s="40" t="s">
        <v>132</v>
      </c>
      <c r="C1247" s="40" t="s">
        <v>46</v>
      </c>
      <c r="D1247" s="41">
        <v>-125</v>
      </c>
      <c r="E1247" s="43" t="s">
        <v>113</v>
      </c>
      <c r="F1247" s="42" t="s">
        <v>0</v>
      </c>
    </row>
    <row r="1248" spans="1:6">
      <c r="A1248" s="39">
        <v>45825</v>
      </c>
      <c r="B1248" s="46" t="s">
        <v>10</v>
      </c>
      <c r="C1248" s="40" t="s">
        <v>46</v>
      </c>
      <c r="D1248" s="41">
        <v>125</v>
      </c>
      <c r="E1248" s="43" t="s">
        <v>113</v>
      </c>
      <c r="F1248" s="42" t="s">
        <v>0</v>
      </c>
    </row>
    <row r="1249" spans="1:6">
      <c r="A1249" s="39">
        <v>45826</v>
      </c>
      <c r="B1249" s="40" t="s">
        <v>19</v>
      </c>
      <c r="C1249" s="40" t="s">
        <v>36</v>
      </c>
      <c r="D1249" s="41">
        <v>-4.4000000000000004</v>
      </c>
      <c r="E1249" s="43" t="s">
        <v>84</v>
      </c>
      <c r="F1249" s="42" t="s">
        <v>1</v>
      </c>
    </row>
    <row r="1250" spans="1:6">
      <c r="A1250" s="39">
        <f>A1249</f>
        <v>45826</v>
      </c>
      <c r="B1250" s="40" t="s">
        <v>26</v>
      </c>
      <c r="C1250" s="40" t="s">
        <v>41</v>
      </c>
      <c r="D1250" s="41">
        <v>-1.3</v>
      </c>
      <c r="E1250" s="43" t="s">
        <v>42</v>
      </c>
      <c r="F1250" s="42" t="s">
        <v>0</v>
      </c>
    </row>
    <row r="1251" spans="1:6">
      <c r="A1251" s="39">
        <v>45826</v>
      </c>
      <c r="B1251" s="40" t="s">
        <v>132</v>
      </c>
      <c r="C1251" s="40" t="s">
        <v>89</v>
      </c>
      <c r="D1251" s="41">
        <v>-5.22</v>
      </c>
      <c r="E1251" s="43" t="s">
        <v>124</v>
      </c>
      <c r="F1251" s="42" t="s">
        <v>38</v>
      </c>
    </row>
    <row r="1252" spans="1:6">
      <c r="A1252" s="39">
        <v>45826</v>
      </c>
      <c r="B1252" s="40" t="s">
        <v>26</v>
      </c>
      <c r="C1252" s="40" t="s">
        <v>52</v>
      </c>
      <c r="D1252" s="41">
        <v>-6</v>
      </c>
      <c r="E1252" s="43" t="s">
        <v>225</v>
      </c>
      <c r="F1252" s="42" t="s">
        <v>0</v>
      </c>
    </row>
    <row r="1253" spans="1:6">
      <c r="A1253" s="39">
        <v>45827</v>
      </c>
      <c r="B1253" s="40" t="s">
        <v>26</v>
      </c>
      <c r="C1253" s="40" t="s">
        <v>41</v>
      </c>
      <c r="D1253" s="41">
        <v>-3</v>
      </c>
      <c r="E1253" s="43" t="s">
        <v>42</v>
      </c>
      <c r="F1253" s="42" t="s">
        <v>0</v>
      </c>
    </row>
    <row r="1254" spans="1:6">
      <c r="A1254" s="39">
        <f>A1253</f>
        <v>45827</v>
      </c>
      <c r="B1254" s="40" t="s">
        <v>26</v>
      </c>
      <c r="C1254" s="40" t="s">
        <v>73</v>
      </c>
      <c r="D1254" s="41">
        <v>-76</v>
      </c>
      <c r="E1254" s="43" t="s">
        <v>85</v>
      </c>
      <c r="F1254" s="42" t="s">
        <v>38</v>
      </c>
    </row>
    <row r="1255" spans="1:6">
      <c r="A1255" s="39">
        <v>45828</v>
      </c>
      <c r="B1255" s="40" t="s">
        <v>26</v>
      </c>
      <c r="C1255" s="40" t="s">
        <v>41</v>
      </c>
      <c r="D1255" s="41">
        <v>-1.3</v>
      </c>
      <c r="E1255" s="43" t="s">
        <v>42</v>
      </c>
      <c r="F1255" s="42" t="s">
        <v>0</v>
      </c>
    </row>
    <row r="1256" spans="1:6">
      <c r="A1256" s="39">
        <f>A1255</f>
        <v>45828</v>
      </c>
      <c r="B1256" s="40" t="s">
        <v>239</v>
      </c>
      <c r="C1256" s="40" t="s">
        <v>46</v>
      </c>
      <c r="D1256" s="41">
        <v>-700</v>
      </c>
      <c r="E1256" s="43" t="str">
        <f>C1256</f>
        <v>Traspaso</v>
      </c>
      <c r="F1256" s="42" t="s">
        <v>0</v>
      </c>
    </row>
    <row r="1257" spans="1:6">
      <c r="A1257" s="39">
        <f>A1256</f>
        <v>45828</v>
      </c>
      <c r="B1257" s="40" t="s">
        <v>317</v>
      </c>
      <c r="C1257" s="40" t="s">
        <v>46</v>
      </c>
      <c r="D1257" s="41">
        <v>700</v>
      </c>
      <c r="E1257" s="43" t="str">
        <f>C1257</f>
        <v>Traspaso</v>
      </c>
      <c r="F1257" s="42" t="s">
        <v>0</v>
      </c>
    </row>
    <row r="1258" spans="1:6">
      <c r="A1258" s="39">
        <f>A1257</f>
        <v>45828</v>
      </c>
      <c r="B1258" s="40" t="s">
        <v>19</v>
      </c>
      <c r="C1258" s="40" t="s">
        <v>44</v>
      </c>
      <c r="D1258" s="41">
        <v>-44</v>
      </c>
      <c r="E1258" s="43" t="s">
        <v>369</v>
      </c>
      <c r="F1258" s="42" t="s">
        <v>38</v>
      </c>
    </row>
    <row r="1259" spans="1:6">
      <c r="A1259" s="39">
        <f>A1258</f>
        <v>45828</v>
      </c>
      <c r="B1259" s="40" t="s">
        <v>19</v>
      </c>
      <c r="C1259" s="40" t="s">
        <v>36</v>
      </c>
      <c r="D1259" s="41">
        <v>-2.4</v>
      </c>
      <c r="E1259" s="43" t="s">
        <v>84</v>
      </c>
      <c r="F1259" s="42" t="s">
        <v>1</v>
      </c>
    </row>
    <row r="1260" spans="1:6">
      <c r="A1260" s="39">
        <v>45828</v>
      </c>
      <c r="B1260" s="40" t="s">
        <v>29</v>
      </c>
      <c r="C1260" s="40" t="s">
        <v>92</v>
      </c>
      <c r="D1260" s="41">
        <v>50</v>
      </c>
      <c r="E1260" s="43" t="s">
        <v>415</v>
      </c>
      <c r="F1260" s="42" t="s">
        <v>38</v>
      </c>
    </row>
    <row r="1261" spans="1:6">
      <c r="A1261" s="39">
        <v>45829</v>
      </c>
      <c r="B1261" s="40" t="s">
        <v>26</v>
      </c>
      <c r="C1261" s="40" t="s">
        <v>36</v>
      </c>
      <c r="D1261" s="41">
        <v>-64.010000000000005</v>
      </c>
      <c r="E1261" s="43" t="s">
        <v>37</v>
      </c>
      <c r="F1261" s="42" t="s">
        <v>0</v>
      </c>
    </row>
    <row r="1262" spans="1:6">
      <c r="A1262" s="39">
        <v>45829</v>
      </c>
      <c r="B1262" s="40" t="s">
        <v>17</v>
      </c>
      <c r="C1262" s="40" t="s">
        <v>36</v>
      </c>
      <c r="D1262" s="41">
        <v>-17</v>
      </c>
      <c r="E1262" s="43" t="s">
        <v>416</v>
      </c>
      <c r="F1262" s="42" t="s">
        <v>38</v>
      </c>
    </row>
    <row r="1263" spans="1:6">
      <c r="A1263" s="39">
        <v>45829</v>
      </c>
      <c r="B1263" s="40" t="s">
        <v>17</v>
      </c>
      <c r="C1263" s="40" t="s">
        <v>52</v>
      </c>
      <c r="D1263" s="41">
        <v>7.99</v>
      </c>
      <c r="E1263" s="43" t="s">
        <v>417</v>
      </c>
      <c r="F1263" s="42" t="s">
        <v>1</v>
      </c>
    </row>
    <row r="1264" spans="1:6">
      <c r="A1264" s="39">
        <v>45831</v>
      </c>
      <c r="B1264" s="40" t="s">
        <v>260</v>
      </c>
      <c r="C1264" s="40" t="s">
        <v>110</v>
      </c>
      <c r="D1264" s="41">
        <v>3994.39</v>
      </c>
      <c r="E1264" s="43" t="str">
        <f>C1264</f>
        <v>Nómina</v>
      </c>
      <c r="F1264" s="42" t="s">
        <v>0</v>
      </c>
    </row>
    <row r="1265" spans="1:6">
      <c r="A1265" s="39">
        <f>A1264</f>
        <v>45831</v>
      </c>
      <c r="B1265" s="40" t="s">
        <v>260</v>
      </c>
      <c r="C1265" s="40" t="s">
        <v>46</v>
      </c>
      <c r="D1265" s="41">
        <v>-1691.8</v>
      </c>
      <c r="E1265" s="43" t="str">
        <f>C1265</f>
        <v>Traspaso</v>
      </c>
      <c r="F1265" s="42" t="s">
        <v>0</v>
      </c>
    </row>
    <row r="1266" spans="1:6">
      <c r="A1266" s="39">
        <f>A1265</f>
        <v>45831</v>
      </c>
      <c r="B1266" s="40" t="s">
        <v>239</v>
      </c>
      <c r="C1266" s="40" t="s">
        <v>46</v>
      </c>
      <c r="D1266" s="41">
        <v>1691.8</v>
      </c>
      <c r="E1266" s="43" t="str">
        <f>C1266</f>
        <v>Traspaso</v>
      </c>
      <c r="F1266" s="42" t="s">
        <v>0</v>
      </c>
    </row>
    <row r="1267" spans="1:6">
      <c r="A1267" s="39">
        <f>A1266</f>
        <v>45831</v>
      </c>
      <c r="B1267" s="40" t="s">
        <v>260</v>
      </c>
      <c r="C1267" s="40" t="s">
        <v>46</v>
      </c>
      <c r="D1267" s="41">
        <v>-751.21</v>
      </c>
      <c r="E1267" s="43" t="str">
        <f>C1267</f>
        <v>Traspaso</v>
      </c>
      <c r="F1267" s="42" t="s">
        <v>0</v>
      </c>
    </row>
    <row r="1268" spans="1:6">
      <c r="A1268" s="39">
        <f>A1267</f>
        <v>45831</v>
      </c>
      <c r="B1268" s="40" t="s">
        <v>132</v>
      </c>
      <c r="C1268" s="40" t="s">
        <v>46</v>
      </c>
      <c r="D1268" s="41">
        <v>751.21</v>
      </c>
      <c r="E1268" s="43" t="str">
        <f>C1268</f>
        <v>Traspaso</v>
      </c>
      <c r="F1268" s="42" t="s">
        <v>0</v>
      </c>
    </row>
    <row r="1269" spans="1:6">
      <c r="A1269" s="39">
        <f>A1268</f>
        <v>45831</v>
      </c>
      <c r="B1269" s="40" t="s">
        <v>260</v>
      </c>
      <c r="C1269" s="40" t="s">
        <v>46</v>
      </c>
      <c r="D1269" s="41">
        <v>-840</v>
      </c>
      <c r="E1269" s="43" t="str">
        <f>C1269</f>
        <v>Traspaso</v>
      </c>
      <c r="F1269" s="42" t="s">
        <v>0</v>
      </c>
    </row>
    <row r="1270" spans="1:6">
      <c r="A1270" s="39">
        <f>A1269</f>
        <v>45831</v>
      </c>
      <c r="B1270" s="40" t="s">
        <v>25</v>
      </c>
      <c r="C1270" s="40" t="s">
        <v>46</v>
      </c>
      <c r="D1270" s="41">
        <v>840</v>
      </c>
      <c r="E1270" s="43" t="str">
        <f>C1270</f>
        <v>Traspaso</v>
      </c>
      <c r="F1270" s="42" t="s">
        <v>0</v>
      </c>
    </row>
    <row r="1271" spans="1:6">
      <c r="A1271" s="39">
        <f>A1270</f>
        <v>45831</v>
      </c>
      <c r="B1271" s="40" t="s">
        <v>25</v>
      </c>
      <c r="C1271" s="40" t="s">
        <v>62</v>
      </c>
      <c r="D1271" s="41">
        <v>-40</v>
      </c>
      <c r="E1271" s="43" t="s">
        <v>294</v>
      </c>
      <c r="F1271" s="42" t="s">
        <v>38</v>
      </c>
    </row>
    <row r="1272" spans="1:6">
      <c r="A1272" s="39">
        <f>A1271</f>
        <v>45831</v>
      </c>
      <c r="B1272" s="40" t="s">
        <v>260</v>
      </c>
      <c r="C1272" s="40" t="s">
        <v>46</v>
      </c>
      <c r="D1272" s="41">
        <v>-660</v>
      </c>
      <c r="E1272" s="43" t="str">
        <f>C1272</f>
        <v>Traspaso</v>
      </c>
      <c r="F1272" s="42" t="s">
        <v>0</v>
      </c>
    </row>
    <row r="1273" spans="1:6">
      <c r="A1273" s="39">
        <f>A1272</f>
        <v>45831</v>
      </c>
      <c r="B1273" s="40" t="s">
        <v>24</v>
      </c>
      <c r="C1273" s="40" t="s">
        <v>46</v>
      </c>
      <c r="D1273" s="41">
        <v>660</v>
      </c>
      <c r="E1273" s="43" t="str">
        <f>C1273</f>
        <v>Traspaso</v>
      </c>
      <c r="F1273" s="42" t="s">
        <v>0</v>
      </c>
    </row>
    <row r="1274" spans="1:6">
      <c r="A1274" s="39">
        <f>A1273</f>
        <v>45831</v>
      </c>
      <c r="B1274" s="40" t="s">
        <v>26</v>
      </c>
      <c r="C1274" s="40" t="s">
        <v>41</v>
      </c>
      <c r="D1274" s="41">
        <v>-1.3</v>
      </c>
      <c r="E1274" s="43" t="s">
        <v>42</v>
      </c>
      <c r="F1274" s="42" t="s">
        <v>0</v>
      </c>
    </row>
    <row r="1275" spans="1:6">
      <c r="A1275" s="39">
        <f>A1274</f>
        <v>45831</v>
      </c>
      <c r="B1275" s="40" t="s">
        <v>26</v>
      </c>
      <c r="C1275" s="40" t="s">
        <v>54</v>
      </c>
      <c r="D1275" s="41">
        <v>-2.0099999999999998</v>
      </c>
      <c r="E1275" s="43" t="s">
        <v>418</v>
      </c>
      <c r="F1275" s="42" t="s">
        <v>0</v>
      </c>
    </row>
    <row r="1276" spans="1:6">
      <c r="A1276" s="39">
        <f>A1275</f>
        <v>45831</v>
      </c>
      <c r="B1276" s="40" t="s">
        <v>239</v>
      </c>
      <c r="C1276" s="40" t="s">
        <v>46</v>
      </c>
      <c r="D1276" s="41">
        <v>-2000</v>
      </c>
      <c r="E1276" s="43" t="str">
        <f>C1276</f>
        <v>Traspaso</v>
      </c>
      <c r="F1276" s="42" t="s">
        <v>0</v>
      </c>
    </row>
    <row r="1277" spans="1:6">
      <c r="A1277" s="39">
        <f>A1276</f>
        <v>45831</v>
      </c>
      <c r="B1277" s="40" t="s">
        <v>26</v>
      </c>
      <c r="C1277" s="40" t="s">
        <v>46</v>
      </c>
      <c r="D1277" s="41">
        <v>2000</v>
      </c>
      <c r="E1277" s="43" t="str">
        <f>C1277</f>
        <v>Traspaso</v>
      </c>
      <c r="F1277" s="42" t="s">
        <v>0</v>
      </c>
    </row>
    <row r="1278" spans="1:6">
      <c r="A1278" s="39">
        <f>A1277</f>
        <v>45831</v>
      </c>
      <c r="B1278" s="40" t="s">
        <v>25</v>
      </c>
      <c r="C1278" s="40" t="s">
        <v>46</v>
      </c>
      <c r="D1278" s="41">
        <v>-500</v>
      </c>
      <c r="E1278" s="43" t="str">
        <f>C1278</f>
        <v>Traspaso</v>
      </c>
      <c r="F1278" s="42" t="s">
        <v>0</v>
      </c>
    </row>
    <row r="1279" spans="1:6">
      <c r="A1279" s="39">
        <f>A1278</f>
        <v>45831</v>
      </c>
      <c r="B1279" s="40" t="s">
        <v>316</v>
      </c>
      <c r="C1279" s="40" t="s">
        <v>46</v>
      </c>
      <c r="D1279" s="41">
        <v>500</v>
      </c>
      <c r="E1279" s="43" t="str">
        <f>C1279</f>
        <v>Traspaso</v>
      </c>
      <c r="F1279" s="42" t="s">
        <v>0</v>
      </c>
    </row>
    <row r="1280" spans="1:6">
      <c r="A1280" s="39">
        <f>A1279</f>
        <v>45831</v>
      </c>
      <c r="B1280" s="40" t="s">
        <v>24</v>
      </c>
      <c r="C1280" s="40" t="s">
        <v>46</v>
      </c>
      <c r="D1280" s="41">
        <v>-660</v>
      </c>
      <c r="E1280" s="43" t="str">
        <f>C1280</f>
        <v>Traspaso</v>
      </c>
      <c r="F1280" s="42" t="s">
        <v>0</v>
      </c>
    </row>
    <row r="1281" spans="1:6">
      <c r="A1281" s="39">
        <f>A1280</f>
        <v>45831</v>
      </c>
      <c r="B1281" s="40" t="s">
        <v>316</v>
      </c>
      <c r="C1281" s="40" t="s">
        <v>46</v>
      </c>
      <c r="D1281" s="41">
        <v>660</v>
      </c>
      <c r="E1281" s="43" t="str">
        <f>C1281</f>
        <v>Traspaso</v>
      </c>
      <c r="F1281" s="42" t="s">
        <v>0</v>
      </c>
    </row>
    <row r="1282" spans="1:6">
      <c r="A1282" s="39">
        <f>A1281</f>
        <v>45831</v>
      </c>
      <c r="B1282" s="40" t="s">
        <v>19</v>
      </c>
      <c r="C1282" s="40" t="s">
        <v>36</v>
      </c>
      <c r="D1282" s="41">
        <v>-3.9</v>
      </c>
      <c r="E1282" s="43" t="s">
        <v>84</v>
      </c>
      <c r="F1282" s="42" t="s">
        <v>1</v>
      </c>
    </row>
    <row r="1283" spans="1:6">
      <c r="A1283" s="39">
        <v>45832</v>
      </c>
      <c r="B1283" s="40" t="s">
        <v>26</v>
      </c>
      <c r="C1283" s="40" t="s">
        <v>34</v>
      </c>
      <c r="D1283" s="41">
        <v>1.38</v>
      </c>
      <c r="E1283" s="43" t="s">
        <v>227</v>
      </c>
      <c r="F1283" s="42" t="s">
        <v>0</v>
      </c>
    </row>
    <row r="1284" spans="1:6">
      <c r="A1284" s="39">
        <v>45833</v>
      </c>
      <c r="B1284" s="40" t="s">
        <v>31</v>
      </c>
      <c r="C1284" s="40" t="s">
        <v>46</v>
      </c>
      <c r="D1284" s="41">
        <v>-1000</v>
      </c>
      <c r="E1284" s="43" t="str">
        <f>C1284</f>
        <v>Traspaso</v>
      </c>
      <c r="F1284" s="42" t="s">
        <v>1</v>
      </c>
    </row>
    <row r="1285" spans="1:6">
      <c r="A1285" s="39">
        <f>A1284</f>
        <v>45833</v>
      </c>
      <c r="B1285" s="46" t="s">
        <v>419</v>
      </c>
      <c r="C1285" s="40" t="s">
        <v>46</v>
      </c>
      <c r="D1285" s="41">
        <v>1000</v>
      </c>
      <c r="E1285" s="43" t="str">
        <f>C1285</f>
        <v>Traspaso</v>
      </c>
      <c r="F1285" s="42" t="s">
        <v>1</v>
      </c>
    </row>
    <row r="1286" spans="1:6">
      <c r="A1286" s="39">
        <f>A1285</f>
        <v>45833</v>
      </c>
      <c r="B1286" s="40" t="s">
        <v>19</v>
      </c>
      <c r="C1286" s="40" t="s">
        <v>36</v>
      </c>
      <c r="D1286" s="41">
        <v>-1.6</v>
      </c>
      <c r="E1286" s="43" t="s">
        <v>84</v>
      </c>
      <c r="F1286" s="42" t="s">
        <v>1</v>
      </c>
    </row>
    <row r="1287" spans="1:6">
      <c r="A1287" s="39">
        <f>A1286</f>
        <v>45833</v>
      </c>
      <c r="B1287" s="40" t="s">
        <v>29</v>
      </c>
      <c r="C1287" s="40" t="s">
        <v>44</v>
      </c>
      <c r="D1287" s="41">
        <v>-10</v>
      </c>
      <c r="E1287" s="43" t="s">
        <v>420</v>
      </c>
      <c r="F1287" s="42" t="s">
        <v>38</v>
      </c>
    </row>
    <row r="1288" spans="1:6">
      <c r="A1288" s="39">
        <f>A1287</f>
        <v>45833</v>
      </c>
      <c r="B1288" s="40" t="s">
        <v>26</v>
      </c>
      <c r="C1288" s="40" t="s">
        <v>41</v>
      </c>
      <c r="D1288" s="41">
        <v>-1.3</v>
      </c>
      <c r="E1288" s="43" t="s">
        <v>42</v>
      </c>
      <c r="F1288" s="42" t="s">
        <v>0</v>
      </c>
    </row>
    <row r="1289" spans="1:6">
      <c r="A1289" s="39">
        <v>45833</v>
      </c>
      <c r="B1289" s="40" t="s">
        <v>376</v>
      </c>
      <c r="C1289" s="40" t="s">
        <v>34</v>
      </c>
      <c r="D1289" s="41">
        <v>0.01</v>
      </c>
      <c r="E1289" s="43" t="s">
        <v>49</v>
      </c>
      <c r="F1289" s="42" t="s">
        <v>1</v>
      </c>
    </row>
    <row r="1290" spans="1:6">
      <c r="A1290" s="39">
        <v>45834</v>
      </c>
      <c r="B1290" s="40" t="s">
        <v>132</v>
      </c>
      <c r="C1290" s="40" t="s">
        <v>46</v>
      </c>
      <c r="D1290" s="41">
        <v>-100</v>
      </c>
      <c r="E1290" s="43" t="str">
        <f>C1290</f>
        <v>Traspaso</v>
      </c>
      <c r="F1290" s="42" t="s">
        <v>0</v>
      </c>
    </row>
    <row r="1291" spans="1:6">
      <c r="A1291" s="39">
        <f>A1290</f>
        <v>45834</v>
      </c>
      <c r="B1291" s="40" t="s">
        <v>151</v>
      </c>
      <c r="C1291" s="40" t="s">
        <v>46</v>
      </c>
      <c r="D1291" s="41">
        <v>100</v>
      </c>
      <c r="E1291" s="43" t="str">
        <f>C1291</f>
        <v>Traspaso</v>
      </c>
      <c r="F1291" s="42" t="s">
        <v>0</v>
      </c>
    </row>
    <row r="1292" spans="1:6">
      <c r="A1292" s="39">
        <f>A1291</f>
        <v>45834</v>
      </c>
      <c r="B1292" s="40" t="s">
        <v>26</v>
      </c>
      <c r="C1292" s="40" t="s">
        <v>41</v>
      </c>
      <c r="D1292" s="41">
        <v>-1.3</v>
      </c>
      <c r="E1292" s="43" t="s">
        <v>42</v>
      </c>
      <c r="F1292" s="42" t="s">
        <v>0</v>
      </c>
    </row>
    <row r="1293" spans="1:6">
      <c r="A1293" s="39">
        <f>A1292</f>
        <v>45834</v>
      </c>
      <c r="B1293" s="40" t="s">
        <v>31</v>
      </c>
      <c r="C1293" s="40" t="s">
        <v>110</v>
      </c>
      <c r="D1293" s="41">
        <v>4053.56</v>
      </c>
      <c r="E1293" s="43" t="str">
        <f>C1293</f>
        <v>Nómina</v>
      </c>
      <c r="F1293" s="42" t="s">
        <v>1</v>
      </c>
    </row>
    <row r="1294" spans="1:6">
      <c r="A1294" s="39">
        <f>A1293</f>
        <v>45834</v>
      </c>
      <c r="B1294" s="40" t="s">
        <v>19</v>
      </c>
      <c r="C1294" s="40" t="s">
        <v>105</v>
      </c>
      <c r="D1294" s="41">
        <v>-5</v>
      </c>
      <c r="E1294" s="43" t="s">
        <v>106</v>
      </c>
      <c r="F1294" s="42" t="s">
        <v>1</v>
      </c>
    </row>
    <row r="1295" spans="1:6">
      <c r="A1295" s="39">
        <f>A1294</f>
        <v>45834</v>
      </c>
      <c r="B1295" s="40" t="s">
        <v>19</v>
      </c>
      <c r="C1295" s="40" t="s">
        <v>36</v>
      </c>
      <c r="D1295" s="41">
        <v>-2.4</v>
      </c>
      <c r="E1295" s="43" t="s">
        <v>84</v>
      </c>
      <c r="F1295" s="42" t="s">
        <v>1</v>
      </c>
    </row>
    <row r="1296" spans="1:6">
      <c r="A1296" s="39">
        <f>A1295</f>
        <v>45834</v>
      </c>
      <c r="B1296" s="40" t="s">
        <v>19</v>
      </c>
      <c r="C1296" s="40" t="s">
        <v>54</v>
      </c>
      <c r="D1296" s="41">
        <v>-80</v>
      </c>
      <c r="E1296" s="43" t="s">
        <v>421</v>
      </c>
      <c r="F1296" s="42" t="s">
        <v>1</v>
      </c>
    </row>
    <row r="1297" spans="1:6">
      <c r="A1297" s="39">
        <f>A1296</f>
        <v>45834</v>
      </c>
      <c r="B1297" s="40" t="s">
        <v>17</v>
      </c>
      <c r="C1297" s="40" t="s">
        <v>76</v>
      </c>
      <c r="D1297" s="41">
        <v>-12.9</v>
      </c>
      <c r="E1297" s="43" t="s">
        <v>422</v>
      </c>
      <c r="F1297" s="42" t="s">
        <v>1</v>
      </c>
    </row>
    <row r="1298" spans="1:6">
      <c r="A1298" s="39">
        <v>45834</v>
      </c>
      <c r="B1298" s="40" t="s">
        <v>26</v>
      </c>
      <c r="C1298" s="40" t="s">
        <v>58</v>
      </c>
      <c r="D1298" s="41">
        <v>-20</v>
      </c>
      <c r="E1298" s="43" t="s">
        <v>198</v>
      </c>
      <c r="F1298" s="42" t="s">
        <v>38</v>
      </c>
    </row>
    <row r="1299" spans="1:6">
      <c r="A1299" s="39">
        <v>45835</v>
      </c>
      <c r="B1299" s="40" t="s">
        <v>29</v>
      </c>
      <c r="C1299" s="40" t="s">
        <v>44</v>
      </c>
      <c r="D1299" s="41">
        <v>-12.28</v>
      </c>
      <c r="E1299" s="43" t="s">
        <v>423</v>
      </c>
      <c r="F1299" s="42" t="s">
        <v>1</v>
      </c>
    </row>
    <row r="1300" spans="1:6">
      <c r="A1300" s="39">
        <f>A1299</f>
        <v>45835</v>
      </c>
      <c r="B1300" s="40" t="s">
        <v>31</v>
      </c>
      <c r="C1300" s="40" t="s">
        <v>46</v>
      </c>
      <c r="D1300" s="41">
        <v>-10000</v>
      </c>
      <c r="E1300" s="43" t="str">
        <f>C1300</f>
        <v>Traspaso</v>
      </c>
      <c r="F1300" s="42" t="s">
        <v>1</v>
      </c>
    </row>
    <row r="1301" spans="1:6">
      <c r="A1301" s="39">
        <f>A1300</f>
        <v>45835</v>
      </c>
      <c r="B1301" s="40" t="s">
        <v>256</v>
      </c>
      <c r="C1301" s="40" t="s">
        <v>46</v>
      </c>
      <c r="D1301" s="41">
        <v>10000</v>
      </c>
      <c r="E1301" s="43" t="str">
        <f>C1301</f>
        <v>Traspaso</v>
      </c>
      <c r="F1301" s="42" t="s">
        <v>1</v>
      </c>
    </row>
    <row r="1302" spans="1:6">
      <c r="A1302" s="39">
        <v>45835</v>
      </c>
      <c r="B1302" s="40" t="s">
        <v>26</v>
      </c>
      <c r="C1302" s="40" t="s">
        <v>41</v>
      </c>
      <c r="D1302" s="41">
        <v>-1.3</v>
      </c>
      <c r="E1302" s="43" t="s">
        <v>42</v>
      </c>
      <c r="F1302" s="42" t="s">
        <v>0</v>
      </c>
    </row>
    <row r="1303" spans="1:6">
      <c r="A1303" s="39">
        <f>A1302</f>
        <v>45835</v>
      </c>
      <c r="B1303" s="40" t="s">
        <v>26</v>
      </c>
      <c r="C1303" s="40" t="s">
        <v>58</v>
      </c>
      <c r="D1303" s="41">
        <v>-31.6</v>
      </c>
      <c r="E1303" s="43" t="s">
        <v>198</v>
      </c>
      <c r="F1303" s="42" t="s">
        <v>38</v>
      </c>
    </row>
    <row r="1304" spans="1:6">
      <c r="A1304" s="39">
        <f>A1303</f>
        <v>45835</v>
      </c>
      <c r="B1304" s="40" t="s">
        <v>132</v>
      </c>
      <c r="C1304" s="40" t="s">
        <v>43</v>
      </c>
      <c r="D1304" s="41">
        <v>-45.86</v>
      </c>
      <c r="E1304" s="43" t="s">
        <v>262</v>
      </c>
      <c r="F1304" s="42" t="s">
        <v>0</v>
      </c>
    </row>
    <row r="1305" spans="1:6">
      <c r="A1305" s="39">
        <v>45837</v>
      </c>
      <c r="B1305" s="40" t="s">
        <v>26</v>
      </c>
      <c r="C1305" s="40" t="s">
        <v>36</v>
      </c>
      <c r="D1305" s="41">
        <v>-113.84</v>
      </c>
      <c r="E1305" s="43" t="s">
        <v>37</v>
      </c>
      <c r="F1305" s="42" t="s">
        <v>38</v>
      </c>
    </row>
    <row r="1306" spans="1:6">
      <c r="A1306" s="39">
        <v>45837</v>
      </c>
      <c r="B1306" s="40" t="s">
        <v>26</v>
      </c>
      <c r="C1306" s="40" t="s">
        <v>36</v>
      </c>
      <c r="D1306" s="41">
        <v>-10.46</v>
      </c>
      <c r="E1306" s="43" t="s">
        <v>424</v>
      </c>
      <c r="F1306" s="42" t="s">
        <v>38</v>
      </c>
    </row>
    <row r="1307" spans="1:6">
      <c r="A1307" s="39">
        <v>45838</v>
      </c>
      <c r="B1307" s="40" t="s">
        <v>31</v>
      </c>
      <c r="C1307" s="40" t="s">
        <v>319</v>
      </c>
      <c r="D1307" s="41">
        <v>-1600.04</v>
      </c>
      <c r="E1307" s="43" t="s">
        <v>425</v>
      </c>
      <c r="F1307" s="42" t="s">
        <v>1</v>
      </c>
    </row>
    <row r="1308" spans="1:6">
      <c r="A1308" s="39">
        <f>A1307</f>
        <v>45838</v>
      </c>
      <c r="B1308" s="40" t="s">
        <v>32</v>
      </c>
      <c r="C1308" s="40" t="s">
        <v>46</v>
      </c>
      <c r="D1308" s="41">
        <v>-591.16</v>
      </c>
      <c r="E1308" s="43" t="str">
        <f>C1308</f>
        <v>Traspaso</v>
      </c>
      <c r="F1308" s="42" t="s">
        <v>1</v>
      </c>
    </row>
    <row r="1309" spans="1:6">
      <c r="A1309" s="39">
        <f>A1308</f>
        <v>45838</v>
      </c>
      <c r="B1309" s="40" t="s">
        <v>17</v>
      </c>
      <c r="C1309" s="40" t="s">
        <v>46</v>
      </c>
      <c r="D1309" s="41">
        <v>591.16</v>
      </c>
      <c r="E1309" s="43" t="str">
        <f>C1309</f>
        <v>Traspaso</v>
      </c>
      <c r="F1309" s="42" t="s">
        <v>1</v>
      </c>
    </row>
    <row r="1310" spans="1:6">
      <c r="A1310" s="39">
        <f>A1309</f>
        <v>45838</v>
      </c>
      <c r="B1310" s="40" t="s">
        <v>16</v>
      </c>
      <c r="C1310" s="40" t="s">
        <v>46</v>
      </c>
      <c r="D1310" s="41">
        <v>1000</v>
      </c>
      <c r="E1310" s="43" t="str">
        <f>C1310</f>
        <v>Traspaso</v>
      </c>
      <c r="F1310" s="42" t="s">
        <v>0</v>
      </c>
    </row>
    <row r="1311" spans="1:6">
      <c r="A1311" s="39">
        <f>A1310</f>
        <v>45838</v>
      </c>
      <c r="B1311" s="40" t="s">
        <v>132</v>
      </c>
      <c r="C1311" s="40" t="s">
        <v>46</v>
      </c>
      <c r="D1311" s="41">
        <v>-1000</v>
      </c>
      <c r="E1311" s="43" t="str">
        <f>C1311</f>
        <v>Traspaso</v>
      </c>
      <c r="F1311" s="42" t="s">
        <v>0</v>
      </c>
    </row>
    <row r="1312" spans="1:6">
      <c r="A1312" s="39">
        <f>A1311</f>
        <v>45838</v>
      </c>
      <c r="B1312" s="40" t="s">
        <v>132</v>
      </c>
      <c r="C1312" s="40" t="s">
        <v>43</v>
      </c>
      <c r="D1312" s="41">
        <v>-35.880000000000003</v>
      </c>
      <c r="E1312" s="43" t="s">
        <v>262</v>
      </c>
      <c r="F1312" s="42" t="s">
        <v>0</v>
      </c>
    </row>
    <row r="1313" spans="1:8">
      <c r="A1313" s="39">
        <f>A1312</f>
        <v>45838</v>
      </c>
      <c r="B1313" s="40" t="s">
        <v>32</v>
      </c>
      <c r="C1313" s="40" t="s">
        <v>46</v>
      </c>
      <c r="D1313" s="41">
        <v>-27</v>
      </c>
      <c r="E1313" s="43" t="str">
        <f>C1313</f>
        <v>Traspaso</v>
      </c>
      <c r="F1313" s="42" t="s">
        <v>1</v>
      </c>
    </row>
    <row r="1314" spans="1:8">
      <c r="A1314" s="39">
        <f>A1313</f>
        <v>45838</v>
      </c>
      <c r="B1314" s="40" t="s">
        <v>19</v>
      </c>
      <c r="C1314" s="40" t="s">
        <v>46</v>
      </c>
      <c r="D1314" s="41">
        <v>27</v>
      </c>
      <c r="E1314" s="43" t="str">
        <f>C1314</f>
        <v>Traspaso</v>
      </c>
      <c r="F1314" s="42" t="s">
        <v>1</v>
      </c>
    </row>
    <row r="1315" spans="1:8">
      <c r="A1315" s="39">
        <f>A1314</f>
        <v>45838</v>
      </c>
      <c r="B1315" s="40" t="s">
        <v>31</v>
      </c>
      <c r="C1315" s="40" t="s">
        <v>46</v>
      </c>
      <c r="D1315" s="41">
        <v>-1000</v>
      </c>
      <c r="E1315" s="43" t="str">
        <f>C1315</f>
        <v>Traspaso</v>
      </c>
      <c r="F1315" s="42" t="s">
        <v>1</v>
      </c>
    </row>
    <row r="1316" spans="1:8">
      <c r="A1316" s="39">
        <f>A1315</f>
        <v>45838</v>
      </c>
      <c r="B1316" s="40" t="s">
        <v>32</v>
      </c>
      <c r="C1316" s="40" t="s">
        <v>46</v>
      </c>
      <c r="D1316" s="41">
        <v>1000</v>
      </c>
      <c r="E1316" s="43" t="str">
        <f>C1316</f>
        <v>Traspaso</v>
      </c>
      <c r="F1316" s="42" t="s">
        <v>1</v>
      </c>
    </row>
    <row r="1317" spans="1:8">
      <c r="A1317" s="39">
        <f>A1316</f>
        <v>45838</v>
      </c>
      <c r="B1317" s="40" t="s">
        <v>19</v>
      </c>
      <c r="C1317" s="40" t="s">
        <v>36</v>
      </c>
      <c r="D1317" s="41">
        <v>-2.4</v>
      </c>
      <c r="E1317" s="43" t="s">
        <v>84</v>
      </c>
      <c r="F1317" s="42" t="s">
        <v>1</v>
      </c>
    </row>
    <row r="1318" spans="1:8">
      <c r="A1318" s="39">
        <f>A1317</f>
        <v>45838</v>
      </c>
      <c r="B1318" s="40" t="s">
        <v>26</v>
      </c>
      <c r="C1318" s="40" t="s">
        <v>41</v>
      </c>
      <c r="D1318" s="41">
        <v>-14.4</v>
      </c>
      <c r="E1318" s="43" t="s">
        <v>42</v>
      </c>
      <c r="F1318" s="42" t="s">
        <v>0</v>
      </c>
      <c r="H1318" s="16"/>
    </row>
    <row r="1319" spans="1:8">
      <c r="A1319" s="39">
        <v>45839</v>
      </c>
      <c r="B1319" s="40" t="s">
        <v>256</v>
      </c>
      <c r="C1319" s="40" t="s">
        <v>34</v>
      </c>
      <c r="D1319" s="41">
        <v>55.94</v>
      </c>
      <c r="E1319" s="43" t="str">
        <f>C1319</f>
        <v>Intereses</v>
      </c>
      <c r="F1319" s="42" t="s">
        <v>1</v>
      </c>
    </row>
    <row r="1320" spans="1:8">
      <c r="A1320" s="39">
        <f>A1319</f>
        <v>45839</v>
      </c>
      <c r="B1320" s="40" t="s">
        <v>256</v>
      </c>
      <c r="C1320" s="40" t="s">
        <v>319</v>
      </c>
      <c r="D1320" s="41">
        <v>-10.63</v>
      </c>
      <c r="E1320" s="43" t="s">
        <v>381</v>
      </c>
      <c r="F1320" s="42" t="s">
        <v>1</v>
      </c>
    </row>
    <row r="1321" spans="1:8">
      <c r="A1321" s="39">
        <f>A1320</f>
        <v>45839</v>
      </c>
      <c r="B1321" s="40" t="s">
        <v>32</v>
      </c>
      <c r="C1321" s="40" t="s">
        <v>54</v>
      </c>
      <c r="D1321" s="41">
        <v>-57.71</v>
      </c>
      <c r="E1321" s="43" t="s">
        <v>123</v>
      </c>
      <c r="F1321" s="42" t="s">
        <v>1</v>
      </c>
    </row>
    <row r="1322" spans="1:8">
      <c r="A1322" s="39">
        <f>A1321</f>
        <v>45839</v>
      </c>
      <c r="B1322" s="40" t="s">
        <v>29</v>
      </c>
      <c r="C1322" s="40" t="s">
        <v>34</v>
      </c>
      <c r="D1322" s="41">
        <v>0.23</v>
      </c>
      <c r="E1322" s="43" t="str">
        <f>C1322</f>
        <v>Intereses</v>
      </c>
      <c r="F1322" s="42" t="s">
        <v>1</v>
      </c>
    </row>
    <row r="1323" spans="1:8">
      <c r="A1323" s="39">
        <f>A1322</f>
        <v>45839</v>
      </c>
      <c r="B1323" s="40" t="s">
        <v>239</v>
      </c>
      <c r="C1323" s="40" t="s">
        <v>34</v>
      </c>
      <c r="D1323" s="41">
        <v>6.59</v>
      </c>
      <c r="E1323" s="43" t="s">
        <v>35</v>
      </c>
      <c r="F1323" s="42" t="s">
        <v>0</v>
      </c>
    </row>
    <row r="1324" spans="1:8">
      <c r="A1324" s="39">
        <f>A1323</f>
        <v>45839</v>
      </c>
      <c r="B1324" s="40" t="s">
        <v>26</v>
      </c>
      <c r="C1324" s="40" t="s">
        <v>41</v>
      </c>
      <c r="D1324" s="41">
        <v>-1.3</v>
      </c>
      <c r="E1324" s="43" t="s">
        <v>42</v>
      </c>
      <c r="F1324" s="42" t="s">
        <v>0</v>
      </c>
    </row>
    <row r="1325" spans="1:8">
      <c r="A1325" s="39">
        <f>A1324</f>
        <v>45839</v>
      </c>
      <c r="B1325" s="40" t="s">
        <v>26</v>
      </c>
      <c r="C1325" s="40" t="s">
        <v>76</v>
      </c>
      <c r="D1325" s="41">
        <v>-20.25</v>
      </c>
      <c r="E1325" s="43" t="s">
        <v>426</v>
      </c>
      <c r="F1325" s="42" t="s">
        <v>0</v>
      </c>
    </row>
    <row r="1326" spans="1:8">
      <c r="A1326" s="39">
        <f>A1325</f>
        <v>45839</v>
      </c>
      <c r="B1326" s="40" t="s">
        <v>132</v>
      </c>
      <c r="C1326" s="40" t="s">
        <v>43</v>
      </c>
      <c r="D1326" s="41">
        <v>-60</v>
      </c>
      <c r="E1326" s="43" t="str">
        <f>C1326</f>
        <v>Comunidad</v>
      </c>
      <c r="F1326" s="42" t="s">
        <v>38</v>
      </c>
    </row>
    <row r="1327" spans="1:8">
      <c r="A1327" s="39">
        <f>A1326</f>
        <v>45839</v>
      </c>
      <c r="B1327" s="40" t="s">
        <v>22</v>
      </c>
      <c r="C1327" s="40" t="s">
        <v>34</v>
      </c>
      <c r="D1327" s="41">
        <v>0.03</v>
      </c>
      <c r="E1327" s="43" t="str">
        <f>C1327</f>
        <v>Intereses</v>
      </c>
      <c r="F1327" s="42" t="s">
        <v>0</v>
      </c>
    </row>
    <row r="1328" spans="1:8">
      <c r="A1328" s="39">
        <f>A1327</f>
        <v>45839</v>
      </c>
      <c r="B1328" s="40" t="s">
        <v>132</v>
      </c>
      <c r="C1328" s="40" t="s">
        <v>39</v>
      </c>
      <c r="D1328" s="41">
        <v>800</v>
      </c>
      <c r="E1328" s="43" t="s">
        <v>427</v>
      </c>
      <c r="F1328" s="42" t="s">
        <v>0</v>
      </c>
    </row>
    <row r="1329" spans="1:7">
      <c r="A1329" s="39">
        <f>A1328</f>
        <v>45839</v>
      </c>
      <c r="B1329" s="40" t="s">
        <v>26</v>
      </c>
      <c r="C1329" s="40" t="s">
        <v>34</v>
      </c>
      <c r="D1329" s="41">
        <v>1.94</v>
      </c>
      <c r="E1329" s="43" t="str">
        <f>C1329</f>
        <v>Intereses</v>
      </c>
      <c r="F1329" s="42" t="s">
        <v>0</v>
      </c>
    </row>
    <row r="1330" spans="1:7">
      <c r="A1330" s="39">
        <f>A1329</f>
        <v>45839</v>
      </c>
      <c r="B1330" s="40" t="s">
        <v>16</v>
      </c>
      <c r="C1330" s="40" t="s">
        <v>62</v>
      </c>
      <c r="D1330" s="41">
        <v>-4</v>
      </c>
      <c r="E1330" s="43" t="s">
        <v>428</v>
      </c>
      <c r="F1330" s="42" t="s">
        <v>38</v>
      </c>
    </row>
    <row r="1331" spans="1:7">
      <c r="A1331" s="39">
        <f>A1330</f>
        <v>45839</v>
      </c>
      <c r="B1331" s="40" t="s">
        <v>19</v>
      </c>
      <c r="C1331" s="40" t="s">
        <v>36</v>
      </c>
      <c r="D1331" s="41">
        <v>-1.5</v>
      </c>
      <c r="E1331" s="43" t="s">
        <v>84</v>
      </c>
      <c r="F1331" s="42" t="s">
        <v>1</v>
      </c>
    </row>
    <row r="1332" spans="1:7">
      <c r="A1332" s="39">
        <f>A1331</f>
        <v>45839</v>
      </c>
      <c r="B1332" s="40" t="s">
        <v>19</v>
      </c>
      <c r="C1332" s="40" t="s">
        <v>44</v>
      </c>
      <c r="D1332" s="41">
        <v>-2.75</v>
      </c>
      <c r="E1332" s="43" t="s">
        <v>429</v>
      </c>
      <c r="F1332" s="42" t="s">
        <v>1</v>
      </c>
    </row>
    <row r="1333" spans="1:7">
      <c r="A1333" s="39">
        <f>A1332</f>
        <v>45839</v>
      </c>
      <c r="B1333" s="40" t="s">
        <v>33</v>
      </c>
      <c r="C1333" s="40" t="s">
        <v>34</v>
      </c>
      <c r="D1333" s="41">
        <v>37.29</v>
      </c>
      <c r="E1333" s="43" t="s">
        <v>34</v>
      </c>
      <c r="F1333" s="42" t="s">
        <v>1</v>
      </c>
    </row>
    <row r="1334" spans="1:7">
      <c r="A1334" s="39">
        <v>45840</v>
      </c>
      <c r="B1334" s="40" t="s">
        <v>33</v>
      </c>
      <c r="C1334" s="40" t="s">
        <v>46</v>
      </c>
      <c r="D1334" s="41">
        <v>-70</v>
      </c>
      <c r="E1334" s="43"/>
      <c r="F1334" s="42" t="s">
        <v>1</v>
      </c>
    </row>
    <row r="1335" spans="1:7">
      <c r="A1335" s="39">
        <v>45840</v>
      </c>
      <c r="B1335" s="40" t="s">
        <v>201</v>
      </c>
      <c r="C1335" s="40" t="s">
        <v>46</v>
      </c>
      <c r="D1335" s="41">
        <v>70</v>
      </c>
      <c r="E1335" s="43"/>
      <c r="F1335" s="42" t="s">
        <v>1</v>
      </c>
    </row>
    <row r="1336" spans="1:7">
      <c r="A1336" s="39">
        <v>45840</v>
      </c>
      <c r="B1336" s="40" t="s">
        <v>26</v>
      </c>
      <c r="C1336" s="40" t="s">
        <v>41</v>
      </c>
      <c r="D1336" s="41">
        <v>-1.3</v>
      </c>
      <c r="E1336" s="43" t="s">
        <v>42</v>
      </c>
      <c r="F1336" s="42" t="s">
        <v>0</v>
      </c>
      <c r="G1336" s="47"/>
    </row>
    <row r="1337" spans="1:7">
      <c r="A1337" s="39">
        <f>A1336</f>
        <v>45840</v>
      </c>
      <c r="B1337" s="40" t="s">
        <v>32</v>
      </c>
      <c r="C1337" s="40" t="s">
        <v>92</v>
      </c>
      <c r="D1337" s="41">
        <v>100</v>
      </c>
      <c r="E1337" s="43" t="s">
        <v>126</v>
      </c>
      <c r="F1337" s="42" t="s">
        <v>38</v>
      </c>
    </row>
    <row r="1338" spans="1:7">
      <c r="A1338" s="39">
        <f>A1337</f>
        <v>45840</v>
      </c>
      <c r="B1338" s="40" t="s">
        <v>19</v>
      </c>
      <c r="C1338" s="40" t="s">
        <v>36</v>
      </c>
      <c r="D1338" s="41">
        <v>-2</v>
      </c>
      <c r="E1338" s="43" t="s">
        <v>84</v>
      </c>
      <c r="F1338" s="42" t="s">
        <v>1</v>
      </c>
      <c r="G1338" s="47"/>
    </row>
    <row r="1339" spans="1:7">
      <c r="A1339" s="39">
        <f>A1338</f>
        <v>45840</v>
      </c>
      <c r="B1339" s="40" t="s">
        <v>32</v>
      </c>
      <c r="C1339" s="40" t="s">
        <v>44</v>
      </c>
      <c r="D1339" s="41">
        <v>-10.48</v>
      </c>
      <c r="E1339" s="43" t="s">
        <v>80</v>
      </c>
      <c r="F1339" s="42" t="s">
        <v>1</v>
      </c>
    </row>
    <row r="1340" spans="1:7">
      <c r="A1340" s="39">
        <f>A1339</f>
        <v>45840</v>
      </c>
      <c r="B1340" s="40" t="s">
        <v>132</v>
      </c>
      <c r="C1340" s="40" t="s">
        <v>46</v>
      </c>
      <c r="D1340" s="41">
        <v>-500</v>
      </c>
      <c r="E1340" s="43" t="s">
        <v>113</v>
      </c>
      <c r="F1340" s="42" t="s">
        <v>0</v>
      </c>
    </row>
    <row r="1341" spans="1:7">
      <c r="A1341" s="39">
        <f>A1340</f>
        <v>45840</v>
      </c>
      <c r="B1341" s="40" t="s">
        <v>151</v>
      </c>
      <c r="C1341" s="40" t="s">
        <v>46</v>
      </c>
      <c r="D1341" s="41">
        <v>500</v>
      </c>
      <c r="E1341" s="43" t="s">
        <v>113</v>
      </c>
      <c r="F1341" s="42" t="s">
        <v>0</v>
      </c>
    </row>
    <row r="1342" spans="1:7">
      <c r="A1342" s="39">
        <f>A1341</f>
        <v>45840</v>
      </c>
      <c r="B1342" s="40" t="s">
        <v>26</v>
      </c>
      <c r="C1342" s="40" t="s">
        <v>46</v>
      </c>
      <c r="D1342" s="41">
        <v>-660</v>
      </c>
      <c r="E1342" s="43" t="s">
        <v>113</v>
      </c>
      <c r="F1342" s="42" t="s">
        <v>0</v>
      </c>
    </row>
    <row r="1343" spans="1:7">
      <c r="A1343" s="39">
        <f>A1342</f>
        <v>45840</v>
      </c>
      <c r="B1343" s="40" t="s">
        <v>13</v>
      </c>
      <c r="C1343" s="40" t="s">
        <v>46</v>
      </c>
      <c r="D1343" s="41">
        <v>660</v>
      </c>
      <c r="E1343" s="43" t="s">
        <v>113</v>
      </c>
      <c r="F1343" s="42" t="s">
        <v>0</v>
      </c>
    </row>
    <row r="1344" spans="1:7">
      <c r="A1344" s="39">
        <v>45841</v>
      </c>
      <c r="B1344" s="40" t="s">
        <v>25</v>
      </c>
      <c r="C1344" s="40" t="s">
        <v>47</v>
      </c>
      <c r="D1344" s="41">
        <v>-25.7</v>
      </c>
      <c r="E1344" s="43" t="s">
        <v>380</v>
      </c>
      <c r="F1344" s="42" t="s">
        <v>0</v>
      </c>
    </row>
    <row r="1345" spans="1:6">
      <c r="A1345" s="39">
        <v>45841</v>
      </c>
      <c r="B1345" s="40" t="s">
        <v>32</v>
      </c>
      <c r="C1345" s="40" t="s">
        <v>47</v>
      </c>
      <c r="D1345" s="41">
        <v>25.7</v>
      </c>
      <c r="E1345" s="43" t="s">
        <v>430</v>
      </c>
      <c r="F1345" s="42" t="s">
        <v>1</v>
      </c>
    </row>
    <row r="1346" spans="1:6">
      <c r="A1346" s="39">
        <v>45841</v>
      </c>
      <c r="B1346" s="40" t="s">
        <v>19</v>
      </c>
      <c r="C1346" s="40" t="s">
        <v>36</v>
      </c>
      <c r="D1346" s="41">
        <v>-1.5</v>
      </c>
      <c r="E1346" s="43" t="s">
        <v>84</v>
      </c>
      <c r="F1346" s="42" t="s">
        <v>1</v>
      </c>
    </row>
    <row r="1347" spans="1:6">
      <c r="A1347" s="39">
        <f>A1346</f>
        <v>45841</v>
      </c>
      <c r="B1347" s="40" t="s">
        <v>19</v>
      </c>
      <c r="C1347" s="40" t="s">
        <v>36</v>
      </c>
      <c r="D1347" s="41">
        <v>-7.29</v>
      </c>
      <c r="E1347" s="43" t="s">
        <v>367</v>
      </c>
      <c r="F1347" s="42" t="s">
        <v>38</v>
      </c>
    </row>
    <row r="1348" spans="1:6">
      <c r="A1348" s="39">
        <f>A1347</f>
        <v>45841</v>
      </c>
      <c r="B1348" s="40" t="s">
        <v>32</v>
      </c>
      <c r="C1348" s="40" t="s">
        <v>52</v>
      </c>
      <c r="D1348" s="41">
        <v>-74</v>
      </c>
      <c r="E1348" s="43" t="s">
        <v>130</v>
      </c>
      <c r="F1348" s="42" t="s">
        <v>38</v>
      </c>
    </row>
    <row r="1349" spans="1:6">
      <c r="A1349" s="39">
        <v>45841</v>
      </c>
      <c r="B1349" s="40" t="s">
        <v>26</v>
      </c>
      <c r="C1349" s="40" t="s">
        <v>41</v>
      </c>
      <c r="D1349" s="41">
        <v>-1.3</v>
      </c>
      <c r="E1349" s="43" t="s">
        <v>42</v>
      </c>
      <c r="F1349" s="42" t="s">
        <v>0</v>
      </c>
    </row>
    <row r="1350" spans="1:6">
      <c r="A1350" s="39">
        <v>45841</v>
      </c>
      <c r="B1350" s="40" t="s">
        <v>26</v>
      </c>
      <c r="C1350" s="40" t="s">
        <v>34</v>
      </c>
      <c r="D1350" s="41">
        <v>0.02</v>
      </c>
      <c r="E1350" s="43" t="s">
        <v>431</v>
      </c>
      <c r="F1350" s="42" t="s">
        <v>0</v>
      </c>
    </row>
    <row r="1351" spans="1:6">
      <c r="A1351" s="39">
        <v>45841</v>
      </c>
      <c r="B1351" s="40" t="s">
        <v>26</v>
      </c>
      <c r="C1351" s="40" t="s">
        <v>44</v>
      </c>
      <c r="D1351" s="41">
        <v>-20.68</v>
      </c>
      <c r="E1351" s="43" t="s">
        <v>45</v>
      </c>
      <c r="F1351" s="42" t="s">
        <v>0</v>
      </c>
    </row>
    <row r="1352" spans="1:6">
      <c r="A1352" s="39">
        <v>45842</v>
      </c>
      <c r="B1352" s="40" t="s">
        <v>19</v>
      </c>
      <c r="C1352" s="40" t="s">
        <v>36</v>
      </c>
      <c r="D1352" s="41">
        <v>-1.5</v>
      </c>
      <c r="E1352" s="43" t="s">
        <v>84</v>
      </c>
      <c r="F1352" s="42" t="s">
        <v>1</v>
      </c>
    </row>
    <row r="1353" spans="1:6">
      <c r="A1353" s="39">
        <v>45842</v>
      </c>
      <c r="B1353" s="40" t="s">
        <v>26</v>
      </c>
      <c r="C1353" s="40" t="s">
        <v>41</v>
      </c>
      <c r="D1353" s="41">
        <v>-1.3</v>
      </c>
      <c r="E1353" s="43" t="s">
        <v>42</v>
      </c>
      <c r="F1353" s="42" t="s">
        <v>0</v>
      </c>
    </row>
    <row r="1354" spans="1:6">
      <c r="A1354" s="39">
        <v>45842</v>
      </c>
      <c r="B1354" s="40" t="s">
        <v>26</v>
      </c>
      <c r="C1354" s="40" t="s">
        <v>36</v>
      </c>
      <c r="D1354" s="41">
        <v>-81.94</v>
      </c>
      <c r="E1354" s="43" t="s">
        <v>37</v>
      </c>
      <c r="F1354" s="42" t="s">
        <v>38</v>
      </c>
    </row>
    <row r="1355" spans="1:6">
      <c r="A1355" s="39">
        <v>45843</v>
      </c>
      <c r="B1355" s="40" t="s">
        <v>29</v>
      </c>
      <c r="C1355" s="40" t="s">
        <v>41</v>
      </c>
      <c r="D1355" s="41">
        <v>-13.48</v>
      </c>
      <c r="E1355" s="43" t="s">
        <v>432</v>
      </c>
      <c r="F1355" s="42" t="s">
        <v>1</v>
      </c>
    </row>
    <row r="1356" spans="1:6">
      <c r="A1356" s="39">
        <v>45844</v>
      </c>
      <c r="B1356" s="40" t="s">
        <v>19</v>
      </c>
      <c r="C1356" s="40" t="s">
        <v>50</v>
      </c>
      <c r="D1356" s="41">
        <v>24</v>
      </c>
      <c r="E1356" s="43" t="s">
        <v>279</v>
      </c>
      <c r="F1356" s="42" t="s">
        <v>1</v>
      </c>
    </row>
    <row r="1357" spans="1:6">
      <c r="A1357" s="39">
        <v>45844</v>
      </c>
      <c r="B1357" s="40" t="s">
        <v>17</v>
      </c>
      <c r="C1357" s="40" t="s">
        <v>73</v>
      </c>
      <c r="D1357" s="41">
        <v>-52.25</v>
      </c>
      <c r="E1357" s="43" t="s">
        <v>74</v>
      </c>
      <c r="F1357" s="42" t="s">
        <v>38</v>
      </c>
    </row>
    <row r="1358" spans="1:6">
      <c r="A1358" s="39">
        <v>45845</v>
      </c>
      <c r="B1358" s="40" t="s">
        <v>29</v>
      </c>
      <c r="C1358" s="40" t="s">
        <v>41</v>
      </c>
      <c r="D1358" s="41">
        <v>-9.18</v>
      </c>
      <c r="E1358" s="43" t="s">
        <v>432</v>
      </c>
      <c r="F1358" s="42" t="s">
        <v>1</v>
      </c>
    </row>
    <row r="1359" spans="1:6">
      <c r="A1359" s="39">
        <v>45845</v>
      </c>
      <c r="B1359" s="40" t="s">
        <v>29</v>
      </c>
      <c r="C1359" s="40" t="s">
        <v>92</v>
      </c>
      <c r="D1359" s="41">
        <v>5</v>
      </c>
      <c r="E1359" s="43" t="s">
        <v>433</v>
      </c>
      <c r="F1359" s="42" t="s">
        <v>38</v>
      </c>
    </row>
    <row r="1360" spans="1:6">
      <c r="A1360" s="39">
        <v>45845</v>
      </c>
      <c r="B1360" s="40" t="s">
        <v>32</v>
      </c>
      <c r="C1360" s="40" t="s">
        <v>60</v>
      </c>
      <c r="D1360" s="41">
        <v>-21</v>
      </c>
      <c r="E1360" s="43" t="s">
        <v>68</v>
      </c>
      <c r="F1360" s="42" t="s">
        <v>1</v>
      </c>
    </row>
    <row r="1361" spans="1:8">
      <c r="A1361" s="39">
        <f>A1360</f>
        <v>45845</v>
      </c>
      <c r="B1361" s="40" t="s">
        <v>32</v>
      </c>
      <c r="C1361" s="40" t="s">
        <v>43</v>
      </c>
      <c r="D1361" s="41">
        <v>-35</v>
      </c>
      <c r="E1361" s="43" t="s">
        <v>434</v>
      </c>
      <c r="F1361" s="42" t="s">
        <v>38</v>
      </c>
    </row>
    <row r="1362" spans="1:8">
      <c r="A1362" s="39">
        <f>A1361</f>
        <v>45845</v>
      </c>
      <c r="B1362" s="40" t="s">
        <v>132</v>
      </c>
      <c r="C1362" s="40" t="s">
        <v>43</v>
      </c>
      <c r="D1362" s="41">
        <v>-35</v>
      </c>
      <c r="E1362" s="43" t="s">
        <v>66</v>
      </c>
      <c r="F1362" s="42" t="s">
        <v>0</v>
      </c>
    </row>
    <row r="1363" spans="1:8">
      <c r="A1363" s="39">
        <f>A1362</f>
        <v>45845</v>
      </c>
      <c r="B1363" s="40" t="s">
        <v>25</v>
      </c>
      <c r="C1363" s="40" t="s">
        <v>319</v>
      </c>
      <c r="D1363" s="41">
        <v>-215.9</v>
      </c>
      <c r="E1363" s="43" t="s">
        <v>435</v>
      </c>
      <c r="F1363" s="42" t="s">
        <v>38</v>
      </c>
    </row>
    <row r="1364" spans="1:8">
      <c r="A1364" s="39">
        <f>A1363</f>
        <v>45845</v>
      </c>
      <c r="B1364" s="40" t="s">
        <v>26</v>
      </c>
      <c r="C1364" s="40" t="s">
        <v>41</v>
      </c>
      <c r="D1364" s="41">
        <v>-1.3</v>
      </c>
      <c r="E1364" s="43" t="s">
        <v>42</v>
      </c>
      <c r="F1364" s="42" t="s">
        <v>0</v>
      </c>
    </row>
    <row r="1365" spans="1:8">
      <c r="A1365" s="39">
        <f>A1364</f>
        <v>45845</v>
      </c>
      <c r="B1365" s="40" t="s">
        <v>132</v>
      </c>
      <c r="C1365" s="40" t="s">
        <v>149</v>
      </c>
      <c r="D1365" s="41">
        <v>-110.94</v>
      </c>
      <c r="E1365" s="43" t="s">
        <v>436</v>
      </c>
      <c r="F1365" s="42" t="s">
        <v>0</v>
      </c>
    </row>
    <row r="1366" spans="1:8">
      <c r="A1366" s="39">
        <f>A1365</f>
        <v>45845</v>
      </c>
      <c r="B1366" s="40" t="s">
        <v>260</v>
      </c>
      <c r="C1366" s="40" t="s">
        <v>46</v>
      </c>
      <c r="D1366" s="41">
        <v>-100</v>
      </c>
      <c r="E1366" s="43" t="str">
        <f>C1366</f>
        <v>Traspaso</v>
      </c>
      <c r="F1366" s="42" t="s">
        <v>0</v>
      </c>
    </row>
    <row r="1367" spans="1:8">
      <c r="A1367" s="39">
        <f>A1366</f>
        <v>45845</v>
      </c>
      <c r="B1367" s="40" t="s">
        <v>328</v>
      </c>
      <c r="C1367" s="40" t="s">
        <v>46</v>
      </c>
      <c r="D1367" s="41">
        <v>100</v>
      </c>
      <c r="E1367" s="43" t="str">
        <f>C1367</f>
        <v>Traspaso</v>
      </c>
      <c r="F1367" s="42" t="s">
        <v>0</v>
      </c>
    </row>
    <row r="1368" spans="1:8">
      <c r="A1368" s="39">
        <f>A1367</f>
        <v>45845</v>
      </c>
      <c r="B1368" s="40" t="s">
        <v>132</v>
      </c>
      <c r="C1368" s="40" t="s">
        <v>34</v>
      </c>
      <c r="D1368" s="41">
        <v>0.99</v>
      </c>
      <c r="E1368" s="43" t="str">
        <f>C1368</f>
        <v>Intereses</v>
      </c>
      <c r="F1368" s="42" t="s">
        <v>0</v>
      </c>
      <c r="H1368" s="16"/>
    </row>
    <row r="1369" spans="1:8">
      <c r="A1369" s="39">
        <f>A1368</f>
        <v>45845</v>
      </c>
      <c r="B1369" s="40" t="s">
        <v>19</v>
      </c>
      <c r="C1369" s="40" t="s">
        <v>36</v>
      </c>
      <c r="D1369" s="41">
        <v>-2.2000000000000002</v>
      </c>
      <c r="E1369" s="43" t="s">
        <v>70</v>
      </c>
      <c r="F1369" s="42" t="s">
        <v>1</v>
      </c>
      <c r="G1369" s="16"/>
    </row>
    <row r="1370" spans="1:8">
      <c r="A1370" s="39">
        <f>A1369</f>
        <v>45845</v>
      </c>
      <c r="B1370" s="40" t="s">
        <v>437</v>
      </c>
      <c r="C1370" s="40" t="s">
        <v>46</v>
      </c>
      <c r="D1370" s="41">
        <v>-600</v>
      </c>
      <c r="E1370" s="43" t="str">
        <f>C1370</f>
        <v>Traspaso</v>
      </c>
      <c r="F1370" s="42" t="s">
        <v>0</v>
      </c>
    </row>
    <row r="1371" spans="1:8">
      <c r="A1371" s="39">
        <f>A1370</f>
        <v>45845</v>
      </c>
      <c r="B1371" s="40" t="s">
        <v>438</v>
      </c>
      <c r="C1371" s="40" t="s">
        <v>46</v>
      </c>
      <c r="D1371" s="41">
        <v>600</v>
      </c>
      <c r="E1371" s="43" t="str">
        <f>C1371</f>
        <v>Traspaso</v>
      </c>
      <c r="F1371" s="42" t="s">
        <v>0</v>
      </c>
    </row>
    <row r="1372" spans="1:8">
      <c r="A1372" s="39">
        <v>45846</v>
      </c>
      <c r="B1372" s="40" t="s">
        <v>239</v>
      </c>
      <c r="C1372" s="40" t="s">
        <v>46</v>
      </c>
      <c r="D1372" s="41">
        <v>-2006.59</v>
      </c>
      <c r="E1372" s="43" t="str">
        <f>C1372</f>
        <v>Traspaso</v>
      </c>
      <c r="F1372" s="42" t="s">
        <v>0</v>
      </c>
    </row>
    <row r="1373" spans="1:8">
      <c r="A1373" s="39">
        <f>A1372</f>
        <v>45846</v>
      </c>
      <c r="B1373" s="40" t="s">
        <v>24</v>
      </c>
      <c r="C1373" s="40" t="s">
        <v>46</v>
      </c>
      <c r="D1373" s="41">
        <v>2006.59</v>
      </c>
      <c r="E1373" s="43" t="str">
        <f>C1373</f>
        <v>Traspaso</v>
      </c>
      <c r="F1373" s="42" t="s">
        <v>0</v>
      </c>
    </row>
    <row r="1374" spans="1:8">
      <c r="A1374" s="39">
        <f>A1373</f>
        <v>45846</v>
      </c>
      <c r="B1374" s="40" t="s">
        <v>26</v>
      </c>
      <c r="C1374" s="40" t="s">
        <v>41</v>
      </c>
      <c r="D1374" s="41">
        <v>-1.3</v>
      </c>
      <c r="E1374" s="43" t="s">
        <v>42</v>
      </c>
      <c r="F1374" s="42" t="s">
        <v>0</v>
      </c>
    </row>
    <row r="1375" spans="1:8">
      <c r="A1375" s="39">
        <f>A1374</f>
        <v>45846</v>
      </c>
      <c r="B1375" s="40" t="s">
        <v>26</v>
      </c>
      <c r="C1375" s="40" t="s">
        <v>62</v>
      </c>
      <c r="D1375" s="41">
        <v>-4</v>
      </c>
      <c r="E1375" s="43" t="s">
        <v>428</v>
      </c>
      <c r="F1375" s="42" t="s">
        <v>38</v>
      </c>
    </row>
    <row r="1376" spans="1:8">
      <c r="A1376" s="39">
        <v>45846</v>
      </c>
      <c r="B1376" s="40" t="s">
        <v>26</v>
      </c>
      <c r="C1376" s="40" t="s">
        <v>34</v>
      </c>
      <c r="D1376" s="41">
        <v>36.26</v>
      </c>
      <c r="E1376" s="43" t="s">
        <v>371</v>
      </c>
      <c r="F1376" s="42" t="s">
        <v>0</v>
      </c>
    </row>
    <row r="1377" spans="1:6">
      <c r="A1377" s="39">
        <f>A1375</f>
        <v>45846</v>
      </c>
      <c r="B1377" s="40" t="s">
        <v>25</v>
      </c>
      <c r="C1377" s="40" t="s">
        <v>44</v>
      </c>
      <c r="D1377" s="41">
        <v>-54.95</v>
      </c>
      <c r="E1377" s="43" t="s">
        <v>439</v>
      </c>
      <c r="F1377" s="42" t="s">
        <v>0</v>
      </c>
    </row>
    <row r="1378" spans="1:6">
      <c r="A1378" s="39">
        <f>A1377</f>
        <v>45846</v>
      </c>
      <c r="B1378" s="40" t="s">
        <v>19</v>
      </c>
      <c r="C1378" s="40" t="s">
        <v>54</v>
      </c>
      <c r="D1378" s="41">
        <v>-80</v>
      </c>
      <c r="E1378" s="43" t="s">
        <v>241</v>
      </c>
      <c r="F1378" s="42" t="s">
        <v>1</v>
      </c>
    </row>
    <row r="1379" spans="1:6">
      <c r="A1379" s="39">
        <f>A1378</f>
        <v>45846</v>
      </c>
      <c r="B1379" s="40" t="s">
        <v>32</v>
      </c>
      <c r="C1379" s="40" t="s">
        <v>81</v>
      </c>
      <c r="D1379" s="41">
        <v>54.95</v>
      </c>
      <c r="E1379" s="43" t="s">
        <v>440</v>
      </c>
      <c r="F1379" s="42" t="s">
        <v>1</v>
      </c>
    </row>
    <row r="1380" spans="1:6">
      <c r="A1380" s="39">
        <f>A1379</f>
        <v>45846</v>
      </c>
      <c r="B1380" s="40" t="s">
        <v>26</v>
      </c>
      <c r="C1380" s="40" t="s">
        <v>41</v>
      </c>
      <c r="D1380" s="41">
        <v>-23</v>
      </c>
      <c r="E1380" s="43" t="s">
        <v>441</v>
      </c>
      <c r="F1380" s="42" t="s">
        <v>0</v>
      </c>
    </row>
    <row r="1381" spans="1:6">
      <c r="A1381" s="39">
        <v>45847</v>
      </c>
      <c r="B1381" s="40" t="s">
        <v>26</v>
      </c>
      <c r="C1381" s="40" t="s">
        <v>41</v>
      </c>
      <c r="D1381" s="41">
        <v>-1.3</v>
      </c>
      <c r="E1381" s="43" t="s">
        <v>42</v>
      </c>
      <c r="F1381" s="42" t="s">
        <v>0</v>
      </c>
    </row>
    <row r="1382" spans="1:6">
      <c r="A1382" s="39">
        <f>A1381</f>
        <v>45847</v>
      </c>
      <c r="B1382" s="40" t="s">
        <v>26</v>
      </c>
      <c r="C1382" s="40" t="s">
        <v>34</v>
      </c>
      <c r="D1382" s="41">
        <v>41.08</v>
      </c>
      <c r="E1382" s="43" t="s">
        <v>371</v>
      </c>
      <c r="F1382" s="42" t="s">
        <v>0</v>
      </c>
    </row>
    <row r="1383" spans="1:6">
      <c r="A1383" s="39">
        <v>45847</v>
      </c>
      <c r="B1383" s="40" t="s">
        <v>26</v>
      </c>
      <c r="C1383" s="40" t="s">
        <v>52</v>
      </c>
      <c r="D1383" s="41">
        <v>-7.5</v>
      </c>
      <c r="E1383" s="43" t="s">
        <v>79</v>
      </c>
      <c r="F1383" s="42" t="s">
        <v>0</v>
      </c>
    </row>
    <row r="1384" spans="1:6">
      <c r="A1384" s="39">
        <v>45847</v>
      </c>
      <c r="B1384" s="40" t="s">
        <v>19</v>
      </c>
      <c r="C1384" s="40" t="s">
        <v>44</v>
      </c>
      <c r="D1384" s="41">
        <v>-33</v>
      </c>
      <c r="E1384" s="43" t="s">
        <v>442</v>
      </c>
      <c r="F1384" s="42" t="s">
        <v>38</v>
      </c>
    </row>
    <row r="1385" spans="1:6">
      <c r="A1385" s="39">
        <v>45848</v>
      </c>
      <c r="B1385" s="40" t="s">
        <v>26</v>
      </c>
      <c r="C1385" s="40" t="s">
        <v>41</v>
      </c>
      <c r="D1385" s="41">
        <v>-1.3</v>
      </c>
      <c r="E1385" s="43" t="s">
        <v>42</v>
      </c>
      <c r="F1385" s="42" t="s">
        <v>0</v>
      </c>
    </row>
    <row r="1386" spans="1:6">
      <c r="A1386" s="39">
        <f>A1385</f>
        <v>45848</v>
      </c>
      <c r="B1386" s="40" t="s">
        <v>132</v>
      </c>
      <c r="C1386" s="40" t="s">
        <v>46</v>
      </c>
      <c r="D1386" s="41">
        <v>-100</v>
      </c>
      <c r="E1386" s="43" t="str">
        <f>C1386</f>
        <v>Traspaso</v>
      </c>
      <c r="F1386" s="42" t="s">
        <v>0</v>
      </c>
    </row>
    <row r="1387" spans="1:6">
      <c r="A1387" s="39">
        <f>A1386</f>
        <v>45848</v>
      </c>
      <c r="B1387" s="40" t="s">
        <v>151</v>
      </c>
      <c r="C1387" s="40" t="s">
        <v>46</v>
      </c>
      <c r="D1387" s="41">
        <v>100</v>
      </c>
      <c r="E1387" s="43" t="str">
        <f>C1387</f>
        <v>Traspaso</v>
      </c>
      <c r="F1387" s="42" t="s">
        <v>0</v>
      </c>
    </row>
    <row r="1388" spans="1:6">
      <c r="A1388" s="39">
        <f>A1387</f>
        <v>45848</v>
      </c>
      <c r="B1388" s="40" t="s">
        <v>26</v>
      </c>
      <c r="C1388" s="40" t="s">
        <v>34</v>
      </c>
      <c r="D1388" s="41">
        <v>0.91</v>
      </c>
      <c r="E1388" s="43" t="s">
        <v>285</v>
      </c>
      <c r="F1388" s="42" t="s">
        <v>0</v>
      </c>
    </row>
    <row r="1389" spans="1:6">
      <c r="A1389" s="39">
        <f>A1388</f>
        <v>45848</v>
      </c>
      <c r="B1389" s="40" t="s">
        <v>26</v>
      </c>
      <c r="C1389" s="40" t="s">
        <v>76</v>
      </c>
      <c r="D1389" s="41">
        <v>-21.06</v>
      </c>
      <c r="E1389" s="43" t="str">
        <f>C1389</f>
        <v>Vestir</v>
      </c>
      <c r="F1389" s="42" t="s">
        <v>0</v>
      </c>
    </row>
    <row r="1390" spans="1:6">
      <c r="A1390" s="39">
        <v>45849</v>
      </c>
      <c r="B1390" s="40" t="s">
        <v>26</v>
      </c>
      <c r="C1390" s="40" t="s">
        <v>76</v>
      </c>
      <c r="D1390" s="41">
        <v>-20.36</v>
      </c>
      <c r="E1390" s="43" t="str">
        <f>C1390</f>
        <v>Vestir</v>
      </c>
      <c r="F1390" s="42" t="s">
        <v>0</v>
      </c>
    </row>
    <row r="1391" spans="1:6">
      <c r="A1391" s="39">
        <v>45849</v>
      </c>
      <c r="B1391" s="40" t="s">
        <v>26</v>
      </c>
      <c r="C1391" s="40" t="s">
        <v>54</v>
      </c>
      <c r="D1391" s="41">
        <v>-1.43</v>
      </c>
      <c r="E1391" s="43" t="s">
        <v>443</v>
      </c>
      <c r="F1391" s="42" t="s">
        <v>0</v>
      </c>
    </row>
    <row r="1392" spans="1:6">
      <c r="A1392" s="39">
        <f>A1391</f>
        <v>45849</v>
      </c>
      <c r="B1392" s="40" t="s">
        <v>17</v>
      </c>
      <c r="C1392" s="40" t="s">
        <v>36</v>
      </c>
      <c r="D1392" s="41">
        <v>-8.7899999999999991</v>
      </c>
      <c r="E1392" s="43" t="s">
        <v>133</v>
      </c>
      <c r="F1392" s="42" t="s">
        <v>38</v>
      </c>
    </row>
    <row r="1393" spans="1:6">
      <c r="A1393" s="39">
        <f>A1392</f>
        <v>45849</v>
      </c>
      <c r="B1393" s="40" t="s">
        <v>19</v>
      </c>
      <c r="C1393" s="40" t="s">
        <v>54</v>
      </c>
      <c r="D1393" s="41">
        <v>-49.55</v>
      </c>
      <c r="E1393" s="43" t="s">
        <v>444</v>
      </c>
      <c r="F1393" s="42" t="s">
        <v>1</v>
      </c>
    </row>
    <row r="1394" spans="1:6">
      <c r="A1394" s="39">
        <f>A1393</f>
        <v>45849</v>
      </c>
      <c r="B1394" s="40" t="s">
        <v>26</v>
      </c>
      <c r="C1394" s="40" t="s">
        <v>36</v>
      </c>
      <c r="D1394" s="41">
        <v>-71.760000000000005</v>
      </c>
      <c r="E1394" s="43" t="str">
        <f>C1394</f>
        <v>Comida</v>
      </c>
      <c r="F1394" s="42" t="s">
        <v>38</v>
      </c>
    </row>
    <row r="1395" spans="1:6">
      <c r="A1395" s="39">
        <v>45850</v>
      </c>
      <c r="B1395" s="40" t="s">
        <v>26</v>
      </c>
      <c r="C1395" s="40" t="s">
        <v>52</v>
      </c>
      <c r="D1395" s="41">
        <v>-6</v>
      </c>
      <c r="E1395" s="43" t="s">
        <v>79</v>
      </c>
      <c r="F1395" s="42" t="s">
        <v>0</v>
      </c>
    </row>
    <row r="1396" spans="1:6">
      <c r="A1396" s="39">
        <f>A1395</f>
        <v>45850</v>
      </c>
      <c r="B1396" s="40" t="s">
        <v>260</v>
      </c>
      <c r="C1396" s="40" t="s">
        <v>46</v>
      </c>
      <c r="D1396" s="41">
        <v>-96.55</v>
      </c>
      <c r="E1396" s="43" t="str">
        <f>C1396</f>
        <v>Traspaso</v>
      </c>
      <c r="F1396" s="42" t="s">
        <v>0</v>
      </c>
    </row>
    <row r="1397" spans="1:6">
      <c r="A1397" s="39">
        <f>A1396</f>
        <v>45850</v>
      </c>
      <c r="B1397" s="40" t="s">
        <v>25</v>
      </c>
      <c r="C1397" s="40" t="s">
        <v>46</v>
      </c>
      <c r="D1397" s="41">
        <v>96.55</v>
      </c>
      <c r="E1397" s="43" t="str">
        <f>C1397</f>
        <v>Traspaso</v>
      </c>
      <c r="F1397" s="42" t="s">
        <v>0</v>
      </c>
    </row>
    <row r="1398" spans="1:6">
      <c r="A1398" s="39">
        <f>A1397</f>
        <v>45850</v>
      </c>
      <c r="B1398" s="40" t="s">
        <v>24</v>
      </c>
      <c r="C1398" s="40" t="s">
        <v>46</v>
      </c>
      <c r="D1398" s="41">
        <v>-1606.59</v>
      </c>
      <c r="E1398" s="43" t="str">
        <f>C1398</f>
        <v>Traspaso</v>
      </c>
      <c r="F1398" s="42" t="s">
        <v>0</v>
      </c>
    </row>
    <row r="1399" spans="1:6">
      <c r="A1399" s="39">
        <f>A1398</f>
        <v>45850</v>
      </c>
      <c r="B1399" s="40" t="s">
        <v>132</v>
      </c>
      <c r="C1399" s="40" t="s">
        <v>46</v>
      </c>
      <c r="D1399" s="41">
        <v>1606.59</v>
      </c>
      <c r="E1399" s="43" t="str">
        <f>C1399</f>
        <v>Traspaso</v>
      </c>
      <c r="F1399" s="42" t="s">
        <v>0</v>
      </c>
    </row>
    <row r="1400" spans="1:6">
      <c r="A1400" s="39">
        <v>45850</v>
      </c>
      <c r="B1400" s="40" t="s">
        <v>445</v>
      </c>
      <c r="C1400" s="40" t="s">
        <v>41</v>
      </c>
      <c r="D1400" s="41">
        <v>-5.8</v>
      </c>
      <c r="E1400" s="43" t="s">
        <v>84</v>
      </c>
      <c r="F1400" s="42" t="s">
        <v>38</v>
      </c>
    </row>
    <row r="1401" spans="1:6">
      <c r="A1401" s="39">
        <v>45852</v>
      </c>
      <c r="B1401" s="40" t="s">
        <v>26</v>
      </c>
      <c r="C1401" s="40" t="s">
        <v>41</v>
      </c>
      <c r="D1401" s="41">
        <v>-1.3</v>
      </c>
      <c r="E1401" s="43" t="s">
        <v>42</v>
      </c>
      <c r="F1401" s="42" t="s">
        <v>0</v>
      </c>
    </row>
    <row r="1402" spans="1:6">
      <c r="A1402" s="39">
        <f>A1401</f>
        <v>45852</v>
      </c>
      <c r="B1402" s="40" t="s">
        <v>26</v>
      </c>
      <c r="C1402" s="40" t="s">
        <v>52</v>
      </c>
      <c r="D1402" s="41">
        <v>-7.5</v>
      </c>
      <c r="E1402" s="43" t="str">
        <f>C1402</f>
        <v>Deporte</v>
      </c>
      <c r="F1402" s="42" t="s">
        <v>0</v>
      </c>
    </row>
    <row r="1403" spans="1:6">
      <c r="A1403" s="39">
        <v>45852</v>
      </c>
      <c r="B1403" s="40" t="s">
        <v>446</v>
      </c>
      <c r="C1403" s="40" t="s">
        <v>81</v>
      </c>
      <c r="D1403" s="41">
        <v>-54.95</v>
      </c>
      <c r="E1403" s="43" t="s">
        <v>447</v>
      </c>
      <c r="F1403" s="42" t="s">
        <v>1</v>
      </c>
    </row>
    <row r="1404" spans="1:6">
      <c r="A1404" s="39">
        <v>45852</v>
      </c>
      <c r="B1404" s="40" t="s">
        <v>446</v>
      </c>
      <c r="C1404" s="40" t="s">
        <v>81</v>
      </c>
      <c r="D1404" s="41">
        <v>-35</v>
      </c>
      <c r="E1404" s="43" t="s">
        <v>82</v>
      </c>
      <c r="F1404" s="42" t="s">
        <v>38</v>
      </c>
    </row>
    <row r="1405" spans="1:6">
      <c r="A1405" s="39">
        <v>45852</v>
      </c>
      <c r="B1405" s="40" t="s">
        <v>448</v>
      </c>
      <c r="C1405" s="40" t="s">
        <v>34</v>
      </c>
      <c r="D1405" s="41">
        <v>47.27</v>
      </c>
      <c r="E1405" s="43" t="s">
        <v>49</v>
      </c>
      <c r="F1405" s="42" t="s">
        <v>1</v>
      </c>
    </row>
    <row r="1406" spans="1:6">
      <c r="A1406" s="39">
        <v>45852</v>
      </c>
      <c r="B1406" s="40" t="s">
        <v>449</v>
      </c>
      <c r="C1406" s="40" t="s">
        <v>34</v>
      </c>
      <c r="D1406" s="41">
        <v>1.33</v>
      </c>
      <c r="E1406" s="43" t="s">
        <v>34</v>
      </c>
      <c r="F1406" s="42" t="s">
        <v>0</v>
      </c>
    </row>
    <row r="1407" spans="1:6">
      <c r="A1407" s="39">
        <v>45853</v>
      </c>
      <c r="B1407" s="40" t="s">
        <v>26</v>
      </c>
      <c r="C1407" s="40" t="s">
        <v>41</v>
      </c>
      <c r="D1407" s="41">
        <v>-1.3</v>
      </c>
      <c r="E1407" s="43" t="s">
        <v>42</v>
      </c>
      <c r="F1407" s="42" t="s">
        <v>0</v>
      </c>
    </row>
    <row r="1408" spans="1:6">
      <c r="A1408" s="39">
        <f>A1407</f>
        <v>45853</v>
      </c>
      <c r="B1408" s="40" t="s">
        <v>26</v>
      </c>
      <c r="C1408" s="40" t="s">
        <v>62</v>
      </c>
      <c r="D1408" s="41">
        <v>-4</v>
      </c>
      <c r="E1408" s="43" t="s">
        <v>428</v>
      </c>
      <c r="F1408" s="42" t="s">
        <v>38</v>
      </c>
    </row>
    <row r="1409" spans="1:6">
      <c r="A1409" s="39">
        <f>A1408</f>
        <v>45853</v>
      </c>
      <c r="B1409" s="40" t="s">
        <v>26</v>
      </c>
      <c r="C1409" s="40" t="s">
        <v>76</v>
      </c>
      <c r="D1409" s="41">
        <v>-20.27</v>
      </c>
      <c r="E1409" s="43" t="str">
        <f>C1409</f>
        <v>Vestir</v>
      </c>
      <c r="F1409" s="42" t="s">
        <v>0</v>
      </c>
    </row>
    <row r="1410" spans="1:6">
      <c r="A1410" s="39">
        <v>45853</v>
      </c>
      <c r="B1410" s="40" t="s">
        <v>26</v>
      </c>
      <c r="C1410" s="40" t="s">
        <v>34</v>
      </c>
      <c r="D1410" s="41">
        <v>32.83</v>
      </c>
      <c r="E1410" s="43" t="s">
        <v>371</v>
      </c>
      <c r="F1410" s="42" t="s">
        <v>0</v>
      </c>
    </row>
    <row r="1411" spans="1:6">
      <c r="A1411" s="39">
        <f>A1410</f>
        <v>45853</v>
      </c>
      <c r="B1411" s="40" t="s">
        <v>26</v>
      </c>
      <c r="C1411" s="40" t="s">
        <v>73</v>
      </c>
      <c r="D1411" s="41">
        <v>-67.349999999999994</v>
      </c>
      <c r="E1411" s="43" t="s">
        <v>85</v>
      </c>
      <c r="F1411" s="42" t="s">
        <v>38</v>
      </c>
    </row>
    <row r="1412" spans="1:6">
      <c r="A1412" s="39">
        <v>45853</v>
      </c>
      <c r="B1412" s="40" t="s">
        <v>448</v>
      </c>
      <c r="C1412" s="40" t="s">
        <v>46</v>
      </c>
      <c r="D1412" s="41">
        <v>-1000</v>
      </c>
      <c r="E1412" s="43" t="s">
        <v>46</v>
      </c>
      <c r="F1412" s="42" t="s">
        <v>1</v>
      </c>
    </row>
    <row r="1413" spans="1:6">
      <c r="A1413" s="39">
        <v>45853</v>
      </c>
      <c r="B1413" s="40" t="s">
        <v>450</v>
      </c>
      <c r="C1413" s="40" t="s">
        <v>46</v>
      </c>
      <c r="D1413" s="41">
        <v>1000</v>
      </c>
      <c r="E1413" s="43" t="s">
        <v>46</v>
      </c>
      <c r="F1413" s="42" t="s">
        <v>1</v>
      </c>
    </row>
    <row r="1414" spans="1:6">
      <c r="A1414" s="39">
        <v>45854</v>
      </c>
      <c r="B1414" s="40" t="s">
        <v>16</v>
      </c>
      <c r="C1414" s="40" t="s">
        <v>46</v>
      </c>
      <c r="D1414" s="41">
        <v>-600</v>
      </c>
      <c r="E1414" s="43" t="s">
        <v>113</v>
      </c>
      <c r="F1414" s="42" t="s">
        <v>0</v>
      </c>
    </row>
    <row r="1415" spans="1:6">
      <c r="A1415" s="39">
        <f>A1414</f>
        <v>45854</v>
      </c>
      <c r="B1415" s="40" t="s">
        <v>438</v>
      </c>
      <c r="C1415" s="40" t="s">
        <v>46</v>
      </c>
      <c r="D1415" s="41">
        <v>600</v>
      </c>
      <c r="E1415" s="43" t="s">
        <v>113</v>
      </c>
      <c r="F1415" s="42" t="s">
        <v>0</v>
      </c>
    </row>
    <row r="1416" spans="1:6">
      <c r="A1416" s="39">
        <f>A1415</f>
        <v>45854</v>
      </c>
      <c r="B1416" s="40" t="s">
        <v>26</v>
      </c>
      <c r="C1416" s="40" t="s">
        <v>41</v>
      </c>
      <c r="D1416" s="41">
        <v>-1.3</v>
      </c>
      <c r="E1416" s="43" t="s">
        <v>42</v>
      </c>
      <c r="F1416" s="42" t="s">
        <v>0</v>
      </c>
    </row>
    <row r="1417" spans="1:6">
      <c r="A1417" s="39">
        <v>45854</v>
      </c>
      <c r="B1417" s="40" t="s">
        <v>445</v>
      </c>
      <c r="C1417" s="40" t="s">
        <v>76</v>
      </c>
      <c r="D1417" s="41">
        <v>-34.97</v>
      </c>
      <c r="E1417" s="43" t="s">
        <v>451</v>
      </c>
      <c r="F1417" s="42" t="s">
        <v>1</v>
      </c>
    </row>
    <row r="1418" spans="1:6">
      <c r="A1418" s="39">
        <v>45854</v>
      </c>
      <c r="B1418" s="40" t="s">
        <v>452</v>
      </c>
      <c r="C1418" s="40" t="s">
        <v>54</v>
      </c>
      <c r="D1418" s="41">
        <v>-80</v>
      </c>
      <c r="E1418" s="43" t="s">
        <v>241</v>
      </c>
      <c r="F1418" s="42" t="s">
        <v>1</v>
      </c>
    </row>
    <row r="1419" spans="1:6">
      <c r="A1419" s="39">
        <v>45855</v>
      </c>
      <c r="B1419" s="40" t="s">
        <v>132</v>
      </c>
      <c r="C1419" s="40" t="s">
        <v>41</v>
      </c>
      <c r="D1419" s="41">
        <v>-1.3</v>
      </c>
      <c r="E1419" s="43" t="s">
        <v>42</v>
      </c>
      <c r="F1419" s="42" t="s">
        <v>0</v>
      </c>
    </row>
    <row r="1420" spans="1:6">
      <c r="A1420" s="39">
        <f>A1419</f>
        <v>45855</v>
      </c>
      <c r="B1420" s="40" t="s">
        <v>438</v>
      </c>
      <c r="C1420" s="40" t="s">
        <v>46</v>
      </c>
      <c r="D1420" s="41">
        <v>-600</v>
      </c>
      <c r="E1420" s="43" t="str">
        <f>C1420</f>
        <v>Traspaso</v>
      </c>
      <c r="F1420" s="42" t="s">
        <v>0</v>
      </c>
    </row>
    <row r="1421" spans="1:6">
      <c r="A1421" s="39">
        <f>A1420</f>
        <v>45855</v>
      </c>
      <c r="B1421" s="40" t="s">
        <v>24</v>
      </c>
      <c r="C1421" s="40" t="s">
        <v>46</v>
      </c>
      <c r="D1421" s="41">
        <v>600</v>
      </c>
      <c r="E1421" s="43" t="str">
        <f>C1421</f>
        <v>Traspaso</v>
      </c>
      <c r="F1421" s="42" t="s">
        <v>0</v>
      </c>
    </row>
    <row r="1422" spans="1:6">
      <c r="A1422" s="39">
        <f>A1421</f>
        <v>45855</v>
      </c>
      <c r="B1422" s="40" t="s">
        <v>132</v>
      </c>
      <c r="C1422" s="40" t="s">
        <v>52</v>
      </c>
      <c r="D1422" s="41">
        <v>-7.5</v>
      </c>
      <c r="E1422" s="43" t="s">
        <v>79</v>
      </c>
      <c r="F1422" s="42" t="s">
        <v>0</v>
      </c>
    </row>
    <row r="1423" spans="1:6">
      <c r="A1423" s="39">
        <f>A1422</f>
        <v>45855</v>
      </c>
      <c r="B1423" s="40" t="s">
        <v>132</v>
      </c>
      <c r="C1423" s="40" t="s">
        <v>46</v>
      </c>
      <c r="D1423" s="41">
        <v>-125</v>
      </c>
      <c r="E1423" s="43" t="str">
        <f>C1423</f>
        <v>Traspaso</v>
      </c>
      <c r="F1423" s="42" t="s">
        <v>0</v>
      </c>
    </row>
    <row r="1424" spans="1:6">
      <c r="A1424" s="39">
        <f>A1423</f>
        <v>45855</v>
      </c>
      <c r="B1424" s="40" t="s">
        <v>10</v>
      </c>
      <c r="C1424" s="40" t="s">
        <v>46</v>
      </c>
      <c r="D1424" s="41">
        <v>125</v>
      </c>
      <c r="E1424" s="43" t="str">
        <f>C1424</f>
        <v>Traspaso</v>
      </c>
      <c r="F1424" s="42" t="s">
        <v>0</v>
      </c>
    </row>
    <row r="1425" spans="1:6">
      <c r="A1425" s="39">
        <v>45856</v>
      </c>
      <c r="B1425" s="40" t="s">
        <v>132</v>
      </c>
      <c r="C1425" s="40" t="s">
        <v>41</v>
      </c>
      <c r="D1425" s="41">
        <v>-1.3</v>
      </c>
      <c r="E1425" s="43" t="s">
        <v>42</v>
      </c>
      <c r="F1425" s="42" t="s">
        <v>0</v>
      </c>
    </row>
    <row r="1426" spans="1:6">
      <c r="A1426" s="39">
        <f>A1425</f>
        <v>45856</v>
      </c>
      <c r="B1426" s="40" t="s">
        <v>16</v>
      </c>
      <c r="C1426" s="40" t="s">
        <v>46</v>
      </c>
      <c r="D1426" s="41">
        <v>-600</v>
      </c>
      <c r="E1426" s="43" t="str">
        <f>C1426</f>
        <v>Traspaso</v>
      </c>
      <c r="F1426" s="42" t="s">
        <v>0</v>
      </c>
    </row>
    <row r="1427" spans="1:6">
      <c r="A1427" s="39">
        <f>A1426</f>
        <v>45856</v>
      </c>
      <c r="B1427" s="40" t="s">
        <v>343</v>
      </c>
      <c r="C1427" s="40" t="s">
        <v>46</v>
      </c>
      <c r="D1427" s="41">
        <v>600</v>
      </c>
      <c r="E1427" s="43" t="str">
        <f>C1427</f>
        <v>Traspaso</v>
      </c>
      <c r="F1427" s="42" t="s">
        <v>0</v>
      </c>
    </row>
    <row r="1428" spans="1:6">
      <c r="A1428" s="39">
        <v>45856</v>
      </c>
      <c r="B1428" s="40" t="s">
        <v>445</v>
      </c>
      <c r="C1428" s="40" t="s">
        <v>105</v>
      </c>
      <c r="D1428" s="41">
        <v>-70</v>
      </c>
      <c r="E1428" s="43" t="s">
        <v>120</v>
      </c>
      <c r="F1428" s="42" t="s">
        <v>1</v>
      </c>
    </row>
    <row r="1429" spans="1:6">
      <c r="A1429" s="39">
        <v>45857</v>
      </c>
      <c r="B1429" s="40" t="s">
        <v>239</v>
      </c>
      <c r="C1429" s="40" t="s">
        <v>54</v>
      </c>
      <c r="D1429" s="41">
        <v>-80</v>
      </c>
      <c r="E1429" s="43" t="s">
        <v>453</v>
      </c>
      <c r="F1429" s="42" t="s">
        <v>0</v>
      </c>
    </row>
    <row r="1430" spans="1:6">
      <c r="A1430" s="39">
        <f>A1429</f>
        <v>45857</v>
      </c>
      <c r="B1430" s="40" t="s">
        <v>454</v>
      </c>
      <c r="C1430" s="40" t="s">
        <v>36</v>
      </c>
      <c r="D1430" s="41">
        <v>-125.3</v>
      </c>
      <c r="E1430" s="43" t="s">
        <v>143</v>
      </c>
      <c r="F1430" s="42" t="s">
        <v>38</v>
      </c>
    </row>
    <row r="1431" spans="1:6">
      <c r="A1431" s="39">
        <v>45858</v>
      </c>
      <c r="B1431" s="40" t="s">
        <v>454</v>
      </c>
      <c r="C1431" s="40" t="s">
        <v>52</v>
      </c>
      <c r="D1431" s="41">
        <v>-6</v>
      </c>
      <c r="E1431" s="43" t="s">
        <v>455</v>
      </c>
      <c r="F1431" s="42" t="s">
        <v>0</v>
      </c>
    </row>
    <row r="1432" spans="1:6">
      <c r="A1432" s="39">
        <v>45859</v>
      </c>
      <c r="B1432" s="40" t="s">
        <v>454</v>
      </c>
      <c r="C1432" s="40" t="s">
        <v>89</v>
      </c>
      <c r="D1432" s="41">
        <v>-5.05</v>
      </c>
      <c r="E1432" s="43" t="s">
        <v>456</v>
      </c>
      <c r="F1432" s="42" t="s">
        <v>38</v>
      </c>
    </row>
    <row r="1433" spans="1:6">
      <c r="A1433" s="39">
        <f>A1432</f>
        <v>45859</v>
      </c>
      <c r="B1433" s="40" t="s">
        <v>449</v>
      </c>
      <c r="C1433" s="40" t="s">
        <v>46</v>
      </c>
      <c r="D1433" s="41">
        <v>-601.33000000000004</v>
      </c>
      <c r="E1433" s="43" t="str">
        <f>C1433</f>
        <v>Traspaso</v>
      </c>
      <c r="F1433" s="42" t="s">
        <v>0</v>
      </c>
    </row>
    <row r="1434" spans="1:6">
      <c r="A1434" s="39">
        <f>A1433</f>
        <v>45859</v>
      </c>
      <c r="B1434" s="40" t="s">
        <v>454</v>
      </c>
      <c r="C1434" s="40" t="s">
        <v>46</v>
      </c>
      <c r="D1434" s="41">
        <v>601.33000000000004</v>
      </c>
      <c r="E1434" s="43" t="str">
        <f>C1434</f>
        <v>Traspaso</v>
      </c>
      <c r="F1434" s="42" t="s">
        <v>0</v>
      </c>
    </row>
    <row r="1435" spans="1:6">
      <c r="A1435" s="39">
        <v>45859</v>
      </c>
      <c r="B1435" s="40" t="s">
        <v>239</v>
      </c>
      <c r="C1435" s="40" t="s">
        <v>46</v>
      </c>
      <c r="D1435" s="41">
        <v>-700</v>
      </c>
      <c r="E1435" s="43" t="str">
        <f>C1435</f>
        <v>Traspaso</v>
      </c>
      <c r="F1435" s="42" t="s">
        <v>0</v>
      </c>
    </row>
    <row r="1436" spans="1:6">
      <c r="A1436" s="39">
        <v>45859</v>
      </c>
      <c r="B1436" s="40" t="s">
        <v>457</v>
      </c>
      <c r="C1436" s="40" t="s">
        <v>46</v>
      </c>
      <c r="D1436" s="41">
        <v>700</v>
      </c>
      <c r="E1436" s="43" t="str">
        <f>C1436</f>
        <v>Traspaso</v>
      </c>
      <c r="F1436" s="42" t="s">
        <v>0</v>
      </c>
    </row>
    <row r="1437" spans="1:6">
      <c r="A1437" s="39">
        <v>45860</v>
      </c>
      <c r="B1437" s="40" t="s">
        <v>450</v>
      </c>
      <c r="C1437" s="40" t="s">
        <v>46</v>
      </c>
      <c r="D1437" s="41">
        <v>-500</v>
      </c>
      <c r="E1437" s="43" t="s">
        <v>458</v>
      </c>
      <c r="F1437" s="42" t="s">
        <v>1</v>
      </c>
    </row>
    <row r="1438" spans="1:6">
      <c r="A1438" s="39">
        <v>45860</v>
      </c>
      <c r="B1438" s="40" t="s">
        <v>459</v>
      </c>
      <c r="C1438" s="40" t="s">
        <v>46</v>
      </c>
      <c r="D1438" s="41">
        <v>500</v>
      </c>
      <c r="E1438" s="43" t="s">
        <v>458</v>
      </c>
      <c r="F1438" s="42" t="s">
        <v>1</v>
      </c>
    </row>
    <row r="1439" spans="1:6">
      <c r="A1439" s="39">
        <v>45860</v>
      </c>
      <c r="B1439" s="40" t="s">
        <v>454</v>
      </c>
      <c r="C1439" s="40" t="s">
        <v>62</v>
      </c>
      <c r="D1439" s="41">
        <v>-4</v>
      </c>
      <c r="E1439" s="43" t="s">
        <v>460</v>
      </c>
      <c r="F1439" s="42" t="s">
        <v>38</v>
      </c>
    </row>
    <row r="1440" spans="1:6">
      <c r="A1440" s="39">
        <v>45860</v>
      </c>
      <c r="B1440" s="40" t="s">
        <v>437</v>
      </c>
      <c r="C1440" s="40" t="s">
        <v>461</v>
      </c>
      <c r="D1440" s="41">
        <v>-20</v>
      </c>
      <c r="E1440" s="43" t="s">
        <v>462</v>
      </c>
      <c r="F1440" s="42" t="s">
        <v>0</v>
      </c>
    </row>
    <row r="1441" spans="1:6">
      <c r="A1441" s="39">
        <f>A1440</f>
        <v>45860</v>
      </c>
      <c r="B1441" s="40" t="s">
        <v>452</v>
      </c>
      <c r="C1441" s="40" t="s">
        <v>463</v>
      </c>
      <c r="D1441" s="41">
        <v>7</v>
      </c>
      <c r="E1441" s="43" t="s">
        <v>464</v>
      </c>
      <c r="F1441" s="42" t="s">
        <v>1</v>
      </c>
    </row>
    <row r="1442" spans="1:6">
      <c r="A1442" s="39">
        <f>A1441</f>
        <v>45860</v>
      </c>
      <c r="B1442" s="40" t="s">
        <v>452</v>
      </c>
      <c r="C1442" s="40" t="s">
        <v>461</v>
      </c>
      <c r="D1442" s="41">
        <v>-36</v>
      </c>
      <c r="E1442" s="43" t="s">
        <v>465</v>
      </c>
      <c r="F1442" s="42" t="s">
        <v>38</v>
      </c>
    </row>
    <row r="1443" spans="1:6">
      <c r="A1443" s="39">
        <f>A1442</f>
        <v>45860</v>
      </c>
      <c r="B1443" s="40" t="s">
        <v>452</v>
      </c>
      <c r="C1443" s="40" t="s">
        <v>461</v>
      </c>
      <c r="D1443" s="41">
        <v>-4.5</v>
      </c>
      <c r="E1443" s="43" t="s">
        <v>466</v>
      </c>
      <c r="F1443" s="42" t="s">
        <v>38</v>
      </c>
    </row>
    <row r="1444" spans="1:6">
      <c r="A1444" s="39">
        <f>A1443</f>
        <v>45860</v>
      </c>
      <c r="B1444" s="40" t="s">
        <v>454</v>
      </c>
      <c r="C1444" s="40" t="s">
        <v>41</v>
      </c>
      <c r="D1444" s="41">
        <v>-1.3</v>
      </c>
      <c r="E1444" s="43" t="s">
        <v>467</v>
      </c>
      <c r="F1444" s="42" t="s">
        <v>0</v>
      </c>
    </row>
    <row r="1445" spans="1:6">
      <c r="A1445" s="39">
        <v>45860</v>
      </c>
      <c r="B1445" s="40" t="s">
        <v>448</v>
      </c>
      <c r="C1445" s="40" t="s">
        <v>58</v>
      </c>
      <c r="D1445" s="41">
        <v>-777.43</v>
      </c>
      <c r="E1445" s="43" t="s">
        <v>468</v>
      </c>
      <c r="F1445" s="42" t="s">
        <v>38</v>
      </c>
    </row>
    <row r="1446" spans="1:6">
      <c r="A1446" s="39">
        <v>45861</v>
      </c>
      <c r="B1446" s="40" t="s">
        <v>445</v>
      </c>
      <c r="C1446" s="40" t="s">
        <v>54</v>
      </c>
      <c r="D1446" s="41">
        <v>-75</v>
      </c>
      <c r="E1446" s="43" t="s">
        <v>469</v>
      </c>
      <c r="F1446" s="42" t="s">
        <v>1</v>
      </c>
    </row>
    <row r="1447" spans="1:6">
      <c r="A1447" s="39">
        <v>45861</v>
      </c>
      <c r="B1447" s="40" t="s">
        <v>452</v>
      </c>
      <c r="C1447" s="40" t="s">
        <v>463</v>
      </c>
      <c r="D1447" s="41">
        <v>50</v>
      </c>
      <c r="E1447" s="43" t="s">
        <v>470</v>
      </c>
      <c r="F1447" s="42" t="s">
        <v>1</v>
      </c>
    </row>
    <row r="1448" spans="1:6">
      <c r="A1448" s="39">
        <v>45861</v>
      </c>
      <c r="B1448" s="40" t="s">
        <v>454</v>
      </c>
      <c r="C1448" s="40" t="s">
        <v>41</v>
      </c>
      <c r="D1448" s="41">
        <v>-1.3</v>
      </c>
      <c r="E1448" s="43" t="str">
        <f>C1448</f>
        <v>Ocio</v>
      </c>
      <c r="F1448" s="42" t="s">
        <v>0</v>
      </c>
    </row>
    <row r="1449" spans="1:6">
      <c r="A1449" s="39">
        <f>A1448</f>
        <v>45861</v>
      </c>
      <c r="B1449" s="40" t="s">
        <v>471</v>
      </c>
      <c r="C1449" s="40" t="s">
        <v>110</v>
      </c>
      <c r="D1449" s="41">
        <v>1973.17</v>
      </c>
      <c r="E1449" s="43" t="str">
        <f>C1449</f>
        <v>Nómina</v>
      </c>
      <c r="F1449" s="42" t="s">
        <v>0</v>
      </c>
    </row>
    <row r="1450" spans="1:6">
      <c r="A1450" s="39">
        <f>A1449</f>
        <v>45861</v>
      </c>
      <c r="B1450" s="40" t="s">
        <v>471</v>
      </c>
      <c r="C1450" s="40" t="s">
        <v>46</v>
      </c>
      <c r="D1450" s="41">
        <v>-500</v>
      </c>
      <c r="E1450" s="43" t="str">
        <f>C1450</f>
        <v>Traspaso</v>
      </c>
      <c r="F1450" s="42" t="s">
        <v>0</v>
      </c>
    </row>
    <row r="1451" spans="1:6">
      <c r="A1451" s="39">
        <f>A1450</f>
        <v>45861</v>
      </c>
      <c r="B1451" s="40" t="s">
        <v>116</v>
      </c>
      <c r="C1451" s="40" t="s">
        <v>46</v>
      </c>
      <c r="D1451" s="41">
        <v>500</v>
      </c>
      <c r="E1451" s="43" t="str">
        <f>C1451</f>
        <v>Traspaso</v>
      </c>
      <c r="F1451" s="42" t="s">
        <v>0</v>
      </c>
    </row>
    <row r="1452" spans="1:6">
      <c r="A1452" s="39">
        <f>A1451</f>
        <v>45861</v>
      </c>
      <c r="B1452" s="40" t="s">
        <v>471</v>
      </c>
      <c r="C1452" s="40" t="s">
        <v>46</v>
      </c>
      <c r="D1452" s="41">
        <v>-676.62</v>
      </c>
      <c r="E1452" s="43" t="str">
        <f>C1452</f>
        <v>Traspaso</v>
      </c>
      <c r="F1452" s="42" t="s">
        <v>0</v>
      </c>
    </row>
    <row r="1453" spans="1:6">
      <c r="A1453" s="39">
        <f>A1452</f>
        <v>45861</v>
      </c>
      <c r="B1453" s="40" t="s">
        <v>454</v>
      </c>
      <c r="C1453" s="40" t="s">
        <v>46</v>
      </c>
      <c r="D1453" s="41">
        <v>676.62</v>
      </c>
      <c r="E1453" s="43" t="str">
        <f>C1453</f>
        <v>Traspaso</v>
      </c>
      <c r="F1453" s="42" t="s">
        <v>0</v>
      </c>
    </row>
    <row r="1454" spans="1:6">
      <c r="A1454" s="39">
        <v>45862</v>
      </c>
      <c r="B1454" s="40" t="s">
        <v>450</v>
      </c>
      <c r="C1454" s="40" t="s">
        <v>46</v>
      </c>
      <c r="D1454" s="41">
        <v>-500</v>
      </c>
      <c r="E1454" s="43" t="s">
        <v>458</v>
      </c>
      <c r="F1454" s="42" t="s">
        <v>1</v>
      </c>
    </row>
    <row r="1455" spans="1:6">
      <c r="A1455" s="39">
        <v>45862</v>
      </c>
      <c r="B1455" s="40" t="s">
        <v>459</v>
      </c>
      <c r="C1455" s="40" t="s">
        <v>46</v>
      </c>
      <c r="D1455" s="41">
        <v>500</v>
      </c>
      <c r="E1455" s="43" t="s">
        <v>458</v>
      </c>
      <c r="F1455" s="42" t="s">
        <v>1</v>
      </c>
    </row>
    <row r="1456" spans="1:6">
      <c r="A1456" s="39">
        <v>45862</v>
      </c>
      <c r="B1456" s="40" t="s">
        <v>454</v>
      </c>
      <c r="C1456" s="40" t="s">
        <v>41</v>
      </c>
      <c r="D1456" s="41">
        <v>-1.3</v>
      </c>
      <c r="E1456" s="43" t="str">
        <f>C1456</f>
        <v>Ocio</v>
      </c>
      <c r="F1456" s="42" t="s">
        <v>0</v>
      </c>
    </row>
    <row r="1457" spans="1:6">
      <c r="A1457" s="39">
        <f>A1456</f>
        <v>45862</v>
      </c>
      <c r="B1457" s="40" t="s">
        <v>454</v>
      </c>
      <c r="C1457" s="40" t="s">
        <v>46</v>
      </c>
      <c r="D1457" s="41">
        <v>-100</v>
      </c>
      <c r="E1457" s="43" t="str">
        <f>C1457</f>
        <v>Traspaso</v>
      </c>
      <c r="F1457" s="42" t="s">
        <v>0</v>
      </c>
    </row>
    <row r="1458" spans="1:6">
      <c r="A1458" s="39">
        <f>A1457</f>
        <v>45862</v>
      </c>
      <c r="B1458" s="40" t="s">
        <v>472</v>
      </c>
      <c r="C1458" s="40" t="s">
        <v>46</v>
      </c>
      <c r="D1458" s="41">
        <v>100</v>
      </c>
      <c r="E1458" s="43" t="str">
        <f>C1458</f>
        <v>Traspaso</v>
      </c>
      <c r="F1458" s="42" t="s">
        <v>0</v>
      </c>
    </row>
    <row r="1459" spans="1:6">
      <c r="A1459" s="39">
        <v>45863</v>
      </c>
      <c r="B1459" s="40" t="s">
        <v>454</v>
      </c>
      <c r="C1459" s="40" t="s">
        <v>41</v>
      </c>
      <c r="D1459" s="41">
        <v>-1.3</v>
      </c>
      <c r="E1459" s="43" t="str">
        <f>C1459</f>
        <v>Ocio</v>
      </c>
      <c r="F1459" s="42" t="s">
        <v>0</v>
      </c>
    </row>
    <row r="1460" spans="1:6">
      <c r="A1460" s="39">
        <v>45863</v>
      </c>
      <c r="B1460" s="40" t="s">
        <v>256</v>
      </c>
      <c r="C1460" s="40" t="s">
        <v>461</v>
      </c>
      <c r="D1460" s="41">
        <v>-5</v>
      </c>
      <c r="E1460" s="43" t="s">
        <v>473</v>
      </c>
      <c r="F1460" s="42" t="s">
        <v>1</v>
      </c>
    </row>
    <row r="1461" spans="1:6">
      <c r="A1461" s="39">
        <v>45863</v>
      </c>
      <c r="B1461" s="40" t="s">
        <v>256</v>
      </c>
      <c r="C1461" s="40" t="s">
        <v>54</v>
      </c>
      <c r="D1461" s="41">
        <v>-90</v>
      </c>
      <c r="E1461" s="43" t="s">
        <v>474</v>
      </c>
      <c r="F1461" s="42" t="s">
        <v>1</v>
      </c>
    </row>
    <row r="1462" spans="1:6">
      <c r="A1462" s="39">
        <v>45863</v>
      </c>
      <c r="B1462" s="40" t="s">
        <v>445</v>
      </c>
      <c r="C1462" s="40" t="s">
        <v>105</v>
      </c>
      <c r="D1462" s="41">
        <v>-69.5</v>
      </c>
      <c r="E1462" s="43" t="s">
        <v>362</v>
      </c>
      <c r="F1462" s="42" t="s">
        <v>1</v>
      </c>
    </row>
    <row r="1463" spans="1:6">
      <c r="A1463" s="39">
        <v>45863</v>
      </c>
      <c r="B1463" s="40" t="s">
        <v>475</v>
      </c>
      <c r="C1463" s="40" t="s">
        <v>34</v>
      </c>
      <c r="D1463" s="41">
        <v>0.01</v>
      </c>
      <c r="E1463" s="43" t="s">
        <v>49</v>
      </c>
      <c r="F1463" s="42" t="s">
        <v>1</v>
      </c>
    </row>
    <row r="1464" spans="1:6">
      <c r="A1464" s="39">
        <v>45864</v>
      </c>
      <c r="B1464" s="40" t="s">
        <v>445</v>
      </c>
      <c r="C1464" s="40" t="s">
        <v>36</v>
      </c>
      <c r="D1464" s="41">
        <v>-11.95</v>
      </c>
      <c r="E1464" s="43" t="s">
        <v>476</v>
      </c>
      <c r="F1464" s="42" t="s">
        <v>38</v>
      </c>
    </row>
    <row r="1465" spans="1:6">
      <c r="A1465" s="39">
        <v>45864</v>
      </c>
      <c r="B1465" s="40" t="s">
        <v>445</v>
      </c>
      <c r="C1465" s="40" t="s">
        <v>41</v>
      </c>
      <c r="D1465" s="41">
        <v>-51.99</v>
      </c>
      <c r="E1465" s="43" t="s">
        <v>477</v>
      </c>
      <c r="F1465" s="42" t="s">
        <v>38</v>
      </c>
    </row>
    <row r="1466" spans="1:6">
      <c r="A1466" s="39">
        <v>45864</v>
      </c>
      <c r="B1466" s="40" t="s">
        <v>454</v>
      </c>
      <c r="C1466" s="40" t="s">
        <v>52</v>
      </c>
      <c r="D1466" s="41">
        <v>-12</v>
      </c>
      <c r="E1466" s="43" t="s">
        <v>455</v>
      </c>
      <c r="F1466" s="42" t="s">
        <v>0</v>
      </c>
    </row>
    <row r="1467" spans="1:6">
      <c r="A1467" s="39">
        <f>A1466</f>
        <v>45864</v>
      </c>
      <c r="B1467" s="40" t="s">
        <v>478</v>
      </c>
      <c r="C1467" s="40" t="s">
        <v>34</v>
      </c>
      <c r="D1467" s="41">
        <v>10</v>
      </c>
      <c r="E1467" s="43" t="s">
        <v>479</v>
      </c>
      <c r="F1467" s="42" t="s">
        <v>0</v>
      </c>
    </row>
    <row r="1468" spans="1:6">
      <c r="A1468" s="39">
        <f>A1467</f>
        <v>45864</v>
      </c>
      <c r="B1468" s="40" t="s">
        <v>116</v>
      </c>
      <c r="C1468" s="40" t="s">
        <v>46</v>
      </c>
      <c r="D1468" s="41">
        <v>-1036.56</v>
      </c>
      <c r="E1468" s="43" t="str">
        <f>C1468</f>
        <v>Traspaso</v>
      </c>
      <c r="F1468" s="42" t="s">
        <v>0</v>
      </c>
    </row>
    <row r="1469" spans="1:6">
      <c r="A1469" s="39">
        <f>A1468</f>
        <v>45864</v>
      </c>
      <c r="B1469" s="40" t="s">
        <v>478</v>
      </c>
      <c r="C1469" s="40" t="s">
        <v>46</v>
      </c>
      <c r="D1469" s="41">
        <v>1036.56</v>
      </c>
      <c r="E1469" s="43" t="str">
        <f>C1469</f>
        <v>Traspaso</v>
      </c>
      <c r="F1469" s="42" t="s">
        <v>0</v>
      </c>
    </row>
    <row r="1470" spans="1:6">
      <c r="A1470" s="39">
        <f>A1469</f>
        <v>45864</v>
      </c>
      <c r="B1470" s="40" t="s">
        <v>454</v>
      </c>
      <c r="C1470" s="40" t="s">
        <v>36</v>
      </c>
      <c r="D1470" s="41">
        <v>-100.71</v>
      </c>
      <c r="E1470" s="43" t="s">
        <v>295</v>
      </c>
      <c r="F1470" s="42" t="s">
        <v>38</v>
      </c>
    </row>
    <row r="1471" spans="1:6">
      <c r="A1471" s="39">
        <v>45865</v>
      </c>
      <c r="B1471" s="40" t="s">
        <v>480</v>
      </c>
      <c r="C1471" s="40" t="s">
        <v>46</v>
      </c>
      <c r="D1471" s="41">
        <v>-1298.3599999999999</v>
      </c>
      <c r="E1471" s="43" t="str">
        <f>C1471</f>
        <v>Traspaso</v>
      </c>
      <c r="F1471" s="42" t="s">
        <v>0</v>
      </c>
    </row>
    <row r="1472" spans="1:6">
      <c r="A1472" s="39">
        <f>A1471</f>
        <v>45865</v>
      </c>
      <c r="B1472" s="40" t="s">
        <v>478</v>
      </c>
      <c r="C1472" s="40" t="s">
        <v>46</v>
      </c>
      <c r="D1472" s="41">
        <v>1298.3599999999999</v>
      </c>
      <c r="E1472" s="43" t="str">
        <f>C1472</f>
        <v>Traspaso</v>
      </c>
      <c r="F1472" s="42" t="s">
        <v>0</v>
      </c>
    </row>
    <row r="1473" spans="1:6">
      <c r="A1473" s="39">
        <v>45866</v>
      </c>
      <c r="B1473" s="40" t="s">
        <v>454</v>
      </c>
      <c r="C1473" s="40" t="s">
        <v>41</v>
      </c>
      <c r="D1473" s="41">
        <v>-1.3</v>
      </c>
      <c r="E1473" s="43" t="str">
        <f>C1473</f>
        <v>Ocio</v>
      </c>
      <c r="F1473" s="42" t="s">
        <v>0</v>
      </c>
    </row>
    <row r="1474" spans="1:6">
      <c r="A1474" s="39">
        <f>A1473</f>
        <v>45866</v>
      </c>
      <c r="B1474" s="40" t="s">
        <v>448</v>
      </c>
      <c r="C1474" s="40" t="s">
        <v>110</v>
      </c>
      <c r="D1474" s="41">
        <v>1964.1</v>
      </c>
      <c r="E1474" s="43" t="str">
        <f>C1474</f>
        <v>Nómina</v>
      </c>
      <c r="F1474" s="42" t="s">
        <v>1</v>
      </c>
    </row>
    <row r="1475" spans="1:6">
      <c r="A1475" s="39">
        <v>45866</v>
      </c>
      <c r="B1475" s="40" t="s">
        <v>481</v>
      </c>
      <c r="C1475" s="40" t="s">
        <v>62</v>
      </c>
      <c r="D1475" s="41">
        <v>-40</v>
      </c>
      <c r="E1475" s="43" t="s">
        <v>482</v>
      </c>
      <c r="F1475" s="42" t="s">
        <v>38</v>
      </c>
    </row>
    <row r="1476" spans="1:6">
      <c r="A1476" s="39">
        <v>45867</v>
      </c>
      <c r="B1476" s="40" t="s">
        <v>445</v>
      </c>
      <c r="C1476" s="40" t="s">
        <v>73</v>
      </c>
      <c r="D1476" s="41">
        <v>-48</v>
      </c>
      <c r="E1476" s="43" t="s">
        <v>107</v>
      </c>
      <c r="F1476" s="42" t="s">
        <v>38</v>
      </c>
    </row>
    <row r="1477" spans="1:6">
      <c r="A1477" s="39">
        <f>A1476</f>
        <v>45867</v>
      </c>
      <c r="B1477" s="40" t="s">
        <v>454</v>
      </c>
      <c r="C1477" s="40" t="s">
        <v>41</v>
      </c>
      <c r="D1477" s="41">
        <v>-1.3</v>
      </c>
      <c r="E1477" s="43" t="str">
        <f>C1477</f>
        <v>Ocio</v>
      </c>
      <c r="F1477" s="42" t="s">
        <v>0</v>
      </c>
    </row>
    <row r="1478" spans="1:6">
      <c r="A1478" s="39">
        <v>45867</v>
      </c>
      <c r="B1478" s="40" t="s">
        <v>445</v>
      </c>
      <c r="C1478" s="40" t="s">
        <v>54</v>
      </c>
      <c r="D1478" s="41">
        <v>-50</v>
      </c>
      <c r="E1478" s="43" t="s">
        <v>483</v>
      </c>
      <c r="F1478" s="42" t="s">
        <v>1</v>
      </c>
    </row>
    <row r="1479" spans="1:6">
      <c r="A1479" s="39">
        <v>45868</v>
      </c>
      <c r="B1479" s="40" t="s">
        <v>116</v>
      </c>
      <c r="C1479" s="40" t="s">
        <v>463</v>
      </c>
      <c r="D1479" s="41">
        <v>13.26</v>
      </c>
      <c r="E1479" s="43" t="s">
        <v>484</v>
      </c>
      <c r="F1479" s="42" t="s">
        <v>0</v>
      </c>
    </row>
    <row r="1480" spans="1:6">
      <c r="A1480" s="39">
        <f>A1479</f>
        <v>45868</v>
      </c>
      <c r="B1480" s="40" t="s">
        <v>485</v>
      </c>
      <c r="C1480" s="40" t="s">
        <v>46</v>
      </c>
      <c r="D1480" s="41">
        <v>-151.24</v>
      </c>
      <c r="E1480" s="43" t="s">
        <v>486</v>
      </c>
      <c r="F1480" s="42" t="s">
        <v>0</v>
      </c>
    </row>
    <row r="1481" spans="1:6">
      <c r="A1481" s="39">
        <f>A1480</f>
        <v>45868</v>
      </c>
      <c r="B1481" s="40" t="s">
        <v>116</v>
      </c>
      <c r="C1481" s="40" t="s">
        <v>46</v>
      </c>
      <c r="D1481" s="41">
        <v>151.24</v>
      </c>
      <c r="E1481" s="43" t="s">
        <v>486</v>
      </c>
      <c r="F1481" s="42" t="s">
        <v>0</v>
      </c>
    </row>
    <row r="1482" spans="1:6">
      <c r="A1482" s="39">
        <f>A1481</f>
        <v>45868</v>
      </c>
      <c r="B1482" s="40" t="s">
        <v>485</v>
      </c>
      <c r="C1482" s="40" t="s">
        <v>34</v>
      </c>
      <c r="D1482" s="41">
        <v>-147.76</v>
      </c>
      <c r="E1482" s="43" t="str">
        <f>C1482</f>
        <v>Intereses</v>
      </c>
      <c r="F1482" s="42" t="s">
        <v>0</v>
      </c>
    </row>
    <row r="1483" spans="1:6">
      <c r="A1483" s="39">
        <f>A1482</f>
        <v>45868</v>
      </c>
      <c r="B1483" s="40" t="s">
        <v>485</v>
      </c>
      <c r="C1483" s="40" t="s">
        <v>46</v>
      </c>
      <c r="D1483" s="41">
        <v>-218</v>
      </c>
      <c r="E1483" s="43" t="s">
        <v>487</v>
      </c>
      <c r="F1483" s="42" t="s">
        <v>0</v>
      </c>
    </row>
    <row r="1484" spans="1:6">
      <c r="A1484" s="39">
        <f>A1483</f>
        <v>45868</v>
      </c>
      <c r="B1484" s="40" t="s">
        <v>116</v>
      </c>
      <c r="C1484" s="40" t="s">
        <v>46</v>
      </c>
      <c r="D1484" s="41">
        <v>218</v>
      </c>
      <c r="E1484" s="43" t="s">
        <v>487</v>
      </c>
      <c r="F1484" s="42" t="s">
        <v>0</v>
      </c>
    </row>
    <row r="1485" spans="1:6">
      <c r="A1485" s="39">
        <f>A1484</f>
        <v>45868</v>
      </c>
      <c r="B1485" s="40" t="s">
        <v>485</v>
      </c>
      <c r="C1485" s="40" t="s">
        <v>34</v>
      </c>
      <c r="D1485" s="41">
        <v>-81.900000000000006</v>
      </c>
      <c r="E1485" s="43" t="str">
        <f>C1485</f>
        <v>Intereses</v>
      </c>
      <c r="F1485" s="42" t="s">
        <v>0</v>
      </c>
    </row>
    <row r="1486" spans="1:6">
      <c r="A1486" s="39">
        <f>A1485</f>
        <v>45868</v>
      </c>
      <c r="B1486" s="40" t="s">
        <v>485</v>
      </c>
      <c r="C1486" s="40" t="s">
        <v>46</v>
      </c>
      <c r="D1486" s="41">
        <v>-267.54000000000002</v>
      </c>
      <c r="E1486" s="43" t="s">
        <v>488</v>
      </c>
      <c r="F1486" s="42" t="s">
        <v>0</v>
      </c>
    </row>
    <row r="1487" spans="1:6">
      <c r="A1487" s="39">
        <f>A1486</f>
        <v>45868</v>
      </c>
      <c r="B1487" s="40" t="s">
        <v>116</v>
      </c>
      <c r="C1487" s="40" t="s">
        <v>46</v>
      </c>
      <c r="D1487" s="41">
        <v>267.54000000000002</v>
      </c>
      <c r="E1487" s="43" t="s">
        <v>488</v>
      </c>
      <c r="F1487" s="42" t="s">
        <v>0</v>
      </c>
    </row>
    <row r="1488" spans="1:6">
      <c r="A1488" s="39">
        <f>A1487</f>
        <v>45868</v>
      </c>
      <c r="B1488" s="40" t="s">
        <v>485</v>
      </c>
      <c r="C1488" s="40" t="s">
        <v>34</v>
      </c>
      <c r="D1488" s="41">
        <v>-31.46</v>
      </c>
      <c r="E1488" s="43" t="str">
        <f>C1488</f>
        <v>Intereses</v>
      </c>
      <c r="F1488" s="42" t="s">
        <v>0</v>
      </c>
    </row>
    <row r="1489" spans="1:6">
      <c r="A1489" s="39">
        <f>A1488</f>
        <v>45868</v>
      </c>
      <c r="B1489" s="40" t="s">
        <v>485</v>
      </c>
      <c r="C1489" s="40" t="s">
        <v>46</v>
      </c>
      <c r="D1489" s="41">
        <v>-270.89</v>
      </c>
      <c r="E1489" s="43" t="s">
        <v>489</v>
      </c>
      <c r="F1489" s="42" t="s">
        <v>0</v>
      </c>
    </row>
    <row r="1490" spans="1:6">
      <c r="A1490" s="39">
        <f>A1489</f>
        <v>45868</v>
      </c>
      <c r="B1490" s="40" t="s">
        <v>116</v>
      </c>
      <c r="C1490" s="40" t="s">
        <v>46</v>
      </c>
      <c r="D1490" s="41">
        <v>270.89</v>
      </c>
      <c r="E1490" s="43" t="s">
        <v>489</v>
      </c>
      <c r="F1490" s="42" t="s">
        <v>0</v>
      </c>
    </row>
    <row r="1491" spans="1:6">
      <c r="A1491" s="39">
        <f>A1490</f>
        <v>45868</v>
      </c>
      <c r="B1491" s="40" t="s">
        <v>485</v>
      </c>
      <c r="C1491" s="40" t="s">
        <v>34</v>
      </c>
      <c r="D1491" s="41">
        <v>-28.11</v>
      </c>
      <c r="E1491" s="43" t="str">
        <f>C1491</f>
        <v>Intereses</v>
      </c>
      <c r="F1491" s="42" t="s">
        <v>0</v>
      </c>
    </row>
    <row r="1492" spans="1:6">
      <c r="A1492" s="39">
        <f>A1491</f>
        <v>45868</v>
      </c>
      <c r="B1492" s="40" t="s">
        <v>485</v>
      </c>
      <c r="C1492" s="40" t="s">
        <v>46</v>
      </c>
      <c r="D1492" s="41">
        <v>-284.26</v>
      </c>
      <c r="E1492" s="43" t="s">
        <v>490</v>
      </c>
      <c r="F1492" s="42" t="s">
        <v>0</v>
      </c>
    </row>
    <row r="1493" spans="1:6">
      <c r="A1493" s="39">
        <f>A1492</f>
        <v>45868</v>
      </c>
      <c r="B1493" s="40" t="s">
        <v>116</v>
      </c>
      <c r="C1493" s="40" t="s">
        <v>46</v>
      </c>
      <c r="D1493" s="41">
        <v>284.26</v>
      </c>
      <c r="E1493" s="43" t="s">
        <v>490</v>
      </c>
      <c r="F1493" s="42" t="s">
        <v>0</v>
      </c>
    </row>
    <row r="1494" spans="1:6">
      <c r="A1494" s="39">
        <f>A1493</f>
        <v>45868</v>
      </c>
      <c r="B1494" s="40" t="s">
        <v>485</v>
      </c>
      <c r="C1494" s="40" t="s">
        <v>34</v>
      </c>
      <c r="D1494" s="41">
        <v>-14.74</v>
      </c>
      <c r="E1494" s="43" t="str">
        <f>C1494</f>
        <v>Intereses</v>
      </c>
      <c r="F1494" s="42" t="s">
        <v>0</v>
      </c>
    </row>
    <row r="1495" spans="1:6">
      <c r="A1495" s="39">
        <f>A1494</f>
        <v>45868</v>
      </c>
      <c r="B1495" s="40" t="s">
        <v>485</v>
      </c>
      <c r="C1495" s="40" t="s">
        <v>46</v>
      </c>
      <c r="D1495" s="41">
        <v>-291.97000000000003</v>
      </c>
      <c r="E1495" s="43" t="s">
        <v>491</v>
      </c>
      <c r="F1495" s="42" t="s">
        <v>0</v>
      </c>
    </row>
    <row r="1496" spans="1:6">
      <c r="A1496" s="39">
        <f>A1495</f>
        <v>45868</v>
      </c>
      <c r="B1496" s="40" t="s">
        <v>116</v>
      </c>
      <c r="C1496" s="40" t="s">
        <v>46</v>
      </c>
      <c r="D1496" s="41">
        <v>291.97000000000003</v>
      </c>
      <c r="E1496" s="43" t="s">
        <v>491</v>
      </c>
      <c r="F1496" s="42" t="s">
        <v>0</v>
      </c>
    </row>
    <row r="1497" spans="1:6">
      <c r="A1497" s="39">
        <f>A1496</f>
        <v>45868</v>
      </c>
      <c r="B1497" s="40" t="s">
        <v>485</v>
      </c>
      <c r="C1497" s="40" t="s">
        <v>34</v>
      </c>
      <c r="D1497" s="41">
        <v>-7.03</v>
      </c>
      <c r="E1497" s="43" t="str">
        <f>C1497</f>
        <v>Intereses</v>
      </c>
      <c r="F1497" s="42" t="s">
        <v>0</v>
      </c>
    </row>
    <row r="1498" spans="1:6">
      <c r="A1498" s="39">
        <f>A1497</f>
        <v>45868</v>
      </c>
      <c r="B1498" s="40" t="s">
        <v>485</v>
      </c>
      <c r="C1498" s="40" t="s">
        <v>46</v>
      </c>
      <c r="D1498" s="41">
        <v>-298.02</v>
      </c>
      <c r="E1498" s="43" t="s">
        <v>492</v>
      </c>
      <c r="F1498" s="42" t="s">
        <v>0</v>
      </c>
    </row>
    <row r="1499" spans="1:6">
      <c r="A1499" s="39">
        <f>A1498</f>
        <v>45868</v>
      </c>
      <c r="B1499" s="40" t="s">
        <v>116</v>
      </c>
      <c r="C1499" s="40" t="s">
        <v>46</v>
      </c>
      <c r="D1499" s="41">
        <v>298.02</v>
      </c>
      <c r="E1499" s="43" t="s">
        <v>492</v>
      </c>
      <c r="F1499" s="42" t="s">
        <v>0</v>
      </c>
    </row>
    <row r="1500" spans="1:6">
      <c r="A1500" s="39">
        <f>A1499</f>
        <v>45868</v>
      </c>
      <c r="B1500" s="40" t="s">
        <v>485</v>
      </c>
      <c r="C1500" s="40" t="s">
        <v>34</v>
      </c>
      <c r="D1500" s="41">
        <v>-0.98</v>
      </c>
      <c r="E1500" s="43" t="str">
        <f>C1500</f>
        <v>Intereses</v>
      </c>
      <c r="F1500" s="42" t="s">
        <v>0</v>
      </c>
    </row>
    <row r="1501" spans="1:6">
      <c r="A1501" s="39">
        <f>A1500</f>
        <v>45868</v>
      </c>
      <c r="B1501" s="40" t="s">
        <v>485</v>
      </c>
      <c r="C1501" s="40" t="s">
        <v>46</v>
      </c>
      <c r="D1501" s="41">
        <v>-335.98</v>
      </c>
      <c r="E1501" s="43" t="s">
        <v>493</v>
      </c>
      <c r="F1501" s="42" t="s">
        <v>0</v>
      </c>
    </row>
    <row r="1502" spans="1:6">
      <c r="A1502" s="39">
        <f>A1501</f>
        <v>45868</v>
      </c>
      <c r="B1502" s="40" t="s">
        <v>116</v>
      </c>
      <c r="C1502" s="40" t="s">
        <v>46</v>
      </c>
      <c r="D1502" s="41">
        <v>335.98</v>
      </c>
      <c r="E1502" s="43" t="s">
        <v>493</v>
      </c>
      <c r="F1502" s="42" t="s">
        <v>0</v>
      </c>
    </row>
    <row r="1503" spans="1:6">
      <c r="A1503" s="39">
        <f>A1502</f>
        <v>45868</v>
      </c>
      <c r="B1503" s="40" t="s">
        <v>485</v>
      </c>
      <c r="C1503" s="40" t="s">
        <v>34</v>
      </c>
      <c r="D1503" s="41">
        <v>36.979999999999997</v>
      </c>
      <c r="E1503" s="43" t="str">
        <f>C1503</f>
        <v>Intereses</v>
      </c>
      <c r="F1503" s="42" t="s">
        <v>0</v>
      </c>
    </row>
    <row r="1504" spans="1:6">
      <c r="A1504" s="39">
        <f>A1503</f>
        <v>45868</v>
      </c>
      <c r="B1504" s="40" t="s">
        <v>485</v>
      </c>
      <c r="C1504" s="40" t="s">
        <v>46</v>
      </c>
      <c r="D1504" s="41">
        <v>-345.65</v>
      </c>
      <c r="E1504" s="43" t="s">
        <v>494</v>
      </c>
      <c r="F1504" s="42" t="s">
        <v>0</v>
      </c>
    </row>
    <row r="1505" spans="1:6">
      <c r="A1505" s="39">
        <f>A1504</f>
        <v>45868</v>
      </c>
      <c r="B1505" s="40" t="s">
        <v>116</v>
      </c>
      <c r="C1505" s="40" t="s">
        <v>46</v>
      </c>
      <c r="D1505" s="41">
        <v>345.65</v>
      </c>
      <c r="E1505" s="43" t="s">
        <v>494</v>
      </c>
      <c r="F1505" s="42" t="s">
        <v>0</v>
      </c>
    </row>
    <row r="1506" spans="1:6">
      <c r="A1506" s="39">
        <f>A1505</f>
        <v>45868</v>
      </c>
      <c r="B1506" s="40" t="s">
        <v>485</v>
      </c>
      <c r="C1506" s="40" t="s">
        <v>34</v>
      </c>
      <c r="D1506" s="41">
        <v>46.65</v>
      </c>
      <c r="E1506" s="43" t="str">
        <f>C1506</f>
        <v>Intereses</v>
      </c>
      <c r="F1506" s="42" t="s">
        <v>0</v>
      </c>
    </row>
    <row r="1507" spans="1:6">
      <c r="A1507" s="39">
        <f>A1506</f>
        <v>45868</v>
      </c>
      <c r="B1507" s="40" t="s">
        <v>485</v>
      </c>
      <c r="C1507" s="40" t="s">
        <v>46</v>
      </c>
      <c r="D1507" s="41">
        <v>-373.99</v>
      </c>
      <c r="E1507" s="43" t="s">
        <v>495</v>
      </c>
      <c r="F1507" s="42" t="s">
        <v>0</v>
      </c>
    </row>
    <row r="1508" spans="1:6">
      <c r="A1508" s="39">
        <f>A1507</f>
        <v>45868</v>
      </c>
      <c r="B1508" s="40" t="s">
        <v>116</v>
      </c>
      <c r="C1508" s="40" t="s">
        <v>46</v>
      </c>
      <c r="D1508" s="41">
        <v>373.99</v>
      </c>
      <c r="E1508" s="43" t="s">
        <v>495</v>
      </c>
      <c r="F1508" s="42" t="s">
        <v>0</v>
      </c>
    </row>
    <row r="1509" spans="1:6">
      <c r="A1509" s="39">
        <f>A1508</f>
        <v>45868</v>
      </c>
      <c r="B1509" s="40" t="s">
        <v>485</v>
      </c>
      <c r="C1509" s="40" t="s">
        <v>34</v>
      </c>
      <c r="D1509" s="41">
        <v>74.989999999999995</v>
      </c>
      <c r="E1509" s="43" t="str">
        <f>C1509</f>
        <v>Intereses</v>
      </c>
      <c r="F1509" s="42" t="s">
        <v>0</v>
      </c>
    </row>
    <row r="1510" spans="1:6">
      <c r="A1510" s="39">
        <v>45868</v>
      </c>
      <c r="B1510" s="40" t="s">
        <v>256</v>
      </c>
      <c r="C1510" s="40" t="s">
        <v>54</v>
      </c>
      <c r="D1510" s="41">
        <v>-80</v>
      </c>
      <c r="E1510" s="43" t="s">
        <v>241</v>
      </c>
      <c r="F1510" s="42" t="s">
        <v>1</v>
      </c>
    </row>
    <row r="1511" spans="1:6">
      <c r="A1511" s="39">
        <v>45868</v>
      </c>
      <c r="B1511" s="40" t="s">
        <v>450</v>
      </c>
      <c r="C1511" s="40" t="s">
        <v>46</v>
      </c>
      <c r="D1511" s="41">
        <v>-500</v>
      </c>
      <c r="E1511" s="43" t="s">
        <v>46</v>
      </c>
      <c r="F1511" s="42" t="s">
        <v>1</v>
      </c>
    </row>
    <row r="1512" spans="1:6">
      <c r="A1512" s="39">
        <v>45868</v>
      </c>
      <c r="B1512" s="40" t="s">
        <v>496</v>
      </c>
      <c r="C1512" s="40" t="s">
        <v>46</v>
      </c>
      <c r="D1512" s="41">
        <v>500</v>
      </c>
      <c r="E1512" s="43" t="s">
        <v>497</v>
      </c>
      <c r="F1512" s="42" t="s">
        <v>1</v>
      </c>
    </row>
    <row r="1513" spans="1:6">
      <c r="A1513" s="39">
        <v>45868</v>
      </c>
      <c r="B1513" s="40" t="s">
        <v>446</v>
      </c>
      <c r="C1513" s="40" t="s">
        <v>46</v>
      </c>
      <c r="D1513" s="41">
        <v>-1000</v>
      </c>
      <c r="E1513" s="43" t="s">
        <v>46</v>
      </c>
      <c r="F1513" s="42" t="s">
        <v>1</v>
      </c>
    </row>
    <row r="1514" spans="1:6">
      <c r="A1514" s="39">
        <v>45868</v>
      </c>
      <c r="B1514" s="40" t="s">
        <v>450</v>
      </c>
      <c r="C1514" s="40" t="s">
        <v>46</v>
      </c>
      <c r="D1514" s="41">
        <v>1000</v>
      </c>
      <c r="E1514" s="43" t="s">
        <v>46</v>
      </c>
      <c r="F1514" s="42" t="s">
        <v>1</v>
      </c>
    </row>
    <row r="1515" spans="1:6">
      <c r="A1515" s="39">
        <v>45869</v>
      </c>
      <c r="B1515" s="40" t="s">
        <v>448</v>
      </c>
      <c r="C1515" s="40" t="s">
        <v>46</v>
      </c>
      <c r="D1515" s="41">
        <v>-1000</v>
      </c>
      <c r="E1515" s="43" t="s">
        <v>46</v>
      </c>
      <c r="F1515" s="42" t="s">
        <v>1</v>
      </c>
    </row>
    <row r="1516" spans="1:6">
      <c r="A1516" s="39">
        <v>45869</v>
      </c>
      <c r="B1516" s="40" t="s">
        <v>446</v>
      </c>
      <c r="C1516" s="40" t="s">
        <v>46</v>
      </c>
      <c r="D1516" s="41">
        <v>1000</v>
      </c>
      <c r="E1516" s="43" t="s">
        <v>46</v>
      </c>
      <c r="F1516" s="42" t="s">
        <v>1</v>
      </c>
    </row>
    <row r="1517" spans="1:6">
      <c r="A1517" s="39">
        <v>45869</v>
      </c>
      <c r="B1517" s="40" t="s">
        <v>446</v>
      </c>
      <c r="C1517" s="40" t="s">
        <v>46</v>
      </c>
      <c r="D1517" s="41">
        <v>-193.72</v>
      </c>
      <c r="E1517" s="43" t="s">
        <v>46</v>
      </c>
      <c r="F1517" s="42" t="s">
        <v>1</v>
      </c>
    </row>
    <row r="1518" spans="1:6">
      <c r="A1518" s="39">
        <v>45869</v>
      </c>
      <c r="B1518" s="40" t="s">
        <v>445</v>
      </c>
      <c r="C1518" s="40" t="s">
        <v>46</v>
      </c>
      <c r="D1518" s="41">
        <v>193.72</v>
      </c>
      <c r="E1518" s="43" t="s">
        <v>46</v>
      </c>
      <c r="F1518" s="42" t="s">
        <v>1</v>
      </c>
    </row>
    <row r="1519" spans="1:6">
      <c r="A1519" s="39">
        <v>45869</v>
      </c>
      <c r="B1519" s="40" t="s">
        <v>454</v>
      </c>
      <c r="C1519" s="40" t="s">
        <v>46</v>
      </c>
      <c r="D1519" s="41">
        <v>-600</v>
      </c>
      <c r="E1519" s="43" t="str">
        <f>C1519</f>
        <v>Traspaso</v>
      </c>
      <c r="F1519" s="42" t="s">
        <v>0</v>
      </c>
    </row>
    <row r="1520" spans="1:6">
      <c r="A1520" s="39">
        <f>A1519</f>
        <v>45869</v>
      </c>
      <c r="B1520" s="40" t="s">
        <v>437</v>
      </c>
      <c r="C1520" s="40" t="s">
        <v>46</v>
      </c>
      <c r="D1520" s="41">
        <v>600</v>
      </c>
      <c r="E1520" s="43" t="str">
        <f>C1520</f>
        <v>Traspaso</v>
      </c>
      <c r="F1520" s="42" t="s">
        <v>0</v>
      </c>
    </row>
    <row r="1521" spans="1:6">
      <c r="A1521" s="39">
        <f>A1520</f>
        <v>45869</v>
      </c>
      <c r="B1521" s="40" t="s">
        <v>454</v>
      </c>
      <c r="C1521" s="40" t="s">
        <v>43</v>
      </c>
      <c r="D1521" s="41">
        <v>-35.880000000000003</v>
      </c>
      <c r="E1521" s="43" t="s">
        <v>498</v>
      </c>
      <c r="F1521" s="42" t="s">
        <v>0</v>
      </c>
    </row>
    <row r="1522" spans="1:6">
      <c r="A1522" s="39">
        <f>A1521</f>
        <v>45869</v>
      </c>
      <c r="B1522" s="40" t="s">
        <v>499</v>
      </c>
      <c r="C1522" s="40" t="s">
        <v>46</v>
      </c>
      <c r="D1522" s="41">
        <v>-1862.29</v>
      </c>
      <c r="E1522" s="43" t="str">
        <f>C1522</f>
        <v>Traspaso</v>
      </c>
      <c r="F1522" s="42" t="s">
        <v>0</v>
      </c>
    </row>
    <row r="1523" spans="1:6">
      <c r="A1523" s="39">
        <f>A1522</f>
        <v>45869</v>
      </c>
      <c r="B1523" s="40" t="s">
        <v>239</v>
      </c>
      <c r="C1523" s="40" t="s">
        <v>46</v>
      </c>
      <c r="D1523" s="41">
        <v>1862.29</v>
      </c>
      <c r="E1523" s="43" t="str">
        <f>C1523</f>
        <v>Traspaso</v>
      </c>
      <c r="F1523" s="42" t="s">
        <v>0</v>
      </c>
    </row>
    <row r="1524" spans="1:6">
      <c r="A1524" s="39">
        <v>45869</v>
      </c>
      <c r="B1524" s="40" t="s">
        <v>499</v>
      </c>
      <c r="C1524" s="40" t="s">
        <v>34</v>
      </c>
      <c r="D1524" s="41">
        <f>1862.29-1709.58</f>
        <v>152.71000000000004</v>
      </c>
      <c r="E1524" s="43" t="str">
        <f>C1524</f>
        <v>Intereses</v>
      </c>
      <c r="F1524" s="42" t="s">
        <v>0</v>
      </c>
    </row>
    <row r="1525" spans="1:6">
      <c r="A1525" s="39">
        <v>45869</v>
      </c>
      <c r="B1525" s="40" t="s">
        <v>449</v>
      </c>
      <c r="C1525" s="40" t="s">
        <v>46</v>
      </c>
      <c r="D1525" s="41">
        <v>-604</v>
      </c>
      <c r="E1525" s="43" t="str">
        <f>C1525</f>
        <v>Traspaso</v>
      </c>
      <c r="F1525" s="42" t="s">
        <v>0</v>
      </c>
    </row>
    <row r="1526" spans="1:6">
      <c r="A1526" s="39">
        <f>A1525</f>
        <v>45869</v>
      </c>
      <c r="B1526" s="40" t="s">
        <v>437</v>
      </c>
      <c r="C1526" s="40" t="s">
        <v>46</v>
      </c>
      <c r="D1526" s="41">
        <v>604</v>
      </c>
      <c r="E1526" s="43" t="str">
        <f>C1526</f>
        <v>Traspaso</v>
      </c>
      <c r="F1526" s="42" t="s">
        <v>0</v>
      </c>
    </row>
    <row r="1527" spans="1:6">
      <c r="A1527" s="39">
        <v>45869</v>
      </c>
      <c r="B1527" s="40" t="s">
        <v>454</v>
      </c>
      <c r="C1527" s="40" t="s">
        <v>41</v>
      </c>
      <c r="D1527" s="41">
        <v>-1.3</v>
      </c>
      <c r="E1527" s="43" t="str">
        <f>C1527</f>
        <v>Ocio</v>
      </c>
      <c r="F1527" s="42" t="s">
        <v>0</v>
      </c>
    </row>
    <row r="1528" spans="1:6">
      <c r="A1528" s="39">
        <f>A1527</f>
        <v>45869</v>
      </c>
      <c r="B1528" s="40" t="s">
        <v>116</v>
      </c>
      <c r="C1528" s="40" t="s">
        <v>34</v>
      </c>
      <c r="D1528" s="41">
        <v>2.2400000000000002</v>
      </c>
      <c r="E1528" s="43" t="s">
        <v>500</v>
      </c>
      <c r="F1528" s="42" t="s">
        <v>0</v>
      </c>
    </row>
    <row r="1529" spans="1:6">
      <c r="A1529" s="39">
        <v>45870</v>
      </c>
      <c r="B1529" s="40" t="s">
        <v>454</v>
      </c>
      <c r="C1529" s="40" t="s">
        <v>39</v>
      </c>
      <c r="D1529" s="41">
        <v>800</v>
      </c>
      <c r="E1529" s="43" t="s">
        <v>501</v>
      </c>
      <c r="F1529" s="42" t="s">
        <v>0</v>
      </c>
    </row>
    <row r="1530" spans="1:6">
      <c r="A1530" s="39">
        <f>A1529</f>
        <v>45870</v>
      </c>
      <c r="B1530" s="40" t="s">
        <v>239</v>
      </c>
      <c r="C1530" s="40" t="s">
        <v>34</v>
      </c>
      <c r="D1530" s="41">
        <f>2.43-0.46</f>
        <v>1.9700000000000002</v>
      </c>
      <c r="E1530" s="43" t="str">
        <f>C1530</f>
        <v>Intereses</v>
      </c>
      <c r="F1530" s="42" t="s">
        <v>0</v>
      </c>
    </row>
    <row r="1531" spans="1:6">
      <c r="A1531" s="39">
        <f>A1530</f>
        <v>45870</v>
      </c>
      <c r="B1531" s="40" t="s">
        <v>502</v>
      </c>
      <c r="C1531" s="40" t="s">
        <v>34</v>
      </c>
      <c r="D1531" s="41">
        <v>0.03</v>
      </c>
      <c r="E1531" s="43" t="str">
        <f>C1531</f>
        <v>Intereses</v>
      </c>
      <c r="F1531" s="42" t="s">
        <v>0</v>
      </c>
    </row>
    <row r="1532" spans="1:6">
      <c r="A1532" s="39">
        <v>45870</v>
      </c>
      <c r="B1532" s="40" t="s">
        <v>450</v>
      </c>
      <c r="C1532" s="40" t="s">
        <v>463</v>
      </c>
      <c r="D1532" s="41">
        <v>4</v>
      </c>
      <c r="E1532" s="43" t="s">
        <v>503</v>
      </c>
      <c r="F1532" s="42" t="s">
        <v>1</v>
      </c>
    </row>
    <row r="1533" spans="1:6">
      <c r="A1533" s="39">
        <v>45870</v>
      </c>
      <c r="B1533" s="40" t="s">
        <v>504</v>
      </c>
      <c r="C1533" s="40" t="s">
        <v>34</v>
      </c>
      <c r="D1533" s="41">
        <v>36.94</v>
      </c>
      <c r="E1533" s="43" t="s">
        <v>49</v>
      </c>
      <c r="F1533" s="42" t="s">
        <v>1</v>
      </c>
    </row>
    <row r="1534" spans="1:6">
      <c r="A1534" s="39">
        <v>45870</v>
      </c>
      <c r="B1534" s="40" t="s">
        <v>445</v>
      </c>
      <c r="C1534" s="40" t="s">
        <v>36</v>
      </c>
      <c r="D1534" s="41">
        <v>-6.82</v>
      </c>
      <c r="E1534" s="43" t="s">
        <v>133</v>
      </c>
      <c r="F1534" s="42" t="s">
        <v>38</v>
      </c>
    </row>
    <row r="1535" spans="1:6">
      <c r="A1535" s="39">
        <f>A1531</f>
        <v>45870</v>
      </c>
      <c r="B1535" s="40" t="s">
        <v>256</v>
      </c>
      <c r="C1535" s="40" t="s">
        <v>319</v>
      </c>
      <c r="D1535" s="41">
        <v>-12.74</v>
      </c>
      <c r="E1535" s="43" t="s">
        <v>381</v>
      </c>
      <c r="F1535" s="42" t="s">
        <v>1</v>
      </c>
    </row>
    <row r="1536" spans="1:6">
      <c r="A1536" s="39">
        <v>45870</v>
      </c>
      <c r="B1536" s="40" t="s">
        <v>256</v>
      </c>
      <c r="C1536" s="40" t="s">
        <v>41</v>
      </c>
      <c r="D1536" s="41">
        <v>-190</v>
      </c>
      <c r="E1536" s="43" t="s">
        <v>505</v>
      </c>
      <c r="F1536" s="42" t="s">
        <v>38</v>
      </c>
    </row>
    <row r="1537" spans="1:6">
      <c r="A1537" s="39">
        <v>45870</v>
      </c>
      <c r="B1537" s="40" t="s">
        <v>454</v>
      </c>
      <c r="C1537" s="40" t="s">
        <v>43</v>
      </c>
      <c r="D1537" s="41">
        <v>-100</v>
      </c>
      <c r="E1537" s="43" t="s">
        <v>456</v>
      </c>
      <c r="F1537" s="42" t="s">
        <v>38</v>
      </c>
    </row>
    <row r="1538" spans="1:6">
      <c r="A1538" s="39">
        <f>A1535</f>
        <v>45870</v>
      </c>
      <c r="B1538" s="40" t="s">
        <v>256</v>
      </c>
      <c r="C1538" s="40" t="s">
        <v>34</v>
      </c>
      <c r="D1538" s="41">
        <v>67.06</v>
      </c>
      <c r="E1538" s="43" t="str">
        <f>C1538</f>
        <v>Intereses</v>
      </c>
      <c r="F1538" s="42" t="s">
        <v>1</v>
      </c>
    </row>
    <row r="1539" spans="1:6">
      <c r="A1539" s="39">
        <f>A1538</f>
        <v>45870</v>
      </c>
      <c r="B1539" s="40" t="s">
        <v>450</v>
      </c>
      <c r="C1539" s="40" t="s">
        <v>34</v>
      </c>
      <c r="D1539" s="41">
        <v>0.4</v>
      </c>
      <c r="E1539" s="43" t="str">
        <f>C1539</f>
        <v>Intereses</v>
      </c>
      <c r="F1539" s="42" t="s">
        <v>1</v>
      </c>
    </row>
    <row r="1540" spans="1:6">
      <c r="A1540" s="39">
        <f>A1539</f>
        <v>45870</v>
      </c>
      <c r="B1540" s="40" t="s">
        <v>446</v>
      </c>
      <c r="C1540" s="40" t="s">
        <v>54</v>
      </c>
      <c r="D1540" s="41">
        <v>-57.71</v>
      </c>
      <c r="E1540" s="43" t="s">
        <v>123</v>
      </c>
      <c r="F1540" s="42" t="s">
        <v>1</v>
      </c>
    </row>
    <row r="1541" spans="1:6">
      <c r="A1541" s="39">
        <f>A1540</f>
        <v>45870</v>
      </c>
      <c r="B1541" s="40" t="s">
        <v>454</v>
      </c>
      <c r="C1541" s="40" t="s">
        <v>41</v>
      </c>
      <c r="D1541" s="41">
        <v>-1.3</v>
      </c>
      <c r="E1541" s="43" t="str">
        <f>C1541</f>
        <v>Ocio</v>
      </c>
      <c r="F1541" s="42" t="s">
        <v>0</v>
      </c>
    </row>
    <row r="1542" spans="1:6">
      <c r="A1542" s="39">
        <f>A1541</f>
        <v>45870</v>
      </c>
      <c r="B1542" s="40" t="s">
        <v>116</v>
      </c>
      <c r="C1542" s="40" t="s">
        <v>34</v>
      </c>
      <c r="D1542" s="41">
        <v>2.5499999999999998</v>
      </c>
      <c r="E1542" s="43" t="str">
        <f>C1542</f>
        <v>Intereses</v>
      </c>
      <c r="F1542" s="42" t="s">
        <v>0</v>
      </c>
    </row>
    <row r="1543" spans="1:6">
      <c r="A1543" s="39">
        <v>45871</v>
      </c>
      <c r="B1543" s="40" t="s">
        <v>239</v>
      </c>
      <c r="C1543" s="40" t="s">
        <v>46</v>
      </c>
      <c r="D1543" s="41">
        <v>-1300</v>
      </c>
      <c r="E1543" s="43" t="s">
        <v>46</v>
      </c>
      <c r="F1543" s="42" t="s">
        <v>0</v>
      </c>
    </row>
    <row r="1544" spans="1:6">
      <c r="A1544" s="39">
        <v>45871</v>
      </c>
      <c r="B1544" s="40" t="s">
        <v>499</v>
      </c>
      <c r="C1544" s="40" t="s">
        <v>46</v>
      </c>
      <c r="D1544" s="41">
        <v>1300</v>
      </c>
      <c r="E1544" s="43" t="s">
        <v>46</v>
      </c>
      <c r="F1544" s="42" t="s">
        <v>0</v>
      </c>
    </row>
    <row r="1545" spans="1:6">
      <c r="A1545" s="39">
        <v>45871</v>
      </c>
      <c r="B1545" s="40" t="s">
        <v>445</v>
      </c>
      <c r="C1545" s="40" t="s">
        <v>41</v>
      </c>
      <c r="D1545" s="41">
        <v>-17</v>
      </c>
      <c r="E1545" s="43" t="s">
        <v>506</v>
      </c>
      <c r="F1545" s="42" t="s">
        <v>38</v>
      </c>
    </row>
    <row r="1546" spans="1:6">
      <c r="A1546" s="39">
        <v>45871</v>
      </c>
      <c r="B1546" s="40" t="s">
        <v>116</v>
      </c>
      <c r="C1546" s="40" t="s">
        <v>46</v>
      </c>
      <c r="D1546" s="41">
        <v>-500</v>
      </c>
      <c r="E1546" s="43" t="s">
        <v>46</v>
      </c>
      <c r="F1546" s="42" t="s">
        <v>0</v>
      </c>
    </row>
    <row r="1547" spans="1:6">
      <c r="A1547" s="39">
        <v>45871</v>
      </c>
      <c r="B1547" s="40" t="s">
        <v>478</v>
      </c>
      <c r="C1547" s="40" t="s">
        <v>46</v>
      </c>
      <c r="D1547" s="41">
        <v>500</v>
      </c>
      <c r="E1547" s="43" t="s">
        <v>46</v>
      </c>
      <c r="F1547" s="42" t="s">
        <v>0</v>
      </c>
    </row>
    <row r="1548" spans="1:6">
      <c r="A1548" s="39">
        <v>45871</v>
      </c>
      <c r="B1548" s="40" t="s">
        <v>116</v>
      </c>
      <c r="C1548" s="40" t="s">
        <v>46</v>
      </c>
      <c r="D1548" s="41">
        <v>-500</v>
      </c>
      <c r="E1548" s="43" t="s">
        <v>46</v>
      </c>
      <c r="F1548" s="42" t="s">
        <v>0</v>
      </c>
    </row>
    <row r="1549" spans="1:6">
      <c r="A1549" s="39">
        <v>45871</v>
      </c>
      <c r="B1549" s="40" t="s">
        <v>471</v>
      </c>
      <c r="C1549" s="40" t="s">
        <v>46</v>
      </c>
      <c r="D1549" s="41">
        <v>500</v>
      </c>
      <c r="E1549" s="43" t="s">
        <v>46</v>
      </c>
      <c r="F1549" s="42" t="s">
        <v>0</v>
      </c>
    </row>
    <row r="1550" spans="1:6">
      <c r="A1550" s="39">
        <v>45872</v>
      </c>
      <c r="B1550" s="40" t="s">
        <v>256</v>
      </c>
      <c r="C1550" s="40" t="s">
        <v>54</v>
      </c>
      <c r="D1550" s="41">
        <v>-58.96</v>
      </c>
      <c r="E1550" s="43" t="s">
        <v>507</v>
      </c>
      <c r="F1550" s="42" t="s">
        <v>1</v>
      </c>
    </row>
    <row r="1551" spans="1:6">
      <c r="A1551" s="39">
        <v>45873</v>
      </c>
      <c r="B1551" s="40" t="s">
        <v>446</v>
      </c>
      <c r="C1551" s="40" t="s">
        <v>463</v>
      </c>
      <c r="D1551" s="41">
        <v>100</v>
      </c>
      <c r="E1551" s="43" t="s">
        <v>126</v>
      </c>
      <c r="F1551" s="42" t="s">
        <v>38</v>
      </c>
    </row>
    <row r="1552" spans="1:6">
      <c r="A1552" s="39">
        <v>45873</v>
      </c>
      <c r="B1552" s="40" t="s">
        <v>446</v>
      </c>
      <c r="C1552" s="40" t="s">
        <v>461</v>
      </c>
      <c r="D1552" s="41">
        <v>-10.48</v>
      </c>
      <c r="E1552" s="43" t="s">
        <v>80</v>
      </c>
      <c r="F1552" s="42" t="s">
        <v>1</v>
      </c>
    </row>
    <row r="1553" spans="1:6">
      <c r="A1553" s="39">
        <v>45873</v>
      </c>
      <c r="B1553" s="40" t="s">
        <v>504</v>
      </c>
      <c r="C1553" s="40" t="s">
        <v>46</v>
      </c>
      <c r="D1553" s="41">
        <v>-70</v>
      </c>
      <c r="E1553" s="43" t="s">
        <v>46</v>
      </c>
      <c r="F1553" s="42" t="s">
        <v>1</v>
      </c>
    </row>
    <row r="1554" spans="1:6">
      <c r="A1554" s="39">
        <v>45873</v>
      </c>
      <c r="B1554" s="40" t="s">
        <v>201</v>
      </c>
      <c r="C1554" s="40" t="s">
        <v>46</v>
      </c>
      <c r="D1554" s="41">
        <v>70</v>
      </c>
      <c r="E1554" s="43" t="s">
        <v>46</v>
      </c>
      <c r="F1554" s="42" t="s">
        <v>1</v>
      </c>
    </row>
    <row r="1555" spans="1:6">
      <c r="A1555" s="39">
        <v>45873</v>
      </c>
      <c r="B1555" s="40" t="s">
        <v>454</v>
      </c>
      <c r="C1555" s="40" t="s">
        <v>41</v>
      </c>
      <c r="D1555" s="41">
        <v>-1.3</v>
      </c>
      <c r="E1555" s="43" t="str">
        <f>C1555</f>
        <v>Ocio</v>
      </c>
      <c r="F1555" s="42" t="s">
        <v>0</v>
      </c>
    </row>
    <row r="1556" spans="1:6">
      <c r="A1556" s="39">
        <f>A1555</f>
        <v>45873</v>
      </c>
      <c r="B1556" s="40" t="s">
        <v>116</v>
      </c>
      <c r="C1556" s="40" t="s">
        <v>46</v>
      </c>
      <c r="D1556" s="41">
        <v>-1800</v>
      </c>
      <c r="E1556" s="43" t="str">
        <f>C1556</f>
        <v>Traspaso</v>
      </c>
      <c r="F1556" s="42" t="s">
        <v>0</v>
      </c>
    </row>
    <row r="1557" spans="1:6">
      <c r="A1557" s="39">
        <f>A1556</f>
        <v>45873</v>
      </c>
      <c r="B1557" s="40" t="s">
        <v>508</v>
      </c>
      <c r="C1557" s="40" t="s">
        <v>46</v>
      </c>
      <c r="D1557" s="41">
        <v>1800</v>
      </c>
      <c r="E1557" s="43" t="str">
        <f>C1557</f>
        <v>Traspaso</v>
      </c>
      <c r="F1557" s="42" t="s">
        <v>0</v>
      </c>
    </row>
    <row r="1558" spans="1:6">
      <c r="A1558" s="39">
        <f>A1557</f>
        <v>45873</v>
      </c>
      <c r="B1558" s="40" t="s">
        <v>454</v>
      </c>
      <c r="C1558" s="40" t="s">
        <v>46</v>
      </c>
      <c r="D1558" s="41">
        <v>-499.44</v>
      </c>
      <c r="E1558" s="43" t="str">
        <f>C1558</f>
        <v>Traspaso</v>
      </c>
      <c r="F1558" s="42" t="s">
        <v>0</v>
      </c>
    </row>
    <row r="1559" spans="1:6">
      <c r="A1559" s="39">
        <f>A1558</f>
        <v>45873</v>
      </c>
      <c r="B1559" s="40" t="s">
        <v>481</v>
      </c>
      <c r="C1559" s="40" t="s">
        <v>46</v>
      </c>
      <c r="D1559" s="41">
        <v>499.44</v>
      </c>
      <c r="E1559" s="43" t="str">
        <f>C1559</f>
        <v>Traspaso</v>
      </c>
      <c r="F1559" s="42" t="s">
        <v>0</v>
      </c>
    </row>
    <row r="1560" spans="1:6">
      <c r="A1560" s="39">
        <v>45873</v>
      </c>
      <c r="B1560" s="40" t="s">
        <v>454</v>
      </c>
      <c r="C1560" s="40" t="s">
        <v>46</v>
      </c>
      <c r="D1560" s="41">
        <v>-499.44</v>
      </c>
      <c r="E1560" s="43" t="str">
        <f>C1560</f>
        <v>Traspaso</v>
      </c>
      <c r="F1560" s="42" t="s">
        <v>0</v>
      </c>
    </row>
    <row r="1561" spans="1:6">
      <c r="A1561" s="39">
        <f>A1560</f>
        <v>45873</v>
      </c>
      <c r="B1561" s="40" t="s">
        <v>481</v>
      </c>
      <c r="C1561" s="40" t="s">
        <v>46</v>
      </c>
      <c r="D1561" s="41">
        <v>499.44</v>
      </c>
      <c r="E1561" s="43" t="str">
        <f>C1561</f>
        <v>Traspaso</v>
      </c>
      <c r="F1561" s="42" t="s">
        <v>0</v>
      </c>
    </row>
    <row r="1562" spans="1:6">
      <c r="A1562" s="39">
        <f>A1561</f>
        <v>45873</v>
      </c>
      <c r="B1562" s="40" t="s">
        <v>454</v>
      </c>
      <c r="C1562" s="40" t="s">
        <v>54</v>
      </c>
      <c r="D1562" s="41">
        <v>-2.2799999999999998</v>
      </c>
      <c r="E1562" s="43" t="s">
        <v>509</v>
      </c>
      <c r="F1562" s="42" t="s">
        <v>0</v>
      </c>
    </row>
    <row r="1563" spans="1:6">
      <c r="A1563" s="39">
        <v>45873</v>
      </c>
      <c r="B1563" s="40" t="s">
        <v>454</v>
      </c>
      <c r="C1563" s="40" t="s">
        <v>36</v>
      </c>
      <c r="D1563" s="41">
        <v>-83.95</v>
      </c>
      <c r="E1563" s="43" t="str">
        <f>C1563</f>
        <v>Comida</v>
      </c>
      <c r="F1563" s="42" t="s">
        <v>38</v>
      </c>
    </row>
    <row r="1564" spans="1:6">
      <c r="A1564" s="39">
        <f>A1563</f>
        <v>45873</v>
      </c>
      <c r="B1564" s="40" t="s">
        <v>454</v>
      </c>
      <c r="C1564" s="40" t="s">
        <v>54</v>
      </c>
      <c r="D1564" s="41">
        <v>-37.950000000000003</v>
      </c>
      <c r="E1564" s="43" t="str">
        <f>C1564</f>
        <v>Medicamentos</v>
      </c>
      <c r="F1564" s="42" t="s">
        <v>0</v>
      </c>
    </row>
    <row r="1565" spans="1:6">
      <c r="A1565" s="39">
        <v>45873</v>
      </c>
      <c r="B1565" s="40" t="s">
        <v>471</v>
      </c>
      <c r="C1565" s="40" t="s">
        <v>510</v>
      </c>
      <c r="D1565" s="41">
        <v>-41.47</v>
      </c>
      <c r="E1565" s="43" t="s">
        <v>511</v>
      </c>
      <c r="F1565" s="42" t="s">
        <v>38</v>
      </c>
    </row>
    <row r="1566" spans="1:6">
      <c r="A1566" s="39">
        <v>45874</v>
      </c>
      <c r="B1566" s="40" t="s">
        <v>454</v>
      </c>
      <c r="C1566" s="40" t="s">
        <v>41</v>
      </c>
      <c r="D1566" s="41">
        <v>-1.3</v>
      </c>
      <c r="E1566" s="43" t="str">
        <f>C1566</f>
        <v>Ocio</v>
      </c>
      <c r="F1566" s="42" t="s">
        <v>0</v>
      </c>
    </row>
    <row r="1567" spans="1:6">
      <c r="A1567" s="39">
        <f>A1566</f>
        <v>45874</v>
      </c>
      <c r="B1567" s="40" t="s">
        <v>481</v>
      </c>
      <c r="C1567" s="40" t="s">
        <v>54</v>
      </c>
      <c r="D1567" s="41">
        <v>37.950000000000003</v>
      </c>
      <c r="E1567" s="43" t="str">
        <f>C1567</f>
        <v>Medicamentos</v>
      </c>
      <c r="F1567" s="42" t="s">
        <v>0</v>
      </c>
    </row>
    <row r="1568" spans="1:6">
      <c r="A1568" s="39">
        <f>A1567</f>
        <v>45874</v>
      </c>
      <c r="B1568" s="40" t="s">
        <v>481</v>
      </c>
      <c r="C1568" s="40" t="s">
        <v>46</v>
      </c>
      <c r="D1568" s="41">
        <v>-799.44</v>
      </c>
      <c r="E1568" s="43" t="str">
        <f>C1568</f>
        <v>Traspaso</v>
      </c>
      <c r="F1568" s="42" t="s">
        <v>0</v>
      </c>
    </row>
    <row r="1569" spans="1:6">
      <c r="A1569" s="39">
        <f>A1568</f>
        <v>45874</v>
      </c>
      <c r="B1569" s="40" t="s">
        <v>478</v>
      </c>
      <c r="C1569" s="40" t="s">
        <v>46</v>
      </c>
      <c r="D1569" s="41">
        <v>799.44</v>
      </c>
      <c r="E1569" s="43" t="str">
        <f>C1569</f>
        <v>Traspaso</v>
      </c>
      <c r="F1569" s="42" t="s">
        <v>0</v>
      </c>
    </row>
    <row r="1570" spans="1:6">
      <c r="A1570" s="39">
        <f>A1569</f>
        <v>45874</v>
      </c>
      <c r="B1570" s="40" t="s">
        <v>437</v>
      </c>
      <c r="C1570" s="40" t="s">
        <v>46</v>
      </c>
      <c r="D1570" s="41">
        <v>-600</v>
      </c>
      <c r="E1570" s="43" t="str">
        <f>C1570</f>
        <v>Traspaso</v>
      </c>
      <c r="F1570" s="42" t="s">
        <v>0</v>
      </c>
    </row>
    <row r="1571" spans="1:6">
      <c r="A1571" s="39">
        <f>A1570</f>
        <v>45874</v>
      </c>
      <c r="B1571" s="40" t="s">
        <v>438</v>
      </c>
      <c r="C1571" s="40" t="s">
        <v>46</v>
      </c>
      <c r="D1571" s="41">
        <v>600</v>
      </c>
      <c r="E1571" s="43" t="str">
        <f>C1571</f>
        <v>Traspaso</v>
      </c>
      <c r="F1571" s="42" t="s">
        <v>0</v>
      </c>
    </row>
    <row r="1572" spans="1:6">
      <c r="A1572" s="39">
        <f>A1571</f>
        <v>45874</v>
      </c>
      <c r="B1572" s="40" t="s">
        <v>446</v>
      </c>
      <c r="C1572" s="40" t="s">
        <v>60</v>
      </c>
      <c r="D1572" s="41">
        <v>-21</v>
      </c>
      <c r="E1572" s="43" t="s">
        <v>68</v>
      </c>
      <c r="F1572" s="42" t="s">
        <v>1</v>
      </c>
    </row>
    <row r="1573" spans="1:6">
      <c r="A1573" s="39">
        <f>A1572</f>
        <v>45874</v>
      </c>
      <c r="B1573" s="40" t="s">
        <v>446</v>
      </c>
      <c r="C1573" s="40" t="s">
        <v>52</v>
      </c>
      <c r="D1573" s="41">
        <v>-74</v>
      </c>
      <c r="E1573" s="43" t="s">
        <v>130</v>
      </c>
      <c r="F1573" s="42" t="s">
        <v>38</v>
      </c>
    </row>
    <row r="1574" spans="1:6">
      <c r="A1574" s="39">
        <f>A1573</f>
        <v>45874</v>
      </c>
      <c r="B1574" s="40" t="s">
        <v>446</v>
      </c>
      <c r="C1574" s="40" t="s">
        <v>54</v>
      </c>
      <c r="D1574" s="41">
        <v>-37.950000000000003</v>
      </c>
      <c r="E1574" s="43" t="s">
        <v>512</v>
      </c>
      <c r="F1574" s="42" t="s">
        <v>1</v>
      </c>
    </row>
    <row r="1575" spans="1:6">
      <c r="A1575" s="39">
        <f>A1574</f>
        <v>45874</v>
      </c>
      <c r="B1575" s="40" t="s">
        <v>450</v>
      </c>
      <c r="C1575" s="40" t="s">
        <v>46</v>
      </c>
      <c r="D1575" s="41">
        <v>-500</v>
      </c>
      <c r="E1575" s="43" t="str">
        <f>C1575</f>
        <v>Traspaso</v>
      </c>
      <c r="F1575" s="42" t="s">
        <v>1</v>
      </c>
    </row>
    <row r="1576" spans="1:6">
      <c r="A1576" s="39">
        <f>A1575</f>
        <v>45874</v>
      </c>
      <c r="B1576" s="40" t="s">
        <v>496</v>
      </c>
      <c r="C1576" s="40" t="s">
        <v>46</v>
      </c>
      <c r="D1576" s="41">
        <v>500</v>
      </c>
      <c r="E1576" s="43" t="str">
        <f>C1576</f>
        <v>Traspaso</v>
      </c>
      <c r="F1576" s="42" t="s">
        <v>1</v>
      </c>
    </row>
    <row r="1577" spans="1:6">
      <c r="A1577" s="39">
        <f>A1576</f>
        <v>45874</v>
      </c>
      <c r="B1577" s="40" t="s">
        <v>454</v>
      </c>
      <c r="C1577" s="40" t="s">
        <v>34</v>
      </c>
      <c r="D1577" s="41">
        <v>2.31</v>
      </c>
      <c r="E1577" s="43" t="str">
        <f>C1577</f>
        <v>Intereses</v>
      </c>
      <c r="F1577" s="42" t="s">
        <v>0</v>
      </c>
    </row>
    <row r="1578" spans="1:6">
      <c r="A1578" s="39">
        <f>A1577</f>
        <v>45874</v>
      </c>
      <c r="B1578" s="40" t="s">
        <v>471</v>
      </c>
      <c r="C1578" s="40" t="s">
        <v>46</v>
      </c>
      <c r="D1578" s="41">
        <v>-600</v>
      </c>
      <c r="E1578" s="43" t="str">
        <f>C1578</f>
        <v>Traspaso</v>
      </c>
      <c r="F1578" s="42" t="s">
        <v>0</v>
      </c>
    </row>
    <row r="1579" spans="1:6">
      <c r="A1579" s="39">
        <f>A1578</f>
        <v>45874</v>
      </c>
      <c r="B1579" s="40" t="s">
        <v>437</v>
      </c>
      <c r="C1579" s="40" t="s">
        <v>46</v>
      </c>
      <c r="D1579" s="41">
        <v>600</v>
      </c>
      <c r="E1579" s="43" t="str">
        <f>C1579</f>
        <v>Traspaso</v>
      </c>
      <c r="F1579" s="42" t="s">
        <v>0</v>
      </c>
    </row>
    <row r="1580" spans="1:6">
      <c r="A1580" s="39">
        <f>A1579</f>
        <v>45874</v>
      </c>
      <c r="B1580" s="40" t="s">
        <v>471</v>
      </c>
      <c r="C1580" s="40" t="s">
        <v>46</v>
      </c>
      <c r="D1580" s="41">
        <v>-100</v>
      </c>
      <c r="E1580" s="43" t="str">
        <f>C1580</f>
        <v>Traspaso</v>
      </c>
      <c r="F1580" s="42" t="s">
        <v>0</v>
      </c>
    </row>
    <row r="1581" spans="1:6">
      <c r="A1581" s="39">
        <f>A1580</f>
        <v>45874</v>
      </c>
      <c r="B1581" s="40" t="s">
        <v>328</v>
      </c>
      <c r="C1581" s="40" t="s">
        <v>46</v>
      </c>
      <c r="D1581" s="41">
        <v>100</v>
      </c>
      <c r="E1581" s="43" t="str">
        <f>C1581</f>
        <v>Traspaso</v>
      </c>
      <c r="F1581" s="42" t="s">
        <v>0</v>
      </c>
    </row>
    <row r="1582" spans="1:6">
      <c r="A1582" s="39">
        <f>A1581</f>
        <v>45874</v>
      </c>
      <c r="B1582" s="40" t="s">
        <v>116</v>
      </c>
      <c r="C1582" s="40" t="s">
        <v>34</v>
      </c>
      <c r="D1582" s="41">
        <v>0.47</v>
      </c>
      <c r="E1582" s="43" t="s">
        <v>513</v>
      </c>
      <c r="F1582" s="42" t="s">
        <v>0</v>
      </c>
    </row>
    <row r="1583" spans="1:6">
      <c r="A1583" s="39">
        <v>45875</v>
      </c>
      <c r="B1583" s="40" t="s">
        <v>454</v>
      </c>
      <c r="C1583" s="40" t="s">
        <v>41</v>
      </c>
      <c r="D1583" s="41">
        <v>-1.3</v>
      </c>
      <c r="E1583" s="43" t="str">
        <f>C1583</f>
        <v>Ocio</v>
      </c>
      <c r="F1583" s="42" t="s">
        <v>0</v>
      </c>
    </row>
    <row r="1584" spans="1:6">
      <c r="A1584" s="39">
        <f>A1583</f>
        <v>45875</v>
      </c>
      <c r="B1584" s="40" t="s">
        <v>481</v>
      </c>
      <c r="C1584" s="40" t="s">
        <v>46</v>
      </c>
      <c r="D1584" s="41">
        <v>-100</v>
      </c>
      <c r="E1584" s="43" t="str">
        <f>C1584</f>
        <v>Traspaso</v>
      </c>
      <c r="F1584" s="42" t="s">
        <v>0</v>
      </c>
    </row>
    <row r="1585" spans="1:6">
      <c r="A1585" s="39">
        <f>A1584</f>
        <v>45875</v>
      </c>
      <c r="B1585" s="40" t="s">
        <v>508</v>
      </c>
      <c r="C1585" s="40" t="s">
        <v>46</v>
      </c>
      <c r="D1585" s="41">
        <v>100</v>
      </c>
      <c r="E1585" s="43" t="str">
        <f>C1585</f>
        <v>Traspaso</v>
      </c>
      <c r="F1585" s="42" t="s">
        <v>0</v>
      </c>
    </row>
    <row r="1586" spans="1:6">
      <c r="A1586" s="39">
        <f>A1585</f>
        <v>45875</v>
      </c>
      <c r="B1586" s="40" t="s">
        <v>471</v>
      </c>
      <c r="C1586" s="40" t="s">
        <v>34</v>
      </c>
      <c r="D1586" s="41">
        <v>25</v>
      </c>
      <c r="E1586" s="43" t="s">
        <v>514</v>
      </c>
      <c r="F1586" s="42" t="s">
        <v>0</v>
      </c>
    </row>
    <row r="1587" spans="1:6">
      <c r="A1587" s="39">
        <f>A1586</f>
        <v>45875</v>
      </c>
      <c r="B1587" s="40" t="s">
        <v>437</v>
      </c>
      <c r="C1587" s="40" t="s">
        <v>46</v>
      </c>
      <c r="D1587" s="41">
        <v>-775</v>
      </c>
      <c r="E1587" s="43" t="str">
        <f>C1587</f>
        <v>Traspaso</v>
      </c>
      <c r="F1587" s="42" t="s">
        <v>0</v>
      </c>
    </row>
    <row r="1588" spans="1:6">
      <c r="A1588" s="39">
        <f>A1587</f>
        <v>45875</v>
      </c>
      <c r="B1588" s="40" t="s">
        <v>438</v>
      </c>
      <c r="C1588" s="40" t="s">
        <v>46</v>
      </c>
      <c r="D1588" s="41">
        <v>775</v>
      </c>
      <c r="E1588" s="43" t="str">
        <f>C1588</f>
        <v>Traspaso</v>
      </c>
      <c r="F1588" s="42" t="s">
        <v>0</v>
      </c>
    </row>
    <row r="1589" spans="1:6">
      <c r="A1589" s="39">
        <f>A1588</f>
        <v>45875</v>
      </c>
      <c r="B1589" s="40" t="s">
        <v>454</v>
      </c>
      <c r="C1589" s="40" t="s">
        <v>52</v>
      </c>
      <c r="D1589" s="41">
        <v>-1.75</v>
      </c>
      <c r="E1589" s="43" t="s">
        <v>455</v>
      </c>
      <c r="F1589" s="42" t="s">
        <v>0</v>
      </c>
    </row>
    <row r="1590" spans="1:6">
      <c r="A1590" s="39">
        <v>45876</v>
      </c>
      <c r="B1590" s="40" t="s">
        <v>445</v>
      </c>
      <c r="C1590" s="40" t="s">
        <v>54</v>
      </c>
      <c r="D1590" s="41">
        <v>-15</v>
      </c>
      <c r="E1590" s="43" t="s">
        <v>515</v>
      </c>
      <c r="F1590" s="42" t="s">
        <v>1</v>
      </c>
    </row>
    <row r="1591" spans="1:6">
      <c r="A1591" s="39">
        <v>45876</v>
      </c>
      <c r="B1591" s="40" t="s">
        <v>454</v>
      </c>
      <c r="C1591" s="40" t="s">
        <v>41</v>
      </c>
      <c r="D1591" s="41">
        <v>-1.3</v>
      </c>
      <c r="E1591" s="43" t="str">
        <f>C1591</f>
        <v>Ocio</v>
      </c>
      <c r="F1591" s="42" t="s">
        <v>0</v>
      </c>
    </row>
    <row r="1592" spans="1:6">
      <c r="A1592" s="39">
        <f>A1591</f>
        <v>45876</v>
      </c>
      <c r="B1592" s="40" t="s">
        <v>454</v>
      </c>
      <c r="C1592" s="40" t="s">
        <v>34</v>
      </c>
      <c r="D1592" s="41">
        <v>0.05</v>
      </c>
      <c r="E1592" s="43" t="str">
        <f>C1592</f>
        <v>Intereses</v>
      </c>
      <c r="F1592" s="42" t="s">
        <v>0</v>
      </c>
    </row>
    <row r="1593" spans="1:6">
      <c r="A1593" s="39">
        <f>A1592</f>
        <v>45876</v>
      </c>
      <c r="B1593" s="40" t="s">
        <v>454</v>
      </c>
      <c r="C1593" s="40" t="s">
        <v>46</v>
      </c>
      <c r="D1593" s="41">
        <v>-100</v>
      </c>
      <c r="E1593" s="43" t="str">
        <f>C1593</f>
        <v>Traspaso</v>
      </c>
      <c r="F1593" s="42" t="s">
        <v>0</v>
      </c>
    </row>
    <row r="1594" spans="1:6">
      <c r="A1594" s="39">
        <v>45876</v>
      </c>
      <c r="B1594" s="40" t="s">
        <v>472</v>
      </c>
      <c r="C1594" s="40" t="s">
        <v>46</v>
      </c>
      <c r="D1594" s="41">
        <v>100</v>
      </c>
      <c r="E1594" s="43" t="str">
        <f>C1594</f>
        <v>Traspaso</v>
      </c>
      <c r="F1594" s="42" t="s">
        <v>0</v>
      </c>
    </row>
    <row r="1595" spans="1:6">
      <c r="A1595" s="39">
        <f>A1594</f>
        <v>45876</v>
      </c>
      <c r="B1595" s="40" t="s">
        <v>116</v>
      </c>
      <c r="C1595" s="40" t="s">
        <v>34</v>
      </c>
      <c r="D1595" s="41">
        <f>17.41-1.43</f>
        <v>15.98</v>
      </c>
      <c r="E1595" s="43" t="s">
        <v>500</v>
      </c>
      <c r="F1595" s="42" t="s">
        <v>0</v>
      </c>
    </row>
    <row r="1596" spans="1:6">
      <c r="A1596" s="39">
        <f>A1595</f>
        <v>45876</v>
      </c>
      <c r="B1596" s="40" t="s">
        <v>454</v>
      </c>
      <c r="C1596" s="40" t="s">
        <v>52</v>
      </c>
      <c r="D1596" s="41">
        <v>-7.5</v>
      </c>
      <c r="E1596" s="43" t="s">
        <v>455</v>
      </c>
      <c r="F1596" s="42" t="s">
        <v>0</v>
      </c>
    </row>
    <row r="1597" spans="1:6">
      <c r="A1597" s="39">
        <v>45877</v>
      </c>
      <c r="B1597" s="40" t="s">
        <v>454</v>
      </c>
      <c r="C1597" s="40" t="s">
        <v>41</v>
      </c>
      <c r="D1597" s="41">
        <v>-1.3</v>
      </c>
      <c r="E1597" s="43" t="str">
        <f>C1597</f>
        <v>Ocio</v>
      </c>
      <c r="F1597" s="42" t="s">
        <v>0</v>
      </c>
    </row>
    <row r="1598" spans="1:6">
      <c r="A1598" s="39">
        <f>A1597</f>
        <v>45877</v>
      </c>
      <c r="B1598" s="40" t="s">
        <v>481</v>
      </c>
      <c r="C1598" s="40" t="s">
        <v>76</v>
      </c>
      <c r="D1598" s="41">
        <v>-17</v>
      </c>
      <c r="E1598" s="43" t="str">
        <f>C1598</f>
        <v>Vestir</v>
      </c>
      <c r="F1598" s="42" t="s">
        <v>0</v>
      </c>
    </row>
    <row r="1599" spans="1:6">
      <c r="A1599" s="39">
        <f>A1598</f>
        <v>45877</v>
      </c>
      <c r="B1599" s="40" t="s">
        <v>481</v>
      </c>
      <c r="C1599" s="40" t="s">
        <v>58</v>
      </c>
      <c r="D1599" s="41">
        <v>-16</v>
      </c>
      <c r="E1599" s="43" t="s">
        <v>516</v>
      </c>
      <c r="F1599" s="42" t="s">
        <v>38</v>
      </c>
    </row>
    <row r="1600" spans="1:6">
      <c r="A1600" s="39">
        <f>A1599</f>
        <v>45877</v>
      </c>
      <c r="B1600" s="40" t="s">
        <v>481</v>
      </c>
      <c r="C1600" s="40" t="s">
        <v>47</v>
      </c>
      <c r="D1600" s="41">
        <v>-146</v>
      </c>
      <c r="E1600" s="43" t="s">
        <v>517</v>
      </c>
      <c r="F1600" s="42" t="s">
        <v>0</v>
      </c>
    </row>
    <row r="1601" spans="1:6">
      <c r="A1601" s="39">
        <f>A1600</f>
        <v>45877</v>
      </c>
      <c r="B1601" s="40" t="s">
        <v>116</v>
      </c>
      <c r="C1601" s="40" t="s">
        <v>34</v>
      </c>
      <c r="D1601" s="41">
        <v>23.9</v>
      </c>
      <c r="E1601" s="43" t="s">
        <v>500</v>
      </c>
      <c r="F1601" s="42" t="s">
        <v>0</v>
      </c>
    </row>
    <row r="1602" spans="1:6">
      <c r="A1602" s="39">
        <f>A1601</f>
        <v>45877</v>
      </c>
      <c r="B1602" s="40" t="s">
        <v>116</v>
      </c>
      <c r="C1602" s="40" t="s">
        <v>34</v>
      </c>
      <c r="D1602" s="41">
        <v>20.39</v>
      </c>
      <c r="E1602" s="43" t="s">
        <v>500</v>
      </c>
      <c r="F1602" s="42" t="s">
        <v>0</v>
      </c>
    </row>
    <row r="1603" spans="1:6">
      <c r="A1603" s="39">
        <v>45877</v>
      </c>
      <c r="B1603" s="40" t="s">
        <v>446</v>
      </c>
      <c r="C1603" s="40" t="s">
        <v>47</v>
      </c>
      <c r="D1603" s="41">
        <v>146</v>
      </c>
      <c r="E1603" s="43" t="s">
        <v>518</v>
      </c>
      <c r="F1603" s="42" t="s">
        <v>1</v>
      </c>
    </row>
    <row r="1604" spans="1:6">
      <c r="A1604" s="39">
        <v>45877</v>
      </c>
      <c r="B1604" s="40" t="s">
        <v>450</v>
      </c>
      <c r="C1604" s="40" t="s">
        <v>463</v>
      </c>
      <c r="D1604" s="41">
        <v>10</v>
      </c>
      <c r="E1604" s="43" t="s">
        <v>519</v>
      </c>
      <c r="F1604" s="42" t="s">
        <v>1</v>
      </c>
    </row>
    <row r="1605" spans="1:6">
      <c r="A1605" s="39">
        <v>45877</v>
      </c>
      <c r="B1605" s="40" t="s">
        <v>520</v>
      </c>
      <c r="C1605" s="40" t="s">
        <v>46</v>
      </c>
      <c r="D1605" s="41">
        <v>-10000</v>
      </c>
      <c r="E1605" s="43"/>
      <c r="F1605" s="42" t="s">
        <v>1</v>
      </c>
    </row>
    <row r="1606" spans="1:6">
      <c r="A1606" s="39">
        <v>45877</v>
      </c>
      <c r="B1606" s="40" t="s">
        <v>446</v>
      </c>
      <c r="C1606" s="40" t="s">
        <v>46</v>
      </c>
      <c r="D1606" s="41">
        <v>10000</v>
      </c>
      <c r="E1606" s="43"/>
      <c r="F1606" s="42" t="s">
        <v>1</v>
      </c>
    </row>
    <row r="1607" spans="1:6">
      <c r="A1607" s="39">
        <v>45877</v>
      </c>
      <c r="B1607" s="40" t="s">
        <v>446</v>
      </c>
      <c r="C1607" s="40" t="s">
        <v>34</v>
      </c>
      <c r="D1607" s="41">
        <v>-15</v>
      </c>
      <c r="E1607" s="43" t="s">
        <v>521</v>
      </c>
      <c r="F1607" s="42" t="s">
        <v>1</v>
      </c>
    </row>
    <row r="1608" spans="1:6">
      <c r="A1608" s="39">
        <v>45877</v>
      </c>
      <c r="B1608" s="40" t="s">
        <v>446</v>
      </c>
      <c r="C1608" s="40" t="s">
        <v>46</v>
      </c>
      <c r="D1608" s="41">
        <v>-10000</v>
      </c>
      <c r="E1608" s="43"/>
      <c r="F1608" s="42" t="s">
        <v>1</v>
      </c>
    </row>
    <row r="1609" spans="1:6">
      <c r="A1609" s="39">
        <v>45877</v>
      </c>
      <c r="B1609" s="40" t="s">
        <v>504</v>
      </c>
      <c r="C1609" s="40" t="s">
        <v>46</v>
      </c>
      <c r="D1609" s="41">
        <v>10000</v>
      </c>
      <c r="E1609" s="43"/>
      <c r="F1609" s="42" t="s">
        <v>1</v>
      </c>
    </row>
    <row r="1610" spans="1:6">
      <c r="A1610" s="39">
        <v>45877</v>
      </c>
      <c r="B1610" s="40" t="s">
        <v>450</v>
      </c>
      <c r="C1610" s="40" t="s">
        <v>46</v>
      </c>
      <c r="D1610" s="41">
        <v>-500</v>
      </c>
      <c r="E1610" s="43"/>
      <c r="F1610" s="42" t="s">
        <v>1</v>
      </c>
    </row>
    <row r="1611" spans="1:6">
      <c r="A1611" s="39">
        <v>45877</v>
      </c>
      <c r="B1611" s="40" t="s">
        <v>496</v>
      </c>
      <c r="C1611" s="40" t="s">
        <v>46</v>
      </c>
      <c r="D1611" s="41">
        <v>500</v>
      </c>
      <c r="E1611" s="43"/>
      <c r="F1611" s="42" t="s">
        <v>1</v>
      </c>
    </row>
    <row r="1612" spans="1:6">
      <c r="A1612" s="39">
        <v>45877</v>
      </c>
      <c r="B1612" s="40" t="s">
        <v>504</v>
      </c>
      <c r="C1612" s="40" t="s">
        <v>46</v>
      </c>
      <c r="D1612" s="41">
        <v>-2000</v>
      </c>
      <c r="E1612" s="43"/>
      <c r="F1612" s="42" t="s">
        <v>1</v>
      </c>
    </row>
    <row r="1613" spans="1:6">
      <c r="A1613" s="39">
        <v>45877</v>
      </c>
      <c r="B1613" s="40" t="s">
        <v>522</v>
      </c>
      <c r="C1613" s="40" t="s">
        <v>46</v>
      </c>
      <c r="D1613" s="41">
        <v>2000</v>
      </c>
      <c r="E1613" s="43"/>
      <c r="F1613" s="42" t="s">
        <v>1</v>
      </c>
    </row>
    <row r="1614" spans="1:6">
      <c r="A1614" s="39">
        <v>45878</v>
      </c>
      <c r="B1614" s="40" t="s">
        <v>454</v>
      </c>
      <c r="C1614" s="40" t="s">
        <v>36</v>
      </c>
      <c r="D1614" s="41">
        <v>-117.98</v>
      </c>
      <c r="E1614" s="43" t="s">
        <v>295</v>
      </c>
      <c r="F1614" s="42" t="s">
        <v>38</v>
      </c>
    </row>
    <row r="1615" spans="1:6">
      <c r="A1615" s="39">
        <v>45878</v>
      </c>
      <c r="B1615" s="40" t="s">
        <v>452</v>
      </c>
      <c r="C1615" s="40" t="s">
        <v>50</v>
      </c>
      <c r="D1615" s="41">
        <v>200</v>
      </c>
      <c r="E1615" s="43" t="s">
        <v>523</v>
      </c>
      <c r="F1615" s="42" t="s">
        <v>1</v>
      </c>
    </row>
    <row r="1616" spans="1:6">
      <c r="A1616" s="39">
        <v>45879</v>
      </c>
      <c r="B1616" s="40" t="s">
        <v>454</v>
      </c>
      <c r="C1616" s="40" t="s">
        <v>46</v>
      </c>
      <c r="D1616" s="41">
        <v>-663.46</v>
      </c>
      <c r="E1616" s="43" t="str">
        <f>C1616</f>
        <v>Traspaso</v>
      </c>
      <c r="F1616" s="42" t="s">
        <v>0</v>
      </c>
    </row>
    <row r="1617" spans="1:6">
      <c r="A1617" s="39">
        <f>A1616</f>
        <v>45879</v>
      </c>
      <c r="B1617" s="40" t="s">
        <v>481</v>
      </c>
      <c r="C1617" s="40" t="s">
        <v>46</v>
      </c>
      <c r="D1617" s="41">
        <v>663.46</v>
      </c>
      <c r="E1617" s="43" t="str">
        <f>C1617</f>
        <v>Traspaso</v>
      </c>
      <c r="F1617" s="42" t="s">
        <v>0</v>
      </c>
    </row>
    <row r="1618" spans="1:6">
      <c r="A1618" s="39">
        <f>A1617</f>
        <v>45879</v>
      </c>
      <c r="B1618" s="40" t="s">
        <v>481</v>
      </c>
      <c r="C1618" s="40" t="s">
        <v>52</v>
      </c>
      <c r="D1618" s="41">
        <v>-23.46</v>
      </c>
      <c r="E1618" s="43" t="s">
        <v>524</v>
      </c>
      <c r="F1618" s="42" t="s">
        <v>0</v>
      </c>
    </row>
    <row r="1619" spans="1:6">
      <c r="A1619" s="39">
        <f>A1618</f>
        <v>45879</v>
      </c>
      <c r="B1619" s="40" t="s">
        <v>454</v>
      </c>
      <c r="C1619" s="40" t="s">
        <v>52</v>
      </c>
      <c r="D1619" s="41">
        <v>-12</v>
      </c>
      <c r="E1619" s="43" t="s">
        <v>455</v>
      </c>
      <c r="F1619" s="42" t="s">
        <v>0</v>
      </c>
    </row>
    <row r="1620" spans="1:6">
      <c r="A1620" s="39">
        <f>A1619</f>
        <v>45879</v>
      </c>
      <c r="B1620" s="40" t="s">
        <v>525</v>
      </c>
      <c r="C1620" s="40" t="s">
        <v>34</v>
      </c>
      <c r="D1620" s="41">
        <v>25</v>
      </c>
      <c r="E1620" s="43" t="s">
        <v>526</v>
      </c>
      <c r="F1620" s="42" t="s">
        <v>0</v>
      </c>
    </row>
    <row r="1621" spans="1:6">
      <c r="A1621" s="39">
        <v>45880</v>
      </c>
      <c r="B1621" s="40" t="s">
        <v>459</v>
      </c>
      <c r="C1621" s="40" t="s">
        <v>34</v>
      </c>
      <c r="D1621" s="41">
        <v>25</v>
      </c>
      <c r="E1621" s="43" t="s">
        <v>527</v>
      </c>
      <c r="F1621" s="42" t="s">
        <v>1</v>
      </c>
    </row>
    <row r="1622" spans="1:6">
      <c r="A1622" s="39">
        <v>45880</v>
      </c>
      <c r="B1622" s="40" t="s">
        <v>452</v>
      </c>
      <c r="C1622" s="40" t="s">
        <v>461</v>
      </c>
      <c r="D1622" s="41">
        <v>-36</v>
      </c>
      <c r="E1622" s="43" t="s">
        <v>528</v>
      </c>
      <c r="F1622" s="42" t="s">
        <v>38</v>
      </c>
    </row>
    <row r="1623" spans="1:6">
      <c r="A1623" s="39">
        <v>45880</v>
      </c>
      <c r="B1623" s="40" t="s">
        <v>481</v>
      </c>
      <c r="C1623" s="40" t="s">
        <v>46</v>
      </c>
      <c r="D1623" s="41">
        <v>-600</v>
      </c>
      <c r="E1623" s="43" t="str">
        <f>C1623</f>
        <v>Traspaso</v>
      </c>
      <c r="F1623" s="42" t="s">
        <v>0</v>
      </c>
    </row>
    <row r="1624" spans="1:6">
      <c r="A1624" s="39">
        <f>A1623</f>
        <v>45880</v>
      </c>
      <c r="B1624" s="40" t="s">
        <v>508</v>
      </c>
      <c r="C1624" s="40" t="s">
        <v>46</v>
      </c>
      <c r="D1624" s="41">
        <v>600</v>
      </c>
      <c r="E1624" s="43" t="str">
        <f>C1624</f>
        <v>Traspaso</v>
      </c>
      <c r="F1624" s="42" t="s">
        <v>0</v>
      </c>
    </row>
    <row r="1625" spans="1:6">
      <c r="A1625" s="39">
        <v>45881</v>
      </c>
      <c r="B1625" s="40" t="s">
        <v>446</v>
      </c>
      <c r="C1625" s="40" t="s">
        <v>81</v>
      </c>
      <c r="D1625" s="41">
        <v>-35</v>
      </c>
      <c r="E1625" s="43" t="s">
        <v>82</v>
      </c>
      <c r="F1625" s="42" t="s">
        <v>38</v>
      </c>
    </row>
    <row r="1626" spans="1:6">
      <c r="A1626" s="39">
        <v>45881</v>
      </c>
      <c r="B1626" s="40" t="s">
        <v>445</v>
      </c>
      <c r="C1626" s="40" t="s">
        <v>54</v>
      </c>
      <c r="D1626" s="41">
        <v>-60</v>
      </c>
      <c r="E1626" s="43" t="s">
        <v>529</v>
      </c>
      <c r="F1626" s="42" t="s">
        <v>1</v>
      </c>
    </row>
    <row r="1627" spans="1:6">
      <c r="A1627" s="39">
        <v>45881</v>
      </c>
      <c r="B1627" s="40" t="s">
        <v>452</v>
      </c>
      <c r="C1627" s="40" t="s">
        <v>463</v>
      </c>
      <c r="D1627" s="41">
        <v>30</v>
      </c>
      <c r="E1627" s="43" t="s">
        <v>530</v>
      </c>
      <c r="F1627" s="42" t="s">
        <v>1</v>
      </c>
    </row>
    <row r="1628" spans="1:6">
      <c r="A1628" s="39">
        <v>45881</v>
      </c>
      <c r="B1628" s="40" t="s">
        <v>450</v>
      </c>
      <c r="C1628" s="40" t="s">
        <v>463</v>
      </c>
      <c r="D1628" s="41">
        <v>30</v>
      </c>
      <c r="E1628" s="43" t="s">
        <v>531</v>
      </c>
      <c r="F1628" s="42" t="s">
        <v>1</v>
      </c>
    </row>
    <row r="1629" spans="1:6">
      <c r="A1629" s="39">
        <v>45881</v>
      </c>
      <c r="B1629" s="40" t="s">
        <v>454</v>
      </c>
      <c r="C1629" s="40" t="s">
        <v>46</v>
      </c>
      <c r="D1629" s="41">
        <v>-288</v>
      </c>
      <c r="E1629" s="43" t="str">
        <f>C1629</f>
        <v>Traspaso</v>
      </c>
      <c r="F1629" s="42" t="s">
        <v>0</v>
      </c>
    </row>
    <row r="1630" spans="1:6">
      <c r="A1630" s="39">
        <f>A1629</f>
        <v>45881</v>
      </c>
      <c r="B1630" s="40" t="s">
        <v>472</v>
      </c>
      <c r="C1630" s="40" t="s">
        <v>46</v>
      </c>
      <c r="D1630" s="41">
        <v>288</v>
      </c>
      <c r="E1630" s="43" t="str">
        <f>C1630</f>
        <v>Traspaso</v>
      </c>
      <c r="F1630" s="42" t="s">
        <v>0</v>
      </c>
    </row>
    <row r="1631" spans="1:6">
      <c r="A1631" s="39">
        <v>45883</v>
      </c>
      <c r="B1631" s="40" t="s">
        <v>448</v>
      </c>
      <c r="C1631" s="40" t="s">
        <v>34</v>
      </c>
      <c r="D1631" s="41">
        <v>26.46</v>
      </c>
      <c r="E1631" s="43" t="s">
        <v>49</v>
      </c>
      <c r="F1631" s="42" t="s">
        <v>1</v>
      </c>
    </row>
    <row r="1632" spans="1:6">
      <c r="A1632" s="39">
        <v>45883</v>
      </c>
      <c r="B1632" s="40" t="s">
        <v>454</v>
      </c>
      <c r="C1632" s="40" t="s">
        <v>58</v>
      </c>
      <c r="D1632" s="41">
        <v>-29.98</v>
      </c>
      <c r="E1632" s="43" t="s">
        <v>532</v>
      </c>
      <c r="F1632" s="42" t="s">
        <v>38</v>
      </c>
    </row>
    <row r="1633" spans="1:6">
      <c r="A1633" s="39">
        <v>45884</v>
      </c>
      <c r="B1633" s="40" t="s">
        <v>454</v>
      </c>
      <c r="C1633" s="40" t="s">
        <v>89</v>
      </c>
      <c r="D1633" s="41">
        <v>-5.22</v>
      </c>
      <c r="E1633" s="43" t="s">
        <v>456</v>
      </c>
      <c r="F1633" s="42" t="s">
        <v>38</v>
      </c>
    </row>
    <row r="1634" spans="1:6">
      <c r="A1634" s="39">
        <f>A1633</f>
        <v>45884</v>
      </c>
      <c r="B1634" s="40" t="s">
        <v>454</v>
      </c>
      <c r="C1634" s="40" t="s">
        <v>52</v>
      </c>
      <c r="D1634" s="41">
        <v>-6</v>
      </c>
      <c r="E1634" s="43" t="s">
        <v>455</v>
      </c>
      <c r="F1634" s="42" t="s">
        <v>0</v>
      </c>
    </row>
    <row r="1635" spans="1:6">
      <c r="A1635" s="39">
        <v>45885</v>
      </c>
      <c r="B1635" s="40" t="s">
        <v>454</v>
      </c>
      <c r="C1635" s="40" t="s">
        <v>36</v>
      </c>
      <c r="D1635" s="41">
        <v>-110.58</v>
      </c>
      <c r="E1635" s="43" t="s">
        <v>295</v>
      </c>
      <c r="F1635" s="42" t="s">
        <v>38</v>
      </c>
    </row>
    <row r="1636" spans="1:6">
      <c r="A1636" s="39">
        <v>45886</v>
      </c>
      <c r="B1636" s="40" t="s">
        <v>116</v>
      </c>
      <c r="C1636" s="40" t="s">
        <v>73</v>
      </c>
      <c r="D1636" s="41">
        <v>-72.010000000000005</v>
      </c>
      <c r="E1636" s="43" t="s">
        <v>533</v>
      </c>
      <c r="F1636" s="42" t="s">
        <v>38</v>
      </c>
    </row>
    <row r="1637" spans="1:6">
      <c r="A1637" s="39">
        <v>45887</v>
      </c>
      <c r="B1637" s="40" t="s">
        <v>454</v>
      </c>
      <c r="C1637" s="40" t="s">
        <v>46</v>
      </c>
      <c r="D1637" s="41">
        <v>-125</v>
      </c>
      <c r="E1637" s="43" t="str">
        <f>C1637</f>
        <v>Traspaso</v>
      </c>
      <c r="F1637" s="42" t="s">
        <v>0</v>
      </c>
    </row>
    <row r="1638" spans="1:6">
      <c r="A1638" s="39">
        <f>A1637</f>
        <v>45887</v>
      </c>
      <c r="B1638" s="40" t="s">
        <v>534</v>
      </c>
      <c r="C1638" s="40" t="s">
        <v>46</v>
      </c>
      <c r="D1638" s="41">
        <v>125</v>
      </c>
      <c r="E1638" s="43" t="str">
        <f>C1638</f>
        <v>Traspaso</v>
      </c>
      <c r="F1638" s="42" t="s">
        <v>0</v>
      </c>
    </row>
    <row r="1639" spans="1:6">
      <c r="A1639" s="39">
        <f>A1638</f>
        <v>45887</v>
      </c>
      <c r="B1639" s="40" t="s">
        <v>454</v>
      </c>
      <c r="C1639" s="40" t="s">
        <v>166</v>
      </c>
      <c r="D1639" s="41">
        <v>-13.78</v>
      </c>
      <c r="E1639" s="43" t="str">
        <f>C1639</f>
        <v>Gas</v>
      </c>
      <c r="F1639" s="42" t="s">
        <v>38</v>
      </c>
    </row>
    <row r="1640" spans="1:6">
      <c r="A1640" s="39">
        <f>A1639</f>
        <v>45887</v>
      </c>
      <c r="B1640" s="40" t="s">
        <v>454</v>
      </c>
      <c r="C1640" s="40" t="s">
        <v>52</v>
      </c>
      <c r="D1640" s="41">
        <v>-7.5</v>
      </c>
      <c r="E1640" s="43" t="s">
        <v>455</v>
      </c>
      <c r="F1640" s="42" t="s">
        <v>0</v>
      </c>
    </row>
    <row r="1641" spans="1:6">
      <c r="A1641" s="39">
        <v>45888</v>
      </c>
      <c r="B1641" s="40" t="s">
        <v>445</v>
      </c>
      <c r="C1641" s="40" t="s">
        <v>73</v>
      </c>
      <c r="D1641" s="41">
        <v>-51.05</v>
      </c>
      <c r="E1641" s="43" t="s">
        <v>107</v>
      </c>
      <c r="F1641" s="42" t="s">
        <v>38</v>
      </c>
    </row>
    <row r="1642" spans="1:6">
      <c r="A1642" s="39">
        <v>45889</v>
      </c>
      <c r="B1642" s="40" t="s">
        <v>452</v>
      </c>
      <c r="C1642" s="40" t="s">
        <v>36</v>
      </c>
      <c r="D1642" s="41">
        <v>-2.5</v>
      </c>
      <c r="E1642" s="43" t="s">
        <v>84</v>
      </c>
      <c r="F1642" s="42" t="s">
        <v>1</v>
      </c>
    </row>
    <row r="1643" spans="1:6">
      <c r="A1643" s="39">
        <v>45889</v>
      </c>
      <c r="B1643" s="40" t="s">
        <v>256</v>
      </c>
      <c r="C1643" s="40" t="s">
        <v>54</v>
      </c>
      <c r="D1643" s="41">
        <v>-80</v>
      </c>
      <c r="E1643" s="43" t="s">
        <v>241</v>
      </c>
      <c r="F1643" s="42" t="s">
        <v>1</v>
      </c>
    </row>
    <row r="1644" spans="1:6">
      <c r="A1644" s="39">
        <v>45889</v>
      </c>
      <c r="B1644" s="40" t="s">
        <v>481</v>
      </c>
      <c r="C1644" s="40" t="s">
        <v>54</v>
      </c>
      <c r="D1644" s="41">
        <v>-2.0099999999999998</v>
      </c>
      <c r="E1644" s="43" t="s">
        <v>535</v>
      </c>
      <c r="F1644" s="42" t="s">
        <v>0</v>
      </c>
    </row>
    <row r="1645" spans="1:6">
      <c r="A1645" s="39">
        <f>A1644</f>
        <v>45889</v>
      </c>
      <c r="B1645" s="40" t="s">
        <v>454</v>
      </c>
      <c r="C1645" s="40" t="s">
        <v>52</v>
      </c>
      <c r="D1645" s="41">
        <v>-7.5</v>
      </c>
      <c r="E1645" s="43" t="s">
        <v>455</v>
      </c>
      <c r="F1645" s="42" t="s">
        <v>0</v>
      </c>
    </row>
    <row r="1646" spans="1:6">
      <c r="A1646" s="39">
        <f>A1645</f>
        <v>45889</v>
      </c>
      <c r="B1646" s="40" t="s">
        <v>239</v>
      </c>
      <c r="C1646" s="40" t="s">
        <v>46</v>
      </c>
      <c r="D1646" s="41">
        <v>-700</v>
      </c>
      <c r="E1646" s="43" t="str">
        <f>C1646</f>
        <v>Traspaso</v>
      </c>
      <c r="F1646" s="42" t="s">
        <v>0</v>
      </c>
    </row>
    <row r="1647" spans="1:6">
      <c r="A1647" s="39">
        <f>A1646</f>
        <v>45889</v>
      </c>
      <c r="B1647" s="40" t="s">
        <v>457</v>
      </c>
      <c r="C1647" s="40" t="s">
        <v>46</v>
      </c>
      <c r="D1647" s="41">
        <v>700</v>
      </c>
      <c r="E1647" s="43" t="str">
        <f>C1647</f>
        <v>Traspaso</v>
      </c>
      <c r="F1647" s="42" t="s">
        <v>0</v>
      </c>
    </row>
    <row r="1648" spans="1:6">
      <c r="A1648" s="39">
        <f>A1647</f>
        <v>45889</v>
      </c>
      <c r="B1648" s="40" t="s">
        <v>449</v>
      </c>
      <c r="C1648" s="40" t="s">
        <v>34</v>
      </c>
      <c r="D1648" s="41">
        <v>1.73</v>
      </c>
      <c r="E1648" s="43" t="str">
        <f>C1648</f>
        <v>Intereses</v>
      </c>
      <c r="F1648" s="42" t="s">
        <v>0</v>
      </c>
    </row>
    <row r="1649" spans="1:6">
      <c r="A1649" s="39">
        <f>A1648</f>
        <v>45889</v>
      </c>
      <c r="B1649" s="40" t="s">
        <v>454</v>
      </c>
      <c r="C1649" s="40" t="s">
        <v>41</v>
      </c>
      <c r="D1649" s="41">
        <v>-9.8000000000000007</v>
      </c>
      <c r="E1649" s="43" t="s">
        <v>536</v>
      </c>
      <c r="F1649" s="42" t="s">
        <v>38</v>
      </c>
    </row>
    <row r="1650" spans="1:6">
      <c r="A1650" s="39">
        <v>45890</v>
      </c>
      <c r="B1650" s="40" t="s">
        <v>452</v>
      </c>
      <c r="C1650" s="40" t="s">
        <v>46</v>
      </c>
      <c r="D1650" s="41">
        <v>-2.0099999999999998</v>
      </c>
      <c r="E1650" s="43"/>
      <c r="F1650" s="42" t="s">
        <v>1</v>
      </c>
    </row>
    <row r="1651" spans="1:6">
      <c r="A1651" s="39">
        <v>45890</v>
      </c>
      <c r="B1651" s="40" t="s">
        <v>446</v>
      </c>
      <c r="C1651" s="40" t="s">
        <v>46</v>
      </c>
      <c r="D1651" s="41">
        <v>2.0099999999999998</v>
      </c>
      <c r="E1651" s="43"/>
      <c r="F1651" s="42" t="s">
        <v>1</v>
      </c>
    </row>
    <row r="1652" spans="1:6">
      <c r="A1652" s="39">
        <v>45890</v>
      </c>
      <c r="B1652" s="40" t="s">
        <v>450</v>
      </c>
      <c r="C1652" s="40" t="s">
        <v>176</v>
      </c>
      <c r="D1652" s="41">
        <v>-50</v>
      </c>
      <c r="E1652" s="43" t="s">
        <v>537</v>
      </c>
      <c r="F1652" s="42" t="s">
        <v>38</v>
      </c>
    </row>
    <row r="1653" spans="1:6">
      <c r="A1653" s="39">
        <v>45890</v>
      </c>
      <c r="B1653" s="40" t="s">
        <v>445</v>
      </c>
      <c r="C1653" s="40" t="s">
        <v>41</v>
      </c>
      <c r="D1653" s="41">
        <v>-13</v>
      </c>
      <c r="E1653" s="43" t="s">
        <v>538</v>
      </c>
      <c r="F1653" s="42" t="s">
        <v>38</v>
      </c>
    </row>
    <row r="1654" spans="1:6">
      <c r="A1654" s="39">
        <v>45890</v>
      </c>
      <c r="B1654" s="40" t="s">
        <v>481</v>
      </c>
      <c r="C1654" s="40" t="s">
        <v>76</v>
      </c>
      <c r="D1654" s="41">
        <v>-28.45</v>
      </c>
      <c r="E1654" s="43" t="str">
        <f>C1654</f>
        <v>Vestir</v>
      </c>
      <c r="F1654" s="42" t="s">
        <v>0</v>
      </c>
    </row>
    <row r="1655" spans="1:6">
      <c r="A1655" s="39">
        <f>A1654</f>
        <v>45890</v>
      </c>
      <c r="B1655" s="40" t="s">
        <v>454</v>
      </c>
      <c r="C1655" s="40" t="s">
        <v>58</v>
      </c>
      <c r="D1655" s="41">
        <v>-15.58</v>
      </c>
      <c r="E1655" s="43" t="s">
        <v>539</v>
      </c>
      <c r="F1655" s="42" t="s">
        <v>38</v>
      </c>
    </row>
    <row r="1656" spans="1:6">
      <c r="A1656" s="39">
        <f>A1655</f>
        <v>45890</v>
      </c>
      <c r="B1656" s="40" t="s">
        <v>454</v>
      </c>
      <c r="C1656" s="40" t="s">
        <v>46</v>
      </c>
      <c r="D1656" s="41">
        <v>-100</v>
      </c>
      <c r="E1656" s="43" t="str">
        <f>C1656</f>
        <v>Traspaso</v>
      </c>
      <c r="F1656" s="42" t="s">
        <v>0</v>
      </c>
    </row>
    <row r="1657" spans="1:6">
      <c r="A1657" s="39">
        <f>A1656</f>
        <v>45890</v>
      </c>
      <c r="B1657" s="40" t="s">
        <v>472</v>
      </c>
      <c r="C1657" s="40" t="s">
        <v>46</v>
      </c>
      <c r="D1657" s="41">
        <v>100</v>
      </c>
      <c r="E1657" s="43" t="str">
        <f>C1657</f>
        <v>Traspaso</v>
      </c>
      <c r="F1657" s="42" t="s">
        <v>0</v>
      </c>
    </row>
    <row r="1658" spans="1:6">
      <c r="A1658" s="39">
        <v>45891</v>
      </c>
      <c r="B1658" s="40" t="s">
        <v>454</v>
      </c>
      <c r="C1658" s="40" t="s">
        <v>36</v>
      </c>
      <c r="D1658" s="41">
        <v>-25.35</v>
      </c>
      <c r="E1658" s="43" t="s">
        <v>295</v>
      </c>
      <c r="F1658" s="42" t="s">
        <v>38</v>
      </c>
    </row>
    <row r="1659" spans="1:6">
      <c r="A1659" s="39">
        <v>45891</v>
      </c>
      <c r="B1659" s="40" t="s">
        <v>445</v>
      </c>
      <c r="C1659" s="40" t="s">
        <v>41</v>
      </c>
      <c r="D1659" s="41">
        <v>-4.7</v>
      </c>
      <c r="E1659" s="43" t="s">
        <v>540</v>
      </c>
      <c r="F1659" s="42" t="s">
        <v>38</v>
      </c>
    </row>
    <row r="1660" spans="1:6">
      <c r="A1660" s="39">
        <v>45891</v>
      </c>
      <c r="B1660" s="40" t="s">
        <v>256</v>
      </c>
      <c r="C1660" s="40" t="s">
        <v>46</v>
      </c>
      <c r="D1660" s="41">
        <v>-1000</v>
      </c>
      <c r="E1660" s="43"/>
      <c r="F1660" s="42" t="s">
        <v>1</v>
      </c>
    </row>
    <row r="1661" spans="1:6">
      <c r="A1661" s="39">
        <v>45891</v>
      </c>
      <c r="B1661" s="40" t="s">
        <v>522</v>
      </c>
      <c r="C1661" s="40" t="s">
        <v>46</v>
      </c>
      <c r="D1661" s="41">
        <v>1000</v>
      </c>
      <c r="E1661" s="43"/>
      <c r="F1661" s="42" t="s">
        <v>1</v>
      </c>
    </row>
    <row r="1662" spans="1:6">
      <c r="A1662" s="39">
        <v>45892</v>
      </c>
      <c r="B1662" s="40" t="s">
        <v>454</v>
      </c>
      <c r="C1662" s="40" t="s">
        <v>36</v>
      </c>
      <c r="D1662" s="41">
        <v>-85.38</v>
      </c>
      <c r="E1662" s="43" t="s">
        <v>295</v>
      </c>
      <c r="F1662" s="42" t="s">
        <v>38</v>
      </c>
    </row>
    <row r="1663" spans="1:6">
      <c r="A1663" s="39">
        <v>45892</v>
      </c>
      <c r="B1663" s="40" t="s">
        <v>481</v>
      </c>
      <c r="C1663" s="40" t="s">
        <v>58</v>
      </c>
      <c r="D1663" s="41">
        <v>-35.89</v>
      </c>
      <c r="E1663" s="43" t="s">
        <v>541</v>
      </c>
      <c r="F1663" s="42" t="s">
        <v>38</v>
      </c>
    </row>
    <row r="1664" spans="1:6">
      <c r="A1664" s="39">
        <v>45893</v>
      </c>
      <c r="B1664" s="40" t="s">
        <v>454</v>
      </c>
      <c r="C1664" s="40" t="s">
        <v>52</v>
      </c>
      <c r="D1664" s="41">
        <v>-7.5</v>
      </c>
      <c r="E1664" s="43" t="str">
        <f>C1664</f>
        <v>Deporte</v>
      </c>
      <c r="F1664" s="42" t="s">
        <v>0</v>
      </c>
    </row>
    <row r="1665" spans="1:7">
      <c r="A1665" s="39">
        <f>A1664</f>
        <v>45893</v>
      </c>
      <c r="B1665" s="40" t="s">
        <v>481</v>
      </c>
      <c r="C1665" s="40" t="s">
        <v>76</v>
      </c>
      <c r="D1665" s="41">
        <v>-20.170000000000002</v>
      </c>
      <c r="E1665" s="43" t="str">
        <f>C1665</f>
        <v>Vestir</v>
      </c>
      <c r="F1665" s="42" t="s">
        <v>0</v>
      </c>
    </row>
    <row r="1666" spans="1:7">
      <c r="A1666" s="39">
        <f>A1665</f>
        <v>45893</v>
      </c>
      <c r="B1666" s="40" t="s">
        <v>542</v>
      </c>
      <c r="C1666" s="40" t="s">
        <v>34</v>
      </c>
      <c r="D1666" s="41">
        <v>10</v>
      </c>
      <c r="E1666" s="43" t="s">
        <v>543</v>
      </c>
      <c r="F1666" s="42" t="s">
        <v>0</v>
      </c>
      <c r="G1666" s="16"/>
    </row>
    <row r="1667" spans="1:7">
      <c r="A1667" s="39">
        <f>A1666</f>
        <v>45893</v>
      </c>
      <c r="B1667" s="40" t="s">
        <v>481</v>
      </c>
      <c r="C1667" s="40" t="s">
        <v>46</v>
      </c>
      <c r="D1667" s="41">
        <v>-20</v>
      </c>
      <c r="E1667" s="43" t="str">
        <f>C1667</f>
        <v>Traspaso</v>
      </c>
      <c r="F1667" s="42" t="s">
        <v>0</v>
      </c>
    </row>
    <row r="1668" spans="1:7">
      <c r="A1668" s="39">
        <f>A1667</f>
        <v>45893</v>
      </c>
      <c r="B1668" s="40" t="s">
        <v>542</v>
      </c>
      <c r="C1668" s="40" t="s">
        <v>46</v>
      </c>
      <c r="D1668" s="41">
        <v>20</v>
      </c>
      <c r="E1668" s="43" t="str">
        <f>C1668</f>
        <v>Traspaso</v>
      </c>
      <c r="F1668" s="42" t="s">
        <v>0</v>
      </c>
    </row>
    <row r="1669" spans="1:7">
      <c r="A1669" s="39">
        <v>45894</v>
      </c>
      <c r="B1669" s="40" t="s">
        <v>445</v>
      </c>
      <c r="C1669" s="40" t="s">
        <v>58</v>
      </c>
      <c r="D1669" s="41">
        <v>25.97</v>
      </c>
      <c r="E1669" s="43" t="s">
        <v>544</v>
      </c>
      <c r="F1669" s="42" t="s">
        <v>38</v>
      </c>
    </row>
    <row r="1670" spans="1:7">
      <c r="A1670" s="39">
        <v>45894</v>
      </c>
      <c r="B1670" s="40" t="s">
        <v>445</v>
      </c>
      <c r="C1670" s="40" t="s">
        <v>58</v>
      </c>
      <c r="D1670" s="41">
        <v>22.5</v>
      </c>
      <c r="E1670" s="43" t="s">
        <v>545</v>
      </c>
      <c r="F1670" s="42" t="s">
        <v>38</v>
      </c>
    </row>
    <row r="1671" spans="1:7">
      <c r="A1671" s="39">
        <v>45894</v>
      </c>
      <c r="B1671" s="40" t="s">
        <v>445</v>
      </c>
      <c r="C1671" s="40" t="s">
        <v>58</v>
      </c>
      <c r="D1671" s="41">
        <v>-39.5</v>
      </c>
      <c r="E1671" s="43" t="s">
        <v>133</v>
      </c>
      <c r="F1671" s="42" t="s">
        <v>38</v>
      </c>
    </row>
    <row r="1672" spans="1:7">
      <c r="A1672" s="39">
        <v>45894</v>
      </c>
      <c r="B1672" s="40" t="s">
        <v>445</v>
      </c>
      <c r="C1672" s="40" t="s">
        <v>58</v>
      </c>
      <c r="D1672" s="41">
        <v>-85.25</v>
      </c>
      <c r="E1672" s="43" t="s">
        <v>546</v>
      </c>
      <c r="F1672" s="42" t="s">
        <v>38</v>
      </c>
    </row>
    <row r="1673" spans="1:7">
      <c r="A1673" s="39">
        <v>45894</v>
      </c>
      <c r="B1673" s="40" t="s">
        <v>452</v>
      </c>
      <c r="C1673" s="40" t="s">
        <v>41</v>
      </c>
      <c r="D1673" s="41">
        <v>-6.2</v>
      </c>
      <c r="E1673" s="43" t="s">
        <v>547</v>
      </c>
      <c r="F1673" s="42" t="s">
        <v>1</v>
      </c>
    </row>
    <row r="1674" spans="1:7">
      <c r="A1674" s="39">
        <v>45894</v>
      </c>
      <c r="B1674" s="40" t="s">
        <v>448</v>
      </c>
      <c r="C1674" s="40" t="s">
        <v>110</v>
      </c>
      <c r="D1674" s="41">
        <v>1963.85</v>
      </c>
      <c r="E1674" s="43" t="s">
        <v>110</v>
      </c>
      <c r="F1674" s="42" t="s">
        <v>1</v>
      </c>
    </row>
    <row r="1675" spans="1:7">
      <c r="A1675" s="39">
        <v>45894</v>
      </c>
      <c r="B1675" s="40" t="s">
        <v>445</v>
      </c>
      <c r="C1675" s="40" t="s">
        <v>461</v>
      </c>
      <c r="D1675" s="41">
        <v>-4.99</v>
      </c>
      <c r="E1675" s="43" t="s">
        <v>548</v>
      </c>
      <c r="F1675" s="42" t="s">
        <v>38</v>
      </c>
    </row>
    <row r="1676" spans="1:7">
      <c r="A1676" s="39">
        <v>45895</v>
      </c>
      <c r="B1676" s="40" t="s">
        <v>475</v>
      </c>
      <c r="C1676" s="40" t="s">
        <v>34</v>
      </c>
      <c r="D1676" s="41">
        <v>0.01</v>
      </c>
      <c r="E1676" s="43" t="s">
        <v>49</v>
      </c>
      <c r="F1676" s="42" t="s">
        <v>1</v>
      </c>
    </row>
    <row r="1677" spans="1:7">
      <c r="A1677" s="39">
        <v>45895</v>
      </c>
      <c r="B1677" s="40" t="s">
        <v>448</v>
      </c>
      <c r="C1677" s="40" t="s">
        <v>46</v>
      </c>
      <c r="D1677" s="41">
        <v>-1000</v>
      </c>
      <c r="E1677" s="43"/>
      <c r="F1677" s="42" t="s">
        <v>1</v>
      </c>
    </row>
    <row r="1678" spans="1:7">
      <c r="A1678" s="39">
        <v>45895</v>
      </c>
      <c r="B1678" s="40" t="s">
        <v>504</v>
      </c>
      <c r="C1678" s="40" t="s">
        <v>46</v>
      </c>
      <c r="D1678" s="41">
        <v>1000</v>
      </c>
      <c r="E1678" s="43"/>
      <c r="F1678" s="42" t="s">
        <v>1</v>
      </c>
    </row>
    <row r="1679" spans="1:7">
      <c r="A1679" s="39">
        <v>45895</v>
      </c>
      <c r="B1679" s="40" t="s">
        <v>452</v>
      </c>
      <c r="C1679" s="40" t="s">
        <v>461</v>
      </c>
      <c r="D1679" s="41">
        <v>-36</v>
      </c>
      <c r="E1679" s="43" t="s">
        <v>528</v>
      </c>
      <c r="F1679" s="42" t="s">
        <v>38</v>
      </c>
    </row>
    <row r="1680" spans="1:7">
      <c r="A1680" s="39">
        <v>45895</v>
      </c>
      <c r="B1680" s="40" t="s">
        <v>116</v>
      </c>
      <c r="C1680" s="40" t="s">
        <v>46</v>
      </c>
      <c r="D1680" s="41">
        <v>-519.75</v>
      </c>
      <c r="E1680" s="43" t="str">
        <f>C1680</f>
        <v>Traspaso</v>
      </c>
      <c r="F1680" s="42" t="s">
        <v>0</v>
      </c>
    </row>
    <row r="1681" spans="1:6">
      <c r="A1681" s="39">
        <f>A1680</f>
        <v>45895</v>
      </c>
      <c r="B1681" s="40" t="s">
        <v>454</v>
      </c>
      <c r="C1681" s="40" t="s">
        <v>46</v>
      </c>
      <c r="D1681" s="41">
        <v>519.75</v>
      </c>
      <c r="E1681" s="43" t="str">
        <f>C1681</f>
        <v>Traspaso</v>
      </c>
      <c r="F1681" s="42" t="s">
        <v>0</v>
      </c>
    </row>
    <row r="1682" spans="1:6">
      <c r="A1682" s="39">
        <f>A1681</f>
        <v>45895</v>
      </c>
      <c r="B1682" s="40" t="s">
        <v>454</v>
      </c>
      <c r="C1682" s="40" t="s">
        <v>62</v>
      </c>
      <c r="D1682" s="41">
        <v>-4</v>
      </c>
      <c r="E1682" s="43" t="s">
        <v>460</v>
      </c>
      <c r="F1682" s="42" t="s">
        <v>38</v>
      </c>
    </row>
    <row r="1683" spans="1:6">
      <c r="A1683" s="39">
        <f>A1682</f>
        <v>45895</v>
      </c>
      <c r="B1683" s="40" t="s">
        <v>471</v>
      </c>
      <c r="C1683" s="40" t="s">
        <v>110</v>
      </c>
      <c r="D1683" s="41">
        <v>2413.46</v>
      </c>
      <c r="E1683" s="43" t="str">
        <f>C1683</f>
        <v>Nómina</v>
      </c>
      <c r="F1683" s="42" t="s">
        <v>0</v>
      </c>
    </row>
    <row r="1684" spans="1:6">
      <c r="A1684" s="39">
        <f>A1683</f>
        <v>45895</v>
      </c>
      <c r="B1684" s="40" t="s">
        <v>471</v>
      </c>
      <c r="C1684" s="40" t="s">
        <v>46</v>
      </c>
      <c r="D1684" s="41">
        <v>-1000</v>
      </c>
      <c r="E1684" s="43" t="str">
        <f>C1684</f>
        <v>Traspaso</v>
      </c>
      <c r="F1684" s="42" t="s">
        <v>0</v>
      </c>
    </row>
    <row r="1685" spans="1:6">
      <c r="A1685" s="39">
        <f>A1684</f>
        <v>45895</v>
      </c>
      <c r="B1685" s="40" t="s">
        <v>239</v>
      </c>
      <c r="C1685" s="40" t="s">
        <v>46</v>
      </c>
      <c r="D1685" s="41">
        <v>1000</v>
      </c>
      <c r="E1685" s="43" t="str">
        <f>C1685</f>
        <v>Traspaso</v>
      </c>
      <c r="F1685" s="42" t="s">
        <v>0</v>
      </c>
    </row>
    <row r="1686" spans="1:6">
      <c r="A1686" s="39">
        <f>A1685</f>
        <v>45895</v>
      </c>
      <c r="B1686" s="40" t="s">
        <v>471</v>
      </c>
      <c r="C1686" s="40" t="s">
        <v>46</v>
      </c>
      <c r="D1686" s="41">
        <v>-800</v>
      </c>
      <c r="E1686" s="43" t="str">
        <f>C1686</f>
        <v>Traspaso</v>
      </c>
      <c r="F1686" s="42" t="s">
        <v>0</v>
      </c>
    </row>
    <row r="1687" spans="1:6">
      <c r="A1687" s="39">
        <f>A1686</f>
        <v>45895</v>
      </c>
      <c r="B1687" s="40" t="s">
        <v>116</v>
      </c>
      <c r="C1687" s="40" t="s">
        <v>46</v>
      </c>
      <c r="D1687" s="41">
        <v>800</v>
      </c>
      <c r="E1687" s="43" t="str">
        <f>C1687</f>
        <v>Traspaso</v>
      </c>
      <c r="F1687" s="42" t="s">
        <v>0</v>
      </c>
    </row>
    <row r="1688" spans="1:6">
      <c r="A1688" s="39">
        <f>A1687</f>
        <v>45895</v>
      </c>
      <c r="B1688" s="40" t="s">
        <v>471</v>
      </c>
      <c r="C1688" s="40" t="s">
        <v>46</v>
      </c>
      <c r="D1688" s="41">
        <v>-596.99</v>
      </c>
      <c r="E1688" s="43" t="str">
        <f>C1688</f>
        <v>Traspaso</v>
      </c>
      <c r="F1688" s="42" t="s">
        <v>0</v>
      </c>
    </row>
    <row r="1689" spans="1:6">
      <c r="A1689" s="39">
        <f>A1688</f>
        <v>45895</v>
      </c>
      <c r="B1689" s="40" t="s">
        <v>454</v>
      </c>
      <c r="C1689" s="40" t="s">
        <v>46</v>
      </c>
      <c r="D1689" s="41">
        <v>596.99</v>
      </c>
      <c r="E1689" s="43" t="str">
        <f>C1689</f>
        <v>Traspaso</v>
      </c>
      <c r="F1689" s="42" t="s">
        <v>0</v>
      </c>
    </row>
    <row r="1690" spans="1:6">
      <c r="A1690" s="39">
        <v>45896</v>
      </c>
      <c r="B1690" s="40" t="s">
        <v>445</v>
      </c>
      <c r="C1690" s="40" t="s">
        <v>54</v>
      </c>
      <c r="D1690" s="41">
        <v>-40</v>
      </c>
      <c r="E1690" s="43" t="s">
        <v>549</v>
      </c>
      <c r="F1690" s="42" t="s">
        <v>1</v>
      </c>
    </row>
    <row r="1691" spans="1:6">
      <c r="A1691" s="39">
        <v>45896</v>
      </c>
      <c r="B1691" s="40" t="s">
        <v>116</v>
      </c>
      <c r="C1691" s="40" t="s">
        <v>46</v>
      </c>
      <c r="D1691" s="41">
        <v>-500</v>
      </c>
      <c r="E1691" s="43" t="str">
        <f>C1691</f>
        <v>Traspaso</v>
      </c>
      <c r="F1691" s="42" t="s">
        <v>0</v>
      </c>
    </row>
    <row r="1692" spans="1:6">
      <c r="A1692" s="39">
        <f>A1691</f>
        <v>45896</v>
      </c>
      <c r="B1692" s="40" t="s">
        <v>449</v>
      </c>
      <c r="C1692" s="40" t="s">
        <v>46</v>
      </c>
      <c r="D1692" s="41">
        <v>500</v>
      </c>
      <c r="E1692" s="43" t="str">
        <f>C1692</f>
        <v>Traspaso</v>
      </c>
      <c r="F1692" s="42" t="s">
        <v>0</v>
      </c>
    </row>
    <row r="1693" spans="1:6">
      <c r="A1693" s="39">
        <f>A1692</f>
        <v>45896</v>
      </c>
      <c r="B1693" s="40" t="s">
        <v>502</v>
      </c>
      <c r="C1693" s="40" t="s">
        <v>46</v>
      </c>
      <c r="D1693" s="41">
        <v>-100.08</v>
      </c>
      <c r="E1693" s="43" t="str">
        <f>C1693</f>
        <v>Traspaso</v>
      </c>
      <c r="F1693" s="42" t="s">
        <v>0</v>
      </c>
    </row>
    <row r="1694" spans="1:6">
      <c r="A1694" s="39">
        <f>A1693</f>
        <v>45896</v>
      </c>
      <c r="B1694" s="40" t="s">
        <v>481</v>
      </c>
      <c r="C1694" s="40" t="s">
        <v>46</v>
      </c>
      <c r="D1694" s="41">
        <v>100.08</v>
      </c>
      <c r="E1694" s="43" t="str">
        <f>C1694</f>
        <v>Traspaso</v>
      </c>
      <c r="F1694" s="42" t="s">
        <v>0</v>
      </c>
    </row>
    <row r="1695" spans="1:6">
      <c r="A1695" s="39">
        <f>A1694</f>
        <v>45896</v>
      </c>
      <c r="B1695" s="40" t="s">
        <v>454</v>
      </c>
      <c r="C1695" s="40" t="s">
        <v>46</v>
      </c>
      <c r="D1695" s="41">
        <v>-163.57</v>
      </c>
      <c r="E1695" s="43" t="str">
        <f>C1695</f>
        <v>Traspaso</v>
      </c>
      <c r="F1695" s="42" t="s">
        <v>0</v>
      </c>
    </row>
    <row r="1696" spans="1:6">
      <c r="A1696" s="39">
        <f>A1695</f>
        <v>45896</v>
      </c>
      <c r="B1696" s="40" t="s">
        <v>481</v>
      </c>
      <c r="C1696" s="40" t="s">
        <v>46</v>
      </c>
      <c r="D1696" s="41">
        <v>163.57</v>
      </c>
      <c r="E1696" s="43" t="str">
        <f>C1696</f>
        <v>Traspaso</v>
      </c>
      <c r="F1696" s="42" t="s">
        <v>0</v>
      </c>
    </row>
    <row r="1697" spans="1:6">
      <c r="A1697" s="39">
        <v>45897</v>
      </c>
      <c r="B1697" s="40" t="s">
        <v>481</v>
      </c>
      <c r="C1697" s="40" t="s">
        <v>58</v>
      </c>
      <c r="D1697" s="41">
        <v>-20.82</v>
      </c>
      <c r="E1697" s="43" t="str">
        <f>C1697</f>
        <v>Variosvivienda</v>
      </c>
      <c r="F1697" s="42" t="s">
        <v>38</v>
      </c>
    </row>
    <row r="1698" spans="1:6">
      <c r="A1698" s="39">
        <f>A1697</f>
        <v>45897</v>
      </c>
      <c r="B1698" s="40" t="s">
        <v>452</v>
      </c>
      <c r="C1698" s="40" t="s">
        <v>105</v>
      </c>
      <c r="D1698" s="41">
        <v>-10</v>
      </c>
      <c r="E1698" s="43" t="s">
        <v>550</v>
      </c>
      <c r="F1698" s="42" t="s">
        <v>1</v>
      </c>
    </row>
    <row r="1699" spans="1:6">
      <c r="A1699" s="39">
        <f>A1698</f>
        <v>45897</v>
      </c>
      <c r="B1699" s="40" t="s">
        <v>256</v>
      </c>
      <c r="C1699" s="40" t="s">
        <v>54</v>
      </c>
      <c r="D1699" s="41">
        <v>-20.8</v>
      </c>
      <c r="E1699" s="43" t="s">
        <v>551</v>
      </c>
      <c r="F1699" s="42" t="s">
        <v>1</v>
      </c>
    </row>
    <row r="1700" spans="1:6">
      <c r="A1700" s="39">
        <v>45897</v>
      </c>
      <c r="B1700" s="40" t="s">
        <v>448</v>
      </c>
      <c r="C1700" s="40" t="s">
        <v>46</v>
      </c>
      <c r="D1700" s="41">
        <v>-1000</v>
      </c>
      <c r="E1700" s="43"/>
      <c r="F1700" s="42" t="s">
        <v>1</v>
      </c>
    </row>
    <row r="1701" spans="1:6">
      <c r="A1701" s="39">
        <v>45897</v>
      </c>
      <c r="B1701" s="40" t="s">
        <v>450</v>
      </c>
      <c r="C1701" s="40" t="s">
        <v>46</v>
      </c>
      <c r="D1701" s="41">
        <v>1000</v>
      </c>
      <c r="E1701" s="43"/>
      <c r="F1701" s="42" t="s">
        <v>1</v>
      </c>
    </row>
    <row r="1702" spans="1:6">
      <c r="A1702" s="39">
        <v>45898</v>
      </c>
      <c r="B1702" s="40" t="s">
        <v>446</v>
      </c>
      <c r="C1702" s="40" t="s">
        <v>463</v>
      </c>
      <c r="D1702" s="41">
        <v>100</v>
      </c>
      <c r="E1702" s="43" t="s">
        <v>126</v>
      </c>
      <c r="F1702" s="42" t="s">
        <v>38</v>
      </c>
    </row>
    <row r="1703" spans="1:6">
      <c r="A1703" s="39">
        <v>45898</v>
      </c>
      <c r="B1703" s="40" t="s">
        <v>446</v>
      </c>
      <c r="C1703" s="40" t="s">
        <v>46</v>
      </c>
      <c r="D1703" s="41">
        <v>-456.31</v>
      </c>
      <c r="E1703" s="43"/>
      <c r="F1703" s="42" t="s">
        <v>1</v>
      </c>
    </row>
    <row r="1704" spans="1:6">
      <c r="A1704" s="39">
        <v>45898</v>
      </c>
      <c r="B1704" s="40" t="s">
        <v>445</v>
      </c>
      <c r="C1704" s="40" t="s">
        <v>46</v>
      </c>
      <c r="D1704" s="41">
        <v>456.31</v>
      </c>
      <c r="E1704" s="43"/>
      <c r="F1704" s="42" t="s">
        <v>1</v>
      </c>
    </row>
    <row r="1705" spans="1:6">
      <c r="A1705" s="39">
        <v>45898</v>
      </c>
      <c r="B1705" s="40" t="s">
        <v>499</v>
      </c>
      <c r="C1705" s="40" t="s">
        <v>46</v>
      </c>
      <c r="D1705" s="41">
        <v>-1516.2</v>
      </c>
      <c r="E1705" s="43" t="str">
        <f>C1705</f>
        <v>Traspaso</v>
      </c>
      <c r="F1705" s="42" t="s">
        <v>0</v>
      </c>
    </row>
    <row r="1706" spans="1:6">
      <c r="A1706" s="39">
        <f>A1705</f>
        <v>45898</v>
      </c>
      <c r="B1706" s="40" t="s">
        <v>239</v>
      </c>
      <c r="C1706" s="40" t="s">
        <v>46</v>
      </c>
      <c r="D1706" s="41">
        <v>1516.2</v>
      </c>
      <c r="E1706" s="43" t="str">
        <f>C1706</f>
        <v>Traspaso</v>
      </c>
      <c r="F1706" s="42" t="s">
        <v>0</v>
      </c>
    </row>
    <row r="1707" spans="1:6">
      <c r="A1707" s="39">
        <f>A1706</f>
        <v>45898</v>
      </c>
      <c r="B1707" s="40" t="s">
        <v>239</v>
      </c>
      <c r="C1707" s="40" t="s">
        <v>46</v>
      </c>
      <c r="D1707" s="41">
        <v>-1500</v>
      </c>
      <c r="E1707" s="43" t="str">
        <f>C1707</f>
        <v>Traspaso</v>
      </c>
      <c r="F1707" s="42" t="s">
        <v>0</v>
      </c>
    </row>
    <row r="1708" spans="1:6">
      <c r="A1708" s="39">
        <f>A1707</f>
        <v>45898</v>
      </c>
      <c r="B1708" s="40" t="s">
        <v>542</v>
      </c>
      <c r="C1708" s="40" t="s">
        <v>46</v>
      </c>
      <c r="D1708" s="41">
        <v>1500</v>
      </c>
      <c r="E1708" s="43" t="str">
        <f>C1708</f>
        <v>Traspaso</v>
      </c>
      <c r="F1708" s="42" t="s">
        <v>0</v>
      </c>
    </row>
    <row r="1709" spans="1:6">
      <c r="A1709" s="39">
        <f>A1708</f>
        <v>45898</v>
      </c>
      <c r="B1709" s="40" t="s">
        <v>454</v>
      </c>
      <c r="C1709" s="40" t="s">
        <v>46</v>
      </c>
      <c r="D1709" s="41">
        <v>-795</v>
      </c>
      <c r="E1709" s="43" t="str">
        <f>C1709</f>
        <v>Traspaso</v>
      </c>
      <c r="F1709" s="42" t="s">
        <v>0</v>
      </c>
    </row>
    <row r="1710" spans="1:6">
      <c r="A1710" s="39">
        <f>A1709</f>
        <v>45898</v>
      </c>
      <c r="B1710" s="40" t="s">
        <v>437</v>
      </c>
      <c r="C1710" s="40" t="s">
        <v>46</v>
      </c>
      <c r="D1710" s="41">
        <v>795</v>
      </c>
      <c r="E1710" s="43" t="str">
        <f>C1710</f>
        <v>Traspaso</v>
      </c>
      <c r="F1710" s="42" t="s">
        <v>0</v>
      </c>
    </row>
    <row r="1711" spans="1:6">
      <c r="A1711" s="39">
        <f>A1710</f>
        <v>45898</v>
      </c>
      <c r="B1711" s="40" t="s">
        <v>499</v>
      </c>
      <c r="C1711" s="40" t="s">
        <v>34</v>
      </c>
      <c r="D1711" s="41">
        <v>216.2</v>
      </c>
      <c r="E1711" s="43" t="s">
        <v>552</v>
      </c>
      <c r="F1711" s="42" t="s">
        <v>0</v>
      </c>
    </row>
    <row r="1712" spans="1:6">
      <c r="A1712" s="39">
        <v>45898</v>
      </c>
      <c r="B1712" s="40" t="s">
        <v>239</v>
      </c>
      <c r="C1712" s="40" t="s">
        <v>46</v>
      </c>
      <c r="D1712" s="41">
        <v>-600.46</v>
      </c>
      <c r="E1712" s="43" t="str">
        <f>C1712</f>
        <v>Traspaso</v>
      </c>
      <c r="F1712" s="42" t="s">
        <v>0</v>
      </c>
    </row>
    <row r="1713" spans="1:6">
      <c r="A1713" s="39">
        <f>A1712</f>
        <v>45898</v>
      </c>
      <c r="B1713" s="40" t="s">
        <v>553</v>
      </c>
      <c r="C1713" s="40" t="s">
        <v>46</v>
      </c>
      <c r="D1713" s="41">
        <v>600.46</v>
      </c>
      <c r="E1713" s="43" t="str">
        <f>C1713</f>
        <v>Traspaso</v>
      </c>
      <c r="F1713" s="42" t="s">
        <v>0</v>
      </c>
    </row>
    <row r="1714" spans="1:6">
      <c r="A1714" s="39">
        <v>45899</v>
      </c>
      <c r="B1714" s="40" t="s">
        <v>446</v>
      </c>
      <c r="C1714" s="40" t="s">
        <v>46</v>
      </c>
      <c r="D1714" s="41">
        <v>-800</v>
      </c>
      <c r="E1714" s="43" t="s">
        <v>46</v>
      </c>
      <c r="F1714" s="42" t="s">
        <v>1</v>
      </c>
    </row>
    <row r="1715" spans="1:6">
      <c r="A1715" s="39">
        <v>45899</v>
      </c>
      <c r="B1715" s="40" t="s">
        <v>504</v>
      </c>
      <c r="C1715" s="40" t="s">
        <v>46</v>
      </c>
      <c r="D1715" s="41">
        <v>800</v>
      </c>
      <c r="E1715" s="43" t="s">
        <v>46</v>
      </c>
      <c r="F1715" s="42" t="s">
        <v>1</v>
      </c>
    </row>
    <row r="1716" spans="1:6">
      <c r="A1716" s="39">
        <v>45899</v>
      </c>
      <c r="B1716" s="40" t="s">
        <v>454</v>
      </c>
      <c r="C1716" s="40" t="s">
        <v>46</v>
      </c>
      <c r="D1716" s="41">
        <v>-405</v>
      </c>
      <c r="E1716" s="43" t="str">
        <f>C1716</f>
        <v>Traspaso</v>
      </c>
      <c r="F1716" s="42" t="s">
        <v>0</v>
      </c>
    </row>
    <row r="1717" spans="1:6">
      <c r="A1717" s="39">
        <f>A1716</f>
        <v>45899</v>
      </c>
      <c r="B1717" s="40" t="s">
        <v>472</v>
      </c>
      <c r="C1717" s="40" t="s">
        <v>46</v>
      </c>
      <c r="D1717" s="41">
        <v>405</v>
      </c>
      <c r="E1717" s="43" t="str">
        <f>C1717</f>
        <v>Traspaso</v>
      </c>
      <c r="F1717" s="42" t="s">
        <v>0</v>
      </c>
    </row>
    <row r="1718" spans="1:6">
      <c r="A1718" s="39">
        <f>A1717</f>
        <v>45899</v>
      </c>
      <c r="B1718" s="40" t="s">
        <v>554</v>
      </c>
      <c r="C1718" s="40" t="s">
        <v>46</v>
      </c>
      <c r="D1718" s="41">
        <v>-4</v>
      </c>
      <c r="E1718" s="43" t="str">
        <f>C1718</f>
        <v>Traspaso</v>
      </c>
      <c r="F1718" s="42" t="s">
        <v>0</v>
      </c>
    </row>
    <row r="1719" spans="1:6">
      <c r="A1719" s="39">
        <f>A1718</f>
        <v>45899</v>
      </c>
      <c r="B1719" s="40" t="s">
        <v>502</v>
      </c>
      <c r="C1719" s="40" t="s">
        <v>46</v>
      </c>
      <c r="D1719" s="41">
        <v>4</v>
      </c>
      <c r="E1719" s="43" t="str">
        <f>C1719</f>
        <v>Traspaso</v>
      </c>
      <c r="F1719" s="42" t="s">
        <v>0</v>
      </c>
    </row>
    <row r="1720" spans="1:6">
      <c r="A1720" s="39">
        <v>45900</v>
      </c>
      <c r="B1720" s="40" t="s">
        <v>449</v>
      </c>
      <c r="C1720" s="40" t="s">
        <v>46</v>
      </c>
      <c r="D1720" s="41">
        <v>-800</v>
      </c>
      <c r="E1720" s="43" t="str">
        <f>C1720</f>
        <v>Traspaso</v>
      </c>
      <c r="F1720" s="42" t="s">
        <v>0</v>
      </c>
    </row>
    <row r="1721" spans="1:6">
      <c r="A1721" s="39">
        <f>A1720</f>
        <v>45900</v>
      </c>
      <c r="B1721" s="40" t="s">
        <v>480</v>
      </c>
      <c r="C1721" s="40" t="s">
        <v>46</v>
      </c>
      <c r="D1721" s="41">
        <v>800</v>
      </c>
      <c r="E1721" s="43" t="str">
        <f>C1721</f>
        <v>Traspaso</v>
      </c>
      <c r="F1721" s="42" t="s">
        <v>0</v>
      </c>
    </row>
    <row r="1722" spans="1:6">
      <c r="A1722" s="39">
        <f>A1721</f>
        <v>45900</v>
      </c>
      <c r="B1722" s="40" t="s">
        <v>437</v>
      </c>
      <c r="C1722" s="40" t="s">
        <v>46</v>
      </c>
      <c r="D1722" s="41">
        <v>-1300</v>
      </c>
      <c r="E1722" s="43" t="s">
        <v>555</v>
      </c>
      <c r="F1722" s="42" t="s">
        <v>0</v>
      </c>
    </row>
    <row r="1723" spans="1:6">
      <c r="A1723" s="39">
        <f>A1722</f>
        <v>45900</v>
      </c>
      <c r="B1723" s="40" t="s">
        <v>438</v>
      </c>
      <c r="C1723" s="40" t="s">
        <v>46</v>
      </c>
      <c r="D1723" s="41">
        <v>1300</v>
      </c>
      <c r="E1723" s="43" t="s">
        <v>555</v>
      </c>
      <c r="F1723" s="42" t="s">
        <v>0</v>
      </c>
    </row>
    <row r="1724" spans="1:6">
      <c r="A1724" s="39">
        <f>A1723</f>
        <v>45900</v>
      </c>
      <c r="B1724" s="40" t="s">
        <v>438</v>
      </c>
      <c r="C1724" s="40" t="s">
        <v>46</v>
      </c>
      <c r="D1724" s="41">
        <v>-1000</v>
      </c>
      <c r="E1724" s="43" t="str">
        <f>C1724</f>
        <v>Traspaso</v>
      </c>
      <c r="F1724" s="42" t="s">
        <v>0</v>
      </c>
    </row>
    <row r="1725" spans="1:6">
      <c r="A1725" s="39">
        <f>A1724</f>
        <v>45900</v>
      </c>
      <c r="B1725" s="40" t="s">
        <v>449</v>
      </c>
      <c r="C1725" s="40" t="s">
        <v>46</v>
      </c>
      <c r="D1725" s="41">
        <v>1000</v>
      </c>
      <c r="E1725" s="43" t="str">
        <f>C1725</f>
        <v>Traspaso</v>
      </c>
      <c r="F1725" s="42" t="s">
        <v>0</v>
      </c>
    </row>
    <row r="1726" spans="1:6">
      <c r="A1726" s="39">
        <v>45900</v>
      </c>
      <c r="B1726" s="40" t="s">
        <v>450</v>
      </c>
      <c r="C1726" s="40" t="s">
        <v>176</v>
      </c>
      <c r="D1726" s="41">
        <v>-295</v>
      </c>
      <c r="E1726" s="43" t="s">
        <v>556</v>
      </c>
      <c r="F1726" s="42" t="s">
        <v>38</v>
      </c>
    </row>
    <row r="1727" spans="1:6">
      <c r="A1727" s="39">
        <v>45900</v>
      </c>
      <c r="B1727" s="40" t="s">
        <v>450</v>
      </c>
      <c r="C1727" s="40" t="s">
        <v>46</v>
      </c>
      <c r="D1727" s="41">
        <v>-475</v>
      </c>
      <c r="E1727" s="43"/>
      <c r="F1727" s="42" t="s">
        <v>1</v>
      </c>
    </row>
    <row r="1728" spans="1:6">
      <c r="A1728" s="39">
        <v>45900</v>
      </c>
      <c r="B1728" s="40" t="s">
        <v>459</v>
      </c>
      <c r="C1728" s="40" t="s">
        <v>46</v>
      </c>
      <c r="D1728" s="41">
        <v>475</v>
      </c>
      <c r="E1728" s="43"/>
      <c r="F1728" s="42" t="s">
        <v>1</v>
      </c>
    </row>
    <row r="1729" spans="1:6">
      <c r="A1729" s="39">
        <v>45901</v>
      </c>
      <c r="B1729" s="40" t="s">
        <v>450</v>
      </c>
      <c r="C1729" s="40" t="s">
        <v>46</v>
      </c>
      <c r="D1729" s="41">
        <v>-500</v>
      </c>
      <c r="E1729" s="43"/>
      <c r="F1729" s="42" t="s">
        <v>1</v>
      </c>
    </row>
    <row r="1730" spans="1:6">
      <c r="A1730" s="39">
        <v>45901</v>
      </c>
      <c r="B1730" s="40" t="s">
        <v>496</v>
      </c>
      <c r="C1730" s="40" t="s">
        <v>46</v>
      </c>
      <c r="D1730" s="41">
        <v>500</v>
      </c>
      <c r="E1730" s="43"/>
      <c r="F1730" s="42" t="s">
        <v>1</v>
      </c>
    </row>
    <row r="1731" spans="1:6">
      <c r="A1731" s="39">
        <v>45901</v>
      </c>
      <c r="B1731" s="40" t="s">
        <v>446</v>
      </c>
      <c r="C1731" s="40" t="s">
        <v>54</v>
      </c>
      <c r="D1731" s="41">
        <v>-57.71</v>
      </c>
      <c r="E1731" s="43" t="s">
        <v>123</v>
      </c>
      <c r="F1731" s="42" t="s">
        <v>1</v>
      </c>
    </row>
    <row r="1732" spans="1:6">
      <c r="A1732" s="39">
        <v>45901</v>
      </c>
      <c r="B1732" s="40" t="s">
        <v>448</v>
      </c>
      <c r="C1732" s="40" t="s">
        <v>46</v>
      </c>
      <c r="D1732" s="41">
        <v>-1000</v>
      </c>
      <c r="E1732" s="43"/>
      <c r="F1732" s="42" t="s">
        <v>1</v>
      </c>
    </row>
    <row r="1733" spans="1:6">
      <c r="A1733" s="39">
        <v>45901</v>
      </c>
      <c r="B1733" s="40" t="s">
        <v>446</v>
      </c>
      <c r="C1733" s="40" t="s">
        <v>46</v>
      </c>
      <c r="D1733" s="41">
        <v>1000</v>
      </c>
      <c r="E1733" s="43"/>
      <c r="F1733" s="42" t="s">
        <v>1</v>
      </c>
    </row>
    <row r="1734" spans="1:6">
      <c r="A1734" s="39">
        <v>45901</v>
      </c>
      <c r="B1734" s="40" t="s">
        <v>450</v>
      </c>
      <c r="C1734" s="40" t="s">
        <v>461</v>
      </c>
      <c r="D1734" s="41">
        <v>-15.85</v>
      </c>
      <c r="E1734" s="43" t="s">
        <v>557</v>
      </c>
      <c r="F1734" s="42" t="s">
        <v>1</v>
      </c>
    </row>
    <row r="1735" spans="1:6">
      <c r="A1735" s="39">
        <v>45901</v>
      </c>
      <c r="B1735" s="40" t="s">
        <v>450</v>
      </c>
      <c r="C1735" s="40" t="s">
        <v>34</v>
      </c>
      <c r="D1735" s="41">
        <v>0.15</v>
      </c>
      <c r="E1735" s="43" t="s">
        <v>49</v>
      </c>
      <c r="F1735" s="42" t="s">
        <v>1</v>
      </c>
    </row>
    <row r="1736" spans="1:6">
      <c r="A1736" s="39">
        <v>45901</v>
      </c>
      <c r="B1736" s="40" t="s">
        <v>504</v>
      </c>
      <c r="C1736" s="40" t="s">
        <v>46</v>
      </c>
      <c r="D1736" s="41">
        <v>-1000</v>
      </c>
      <c r="E1736" s="43"/>
      <c r="F1736" s="42" t="s">
        <v>1</v>
      </c>
    </row>
    <row r="1737" spans="1:6">
      <c r="A1737" s="39">
        <v>45901</v>
      </c>
      <c r="B1737" s="40" t="s">
        <v>450</v>
      </c>
      <c r="C1737" s="40" t="s">
        <v>46</v>
      </c>
      <c r="D1737" s="41">
        <v>1000</v>
      </c>
      <c r="E1737" s="43"/>
      <c r="F1737" s="42" t="s">
        <v>1</v>
      </c>
    </row>
    <row r="1738" spans="1:6">
      <c r="A1738" s="39">
        <v>45901</v>
      </c>
      <c r="B1738" s="40" t="s">
        <v>504</v>
      </c>
      <c r="C1738" s="40" t="s">
        <v>34</v>
      </c>
      <c r="D1738" s="41">
        <v>45.77</v>
      </c>
      <c r="E1738" s="43" t="s">
        <v>49</v>
      </c>
      <c r="F1738" s="42" t="s">
        <v>1</v>
      </c>
    </row>
    <row r="1739" spans="1:6">
      <c r="A1739" s="39">
        <v>45901</v>
      </c>
      <c r="B1739" s="40" t="s">
        <v>445</v>
      </c>
      <c r="C1739" s="40" t="s">
        <v>36</v>
      </c>
      <c r="D1739" s="41">
        <v>-15.12</v>
      </c>
      <c r="E1739" s="43" t="s">
        <v>133</v>
      </c>
      <c r="F1739" s="42" t="s">
        <v>38</v>
      </c>
    </row>
    <row r="1740" spans="1:6">
      <c r="A1740" s="39">
        <v>45901</v>
      </c>
      <c r="B1740" s="40" t="s">
        <v>445</v>
      </c>
      <c r="C1740" s="40" t="s">
        <v>461</v>
      </c>
      <c r="D1740" s="41">
        <v>-19.96</v>
      </c>
      <c r="E1740" s="43" t="s">
        <v>558</v>
      </c>
      <c r="F1740" s="42" t="s">
        <v>1</v>
      </c>
    </row>
    <row r="1741" spans="1:6">
      <c r="A1741" s="39">
        <v>45901</v>
      </c>
      <c r="B1741" s="40" t="s">
        <v>446</v>
      </c>
      <c r="C1741" s="40" t="s">
        <v>461</v>
      </c>
      <c r="D1741" s="41">
        <v>19.96</v>
      </c>
      <c r="E1741" s="43" t="s">
        <v>558</v>
      </c>
      <c r="F1741" s="42" t="s">
        <v>1</v>
      </c>
    </row>
    <row r="1742" spans="1:6">
      <c r="A1742" s="39">
        <v>45901</v>
      </c>
      <c r="B1742" s="40" t="s">
        <v>256</v>
      </c>
      <c r="C1742" s="40" t="s">
        <v>34</v>
      </c>
      <c r="D1742" s="41">
        <v>64.44</v>
      </c>
      <c r="E1742" s="43" t="s">
        <v>49</v>
      </c>
      <c r="F1742" s="42" t="s">
        <v>1</v>
      </c>
    </row>
    <row r="1743" spans="1:6">
      <c r="A1743" s="39">
        <v>45901</v>
      </c>
      <c r="B1743" s="40" t="s">
        <v>256</v>
      </c>
      <c r="C1743" s="40" t="s">
        <v>34</v>
      </c>
      <c r="D1743" s="41">
        <v>-12.24</v>
      </c>
      <c r="E1743" s="43" t="s">
        <v>559</v>
      </c>
      <c r="F1743" s="42" t="s">
        <v>1</v>
      </c>
    </row>
    <row r="1744" spans="1:6">
      <c r="A1744" s="39">
        <v>45901</v>
      </c>
      <c r="B1744" s="40" t="s">
        <v>454</v>
      </c>
      <c r="C1744" s="40" t="s">
        <v>39</v>
      </c>
      <c r="D1744" s="41">
        <v>800</v>
      </c>
      <c r="E1744" s="43" t="s">
        <v>560</v>
      </c>
      <c r="F1744" s="42" t="s">
        <v>0</v>
      </c>
    </row>
    <row r="1745" spans="1:6">
      <c r="A1745" s="39">
        <v>45901</v>
      </c>
      <c r="B1745" s="40" t="s">
        <v>239</v>
      </c>
      <c r="C1745" s="40" t="s">
        <v>34</v>
      </c>
      <c r="D1745" s="41">
        <v>1.07</v>
      </c>
      <c r="E1745" s="43" t="str">
        <f>C1745</f>
        <v>Intereses</v>
      </c>
      <c r="F1745" s="42" t="s">
        <v>0</v>
      </c>
    </row>
    <row r="1746" spans="1:6">
      <c r="A1746" s="39">
        <f>A1745</f>
        <v>45901</v>
      </c>
      <c r="B1746" s="40" t="s">
        <v>454</v>
      </c>
      <c r="C1746" s="40" t="s">
        <v>43</v>
      </c>
      <c r="D1746" s="41">
        <v>-35.880000000000003</v>
      </c>
      <c r="E1746" s="43" t="s">
        <v>498</v>
      </c>
      <c r="F1746" s="42" t="s">
        <v>0</v>
      </c>
    </row>
    <row r="1747" spans="1:6">
      <c r="A1747" s="39">
        <f>A1746</f>
        <v>45901</v>
      </c>
      <c r="B1747" s="40" t="s">
        <v>454</v>
      </c>
      <c r="C1747" s="40" t="s">
        <v>43</v>
      </c>
      <c r="D1747" s="41">
        <v>-100</v>
      </c>
      <c r="E1747" s="43" t="s">
        <v>456</v>
      </c>
      <c r="F1747" s="42" t="s">
        <v>38</v>
      </c>
    </row>
    <row r="1748" spans="1:6">
      <c r="A1748" s="39">
        <f>A1747</f>
        <v>45901</v>
      </c>
      <c r="B1748" s="40" t="s">
        <v>454</v>
      </c>
      <c r="C1748" s="40" t="s">
        <v>41</v>
      </c>
      <c r="D1748" s="41">
        <v>-1.3</v>
      </c>
      <c r="E1748" s="43" t="s">
        <v>467</v>
      </c>
      <c r="F1748" s="42" t="s">
        <v>0</v>
      </c>
    </row>
    <row r="1749" spans="1:6">
      <c r="A1749" s="39">
        <f>A1748</f>
        <v>45901</v>
      </c>
      <c r="B1749" s="40" t="s">
        <v>502</v>
      </c>
      <c r="C1749" s="40" t="s">
        <v>34</v>
      </c>
      <c r="D1749" s="41">
        <v>0.02</v>
      </c>
      <c r="E1749" s="43" t="str">
        <f>C1749</f>
        <v>Intereses</v>
      </c>
      <c r="F1749" s="42" t="s">
        <v>0</v>
      </c>
    </row>
    <row r="1750" spans="1:6">
      <c r="A1750" s="39">
        <f>A1749</f>
        <v>45901</v>
      </c>
      <c r="B1750" s="40" t="s">
        <v>116</v>
      </c>
      <c r="C1750" s="40" t="s">
        <v>34</v>
      </c>
      <c r="D1750" s="41">
        <v>1.55</v>
      </c>
      <c r="E1750" s="43" t="str">
        <f>C1750</f>
        <v>Intereses</v>
      </c>
      <c r="F1750" s="42" t="s">
        <v>0</v>
      </c>
    </row>
    <row r="1751" spans="1:6">
      <c r="A1751" s="39">
        <v>45902</v>
      </c>
      <c r="B1751" s="40" t="s">
        <v>454</v>
      </c>
      <c r="C1751" s="40" t="s">
        <v>41</v>
      </c>
      <c r="D1751" s="41">
        <v>-1.3</v>
      </c>
      <c r="E1751" s="43" t="s">
        <v>467</v>
      </c>
      <c r="F1751" s="42" t="s">
        <v>0</v>
      </c>
    </row>
    <row r="1752" spans="1:6">
      <c r="A1752" s="39">
        <f>A1751</f>
        <v>45902</v>
      </c>
      <c r="B1752" s="40" t="s">
        <v>449</v>
      </c>
      <c r="C1752" s="40" t="s">
        <v>46</v>
      </c>
      <c r="D1752" s="41">
        <v>-597.73</v>
      </c>
      <c r="E1752" s="43" t="str">
        <f>C1752</f>
        <v>Traspaso</v>
      </c>
      <c r="F1752" s="42" t="s">
        <v>0</v>
      </c>
    </row>
    <row r="1753" spans="1:6">
      <c r="A1753" s="39">
        <f>A1752</f>
        <v>45902</v>
      </c>
      <c r="B1753" s="40" t="s">
        <v>481</v>
      </c>
      <c r="C1753" s="40" t="s">
        <v>46</v>
      </c>
      <c r="D1753" s="41">
        <v>597.73</v>
      </c>
      <c r="E1753" s="43" t="str">
        <f>C1753</f>
        <v>Traspaso</v>
      </c>
      <c r="F1753" s="42" t="s">
        <v>0</v>
      </c>
    </row>
    <row r="1754" spans="1:6">
      <c r="A1754" s="39">
        <f>A1753</f>
        <v>45902</v>
      </c>
      <c r="B1754" s="40" t="s">
        <v>481</v>
      </c>
      <c r="C1754" s="40" t="s">
        <v>46</v>
      </c>
      <c r="D1754" s="41">
        <v>-600</v>
      </c>
      <c r="E1754" s="43" t="str">
        <f>C1754</f>
        <v>Traspaso</v>
      </c>
      <c r="F1754" s="42" t="s">
        <v>0</v>
      </c>
    </row>
    <row r="1755" spans="1:6">
      <c r="A1755" s="39">
        <f>A1754</f>
        <v>45902</v>
      </c>
      <c r="B1755" s="40" t="s">
        <v>508</v>
      </c>
      <c r="C1755" s="40" t="s">
        <v>46</v>
      </c>
      <c r="D1755" s="41">
        <v>600</v>
      </c>
      <c r="E1755" s="43" t="str">
        <f>C1755</f>
        <v>Traspaso</v>
      </c>
      <c r="F1755" s="42" t="s">
        <v>0</v>
      </c>
    </row>
    <row r="1756" spans="1:6">
      <c r="A1756" s="39">
        <f>A1755</f>
        <v>45902</v>
      </c>
      <c r="B1756" s="40" t="s">
        <v>454</v>
      </c>
      <c r="C1756" s="40" t="s">
        <v>62</v>
      </c>
      <c r="D1756" s="41">
        <v>-4</v>
      </c>
      <c r="E1756" s="43" t="s">
        <v>460</v>
      </c>
      <c r="F1756" s="42" t="s">
        <v>38</v>
      </c>
    </row>
    <row r="1757" spans="1:6">
      <c r="A1757" s="39">
        <f>A1756</f>
        <v>45902</v>
      </c>
      <c r="B1757" s="40" t="s">
        <v>446</v>
      </c>
      <c r="C1757" s="40" t="s">
        <v>461</v>
      </c>
      <c r="D1757" s="41">
        <v>-10.48</v>
      </c>
      <c r="E1757" s="43" t="s">
        <v>80</v>
      </c>
      <c r="F1757" s="42" t="s">
        <v>1</v>
      </c>
    </row>
    <row r="1758" spans="1:6">
      <c r="A1758" s="39">
        <f>A1757</f>
        <v>45902</v>
      </c>
      <c r="B1758" s="40" t="s">
        <v>445</v>
      </c>
      <c r="C1758" s="40" t="s">
        <v>73</v>
      </c>
      <c r="D1758" s="41">
        <v>-31.91</v>
      </c>
      <c r="E1758" s="43" t="s">
        <v>561</v>
      </c>
      <c r="F1758" s="42" t="s">
        <v>38</v>
      </c>
    </row>
    <row r="1759" spans="1:6">
      <c r="A1759" s="39">
        <f>A1758</f>
        <v>45902</v>
      </c>
      <c r="B1759" s="40" t="s">
        <v>450</v>
      </c>
      <c r="C1759" s="40" t="s">
        <v>54</v>
      </c>
      <c r="D1759" s="41">
        <v>-36.979999999999997</v>
      </c>
      <c r="E1759" s="43" t="s">
        <v>562</v>
      </c>
      <c r="F1759" s="42" t="s">
        <v>1</v>
      </c>
    </row>
    <row r="1760" spans="1:6">
      <c r="A1760" s="39">
        <f>A1759</f>
        <v>45902</v>
      </c>
      <c r="B1760" s="40" t="s">
        <v>504</v>
      </c>
      <c r="C1760" s="40" t="s">
        <v>46</v>
      </c>
      <c r="D1760" s="41">
        <v>-70</v>
      </c>
      <c r="E1760" s="43" t="s">
        <v>46</v>
      </c>
      <c r="F1760" s="42" t="s">
        <v>1</v>
      </c>
    </row>
    <row r="1761" spans="1:6">
      <c r="A1761" s="39">
        <f>A1760</f>
        <v>45902</v>
      </c>
      <c r="B1761" s="40" t="s">
        <v>201</v>
      </c>
      <c r="C1761" s="40" t="s">
        <v>46</v>
      </c>
      <c r="D1761" s="41">
        <v>70</v>
      </c>
      <c r="E1761" s="43" t="s">
        <v>46</v>
      </c>
      <c r="F1761" s="42" t="s">
        <v>1</v>
      </c>
    </row>
    <row r="1762" spans="1:6">
      <c r="A1762" s="39">
        <v>45902</v>
      </c>
      <c r="B1762" s="40" t="s">
        <v>454</v>
      </c>
      <c r="C1762" s="40" t="s">
        <v>36</v>
      </c>
      <c r="D1762" s="41">
        <v>-74.45</v>
      </c>
      <c r="E1762" s="43" t="s">
        <v>295</v>
      </c>
      <c r="F1762" s="42" t="s">
        <v>38</v>
      </c>
    </row>
    <row r="1763" spans="1:6">
      <c r="A1763" s="39">
        <v>45903</v>
      </c>
      <c r="B1763" s="40" t="s">
        <v>446</v>
      </c>
      <c r="C1763" s="40" t="s">
        <v>52</v>
      </c>
      <c r="D1763" s="41">
        <v>-74</v>
      </c>
      <c r="E1763" s="43" t="s">
        <v>130</v>
      </c>
      <c r="F1763" s="42" t="s">
        <v>38</v>
      </c>
    </row>
    <row r="1764" spans="1:6">
      <c r="A1764" s="39">
        <f>A1763</f>
        <v>45903</v>
      </c>
      <c r="B1764" s="40" t="s">
        <v>452</v>
      </c>
      <c r="C1764" s="40" t="s">
        <v>461</v>
      </c>
      <c r="D1764" s="41">
        <v>-4.5</v>
      </c>
      <c r="E1764" s="43" t="s">
        <v>563</v>
      </c>
      <c r="F1764" s="42" t="s">
        <v>38</v>
      </c>
    </row>
    <row r="1765" spans="1:6">
      <c r="A1765" s="39">
        <f>A1764</f>
        <v>45903</v>
      </c>
      <c r="B1765" s="40" t="s">
        <v>446</v>
      </c>
      <c r="C1765" s="40" t="s">
        <v>47</v>
      </c>
      <c r="D1765" s="41">
        <v>-48.98</v>
      </c>
      <c r="E1765" s="43" t="s">
        <v>564</v>
      </c>
      <c r="F1765" s="42" t="s">
        <v>1</v>
      </c>
    </row>
    <row r="1766" spans="1:6">
      <c r="A1766" s="39">
        <v>45903</v>
      </c>
      <c r="B1766" s="40" t="s">
        <v>504</v>
      </c>
      <c r="C1766" s="40" t="s">
        <v>34</v>
      </c>
      <c r="D1766" s="41">
        <v>0.09</v>
      </c>
      <c r="E1766" s="43" t="s">
        <v>565</v>
      </c>
      <c r="F1766" s="42" t="s">
        <v>1</v>
      </c>
    </row>
    <row r="1767" spans="1:6">
      <c r="A1767" s="39">
        <f>A1765</f>
        <v>45903</v>
      </c>
      <c r="B1767" s="40" t="s">
        <v>449</v>
      </c>
      <c r="C1767" s="40" t="s">
        <v>46</v>
      </c>
      <c r="D1767" s="41">
        <v>-300</v>
      </c>
      <c r="E1767" s="43" t="str">
        <f>C1767</f>
        <v>Traspaso</v>
      </c>
      <c r="F1767" s="42" t="s">
        <v>0</v>
      </c>
    </row>
    <row r="1768" spans="1:6">
      <c r="A1768" s="39">
        <f>A1767</f>
        <v>45903</v>
      </c>
      <c r="B1768" s="40" t="s">
        <v>566</v>
      </c>
      <c r="C1768" s="40" t="s">
        <v>46</v>
      </c>
      <c r="D1768" s="41">
        <v>300</v>
      </c>
      <c r="E1768" s="43" t="str">
        <f>C1768</f>
        <v>Traspaso</v>
      </c>
      <c r="F1768" s="42" t="s">
        <v>0</v>
      </c>
    </row>
    <row r="1769" spans="1:6">
      <c r="A1769" s="39">
        <f>A1768</f>
        <v>45903</v>
      </c>
      <c r="B1769" s="40" t="s">
        <v>454</v>
      </c>
      <c r="C1769" s="40" t="s">
        <v>46</v>
      </c>
      <c r="D1769" s="41">
        <v>-200</v>
      </c>
      <c r="E1769" s="43" t="str">
        <f>C1769</f>
        <v>Traspaso</v>
      </c>
      <c r="F1769" s="42" t="s">
        <v>0</v>
      </c>
    </row>
    <row r="1770" spans="1:6">
      <c r="A1770" s="39">
        <f>A1769</f>
        <v>45903</v>
      </c>
      <c r="B1770" s="40" t="s">
        <v>472</v>
      </c>
      <c r="C1770" s="40" t="s">
        <v>46</v>
      </c>
      <c r="D1770" s="41">
        <v>200</v>
      </c>
      <c r="E1770" s="43" t="str">
        <f>C1770</f>
        <v>Traspaso</v>
      </c>
      <c r="F1770" s="42" t="s">
        <v>0</v>
      </c>
    </row>
    <row r="1771" spans="1:6">
      <c r="A1771" s="39">
        <f>A1768</f>
        <v>45903</v>
      </c>
      <c r="B1771" s="40" t="s">
        <v>454</v>
      </c>
      <c r="C1771" s="40" t="s">
        <v>41</v>
      </c>
      <c r="D1771" s="41">
        <v>-1.3</v>
      </c>
      <c r="E1771" s="43" t="s">
        <v>467</v>
      </c>
      <c r="F1771" s="42" t="s">
        <v>0</v>
      </c>
    </row>
    <row r="1772" spans="1:6">
      <c r="A1772" s="39">
        <f>A1771</f>
        <v>45903</v>
      </c>
      <c r="B1772" s="40" t="s">
        <v>116</v>
      </c>
      <c r="C1772" s="40" t="s">
        <v>34</v>
      </c>
      <c r="D1772" s="41">
        <v>0.03</v>
      </c>
      <c r="E1772" s="43" t="s">
        <v>567</v>
      </c>
      <c r="F1772" s="42" t="s">
        <v>0</v>
      </c>
    </row>
    <row r="1773" spans="1:6">
      <c r="A1773" s="39">
        <f>A1772</f>
        <v>45903</v>
      </c>
      <c r="B1773" s="40" t="s">
        <v>481</v>
      </c>
      <c r="C1773" s="40" t="s">
        <v>47</v>
      </c>
      <c r="D1773" s="41">
        <v>48.98</v>
      </c>
      <c r="E1773" s="43" t="s">
        <v>501</v>
      </c>
      <c r="F1773" s="42" t="s">
        <v>0</v>
      </c>
    </row>
    <row r="1774" spans="1:6">
      <c r="A1774" s="39">
        <f>A1773</f>
        <v>45903</v>
      </c>
      <c r="B1774" s="40" t="s">
        <v>454</v>
      </c>
      <c r="C1774" s="40" t="s">
        <v>34</v>
      </c>
      <c r="D1774" s="41">
        <v>1.2</v>
      </c>
      <c r="E1774" s="43" t="str">
        <f>C1774</f>
        <v>Intereses</v>
      </c>
      <c r="F1774" s="42" t="s">
        <v>0</v>
      </c>
    </row>
    <row r="1775" spans="1:6">
      <c r="A1775" s="39">
        <v>45904</v>
      </c>
      <c r="B1775" s="40" t="s">
        <v>454</v>
      </c>
      <c r="C1775" s="40" t="s">
        <v>41</v>
      </c>
      <c r="D1775" s="41">
        <v>-1.3</v>
      </c>
      <c r="E1775" s="43" t="s">
        <v>467</v>
      </c>
      <c r="F1775" s="42" t="s">
        <v>0</v>
      </c>
    </row>
    <row r="1776" spans="1:6">
      <c r="A1776" s="39">
        <f>A1775</f>
        <v>45904</v>
      </c>
      <c r="B1776" s="40" t="s">
        <v>438</v>
      </c>
      <c r="C1776" s="40" t="s">
        <v>46</v>
      </c>
      <c r="D1776" s="41">
        <v>-300</v>
      </c>
      <c r="E1776" s="43" t="str">
        <f>C1776</f>
        <v>Traspaso</v>
      </c>
      <c r="F1776" s="42" t="s">
        <v>0</v>
      </c>
    </row>
    <row r="1777" spans="1:7">
      <c r="A1777" s="39">
        <f>A1776</f>
        <v>45904</v>
      </c>
      <c r="B1777" s="40" t="s">
        <v>449</v>
      </c>
      <c r="C1777" s="40" t="s">
        <v>46</v>
      </c>
      <c r="D1777" s="41">
        <v>300</v>
      </c>
      <c r="E1777" s="43" t="str">
        <f>C1777</f>
        <v>Traspaso</v>
      </c>
      <c r="F1777" s="42" t="s">
        <v>0</v>
      </c>
    </row>
    <row r="1778" spans="1:7">
      <c r="A1778" s="39">
        <v>45905</v>
      </c>
      <c r="B1778" s="40" t="s">
        <v>471</v>
      </c>
      <c r="C1778" s="40" t="s">
        <v>46</v>
      </c>
      <c r="D1778" s="41">
        <v>-600</v>
      </c>
      <c r="E1778" s="43" t="str">
        <f>C1778</f>
        <v>Traspaso</v>
      </c>
      <c r="F1778" s="42" t="s">
        <v>0</v>
      </c>
    </row>
    <row r="1779" spans="1:7">
      <c r="A1779" s="39">
        <f>A1778</f>
        <v>45905</v>
      </c>
      <c r="B1779" s="40" t="s">
        <v>437</v>
      </c>
      <c r="C1779" s="40" t="s">
        <v>46</v>
      </c>
      <c r="D1779" s="41">
        <v>600</v>
      </c>
      <c r="E1779" s="43" t="str">
        <f>C1779</f>
        <v>Traspaso</v>
      </c>
      <c r="F1779" s="42" t="s">
        <v>0</v>
      </c>
    </row>
    <row r="1780" spans="1:7">
      <c r="A1780" s="39">
        <f>A1779</f>
        <v>45905</v>
      </c>
      <c r="B1780" s="40" t="s">
        <v>471</v>
      </c>
      <c r="C1780" s="40" t="s">
        <v>46</v>
      </c>
      <c r="D1780" s="41">
        <v>-100</v>
      </c>
      <c r="E1780" s="43" t="str">
        <f>C1780</f>
        <v>Traspaso</v>
      </c>
      <c r="F1780" s="42" t="s">
        <v>0</v>
      </c>
    </row>
    <row r="1781" spans="1:7">
      <c r="A1781" s="39">
        <f>A1780</f>
        <v>45905</v>
      </c>
      <c r="B1781" s="40" t="s">
        <v>328</v>
      </c>
      <c r="C1781" s="40" t="s">
        <v>46</v>
      </c>
      <c r="D1781" s="41">
        <v>100</v>
      </c>
      <c r="E1781" s="43" t="str">
        <f>C1781</f>
        <v>Traspaso</v>
      </c>
      <c r="F1781" s="42" t="s">
        <v>0</v>
      </c>
    </row>
    <row r="1782" spans="1:7">
      <c r="A1782" s="39">
        <f>A1781</f>
        <v>45905</v>
      </c>
      <c r="B1782" s="40" t="s">
        <v>454</v>
      </c>
      <c r="C1782" s="40" t="s">
        <v>41</v>
      </c>
      <c r="D1782" s="41">
        <v>-1.3</v>
      </c>
      <c r="E1782" s="43" t="s">
        <v>467</v>
      </c>
      <c r="F1782" s="42" t="s">
        <v>0</v>
      </c>
    </row>
    <row r="1783" spans="1:7">
      <c r="A1783" s="39">
        <v>45905</v>
      </c>
      <c r="B1783" s="40" t="s">
        <v>446</v>
      </c>
      <c r="C1783" s="40" t="s">
        <v>60</v>
      </c>
      <c r="D1783" s="41">
        <v>-21</v>
      </c>
      <c r="E1783" s="43" t="s">
        <v>68</v>
      </c>
      <c r="F1783" s="42" t="s">
        <v>1</v>
      </c>
    </row>
    <row r="1784" spans="1:7">
      <c r="A1784" s="39">
        <v>45906</v>
      </c>
      <c r="B1784" s="40" t="s">
        <v>454</v>
      </c>
      <c r="C1784" s="40" t="s">
        <v>52</v>
      </c>
      <c r="D1784" s="41">
        <v>-12</v>
      </c>
      <c r="E1784" s="43" t="s">
        <v>568</v>
      </c>
      <c r="F1784" s="42" t="s">
        <v>0</v>
      </c>
    </row>
    <row r="1785" spans="1:7">
      <c r="A1785" s="39">
        <f>A1784</f>
        <v>45906</v>
      </c>
      <c r="B1785" s="40" t="s">
        <v>454</v>
      </c>
      <c r="C1785" s="40" t="s">
        <v>41</v>
      </c>
      <c r="D1785" s="41">
        <v>-9.8000000000000007</v>
      </c>
      <c r="E1785" s="43" t="s">
        <v>536</v>
      </c>
      <c r="F1785" s="42" t="s">
        <v>38</v>
      </c>
    </row>
    <row r="1786" spans="1:7">
      <c r="A1786" s="39">
        <f>A1785</f>
        <v>45906</v>
      </c>
      <c r="B1786" s="40" t="s">
        <v>454</v>
      </c>
      <c r="C1786" s="40" t="s">
        <v>58</v>
      </c>
      <c r="D1786" s="41">
        <v>-43.5</v>
      </c>
      <c r="E1786" s="43" t="s">
        <v>569</v>
      </c>
      <c r="F1786" s="42" t="s">
        <v>38</v>
      </c>
    </row>
    <row r="1787" spans="1:7">
      <c r="A1787" s="39">
        <v>45908</v>
      </c>
      <c r="B1787" s="40" t="s">
        <v>454</v>
      </c>
      <c r="C1787" s="40" t="s">
        <v>41</v>
      </c>
      <c r="D1787" s="41">
        <v>-1.3</v>
      </c>
      <c r="E1787" s="43" t="s">
        <v>467</v>
      </c>
      <c r="F1787" s="42" t="s">
        <v>0</v>
      </c>
    </row>
    <row r="1788" spans="1:7">
      <c r="A1788" s="39">
        <f>A1787</f>
        <v>45908</v>
      </c>
      <c r="B1788" s="40" t="s">
        <v>116</v>
      </c>
      <c r="C1788" s="40" t="s">
        <v>34</v>
      </c>
      <c r="D1788" s="41">
        <v>26.61</v>
      </c>
      <c r="E1788" s="43" t="s">
        <v>570</v>
      </c>
      <c r="F1788" s="42" t="s">
        <v>0</v>
      </c>
    </row>
    <row r="1789" spans="1:7">
      <c r="A1789" s="39">
        <f>A1788</f>
        <v>45908</v>
      </c>
      <c r="B1789" s="40" t="s">
        <v>116</v>
      </c>
      <c r="C1789" s="40" t="s">
        <v>34</v>
      </c>
      <c r="D1789" s="41">
        <v>19.399999999999999</v>
      </c>
      <c r="E1789" s="43" t="s">
        <v>570</v>
      </c>
      <c r="F1789" s="42" t="s">
        <v>0</v>
      </c>
    </row>
    <row r="1790" spans="1:7">
      <c r="A1790" s="39">
        <f>A1789</f>
        <v>45908</v>
      </c>
      <c r="B1790" s="40" t="s">
        <v>438</v>
      </c>
      <c r="C1790" s="40" t="s">
        <v>34</v>
      </c>
      <c r="D1790" s="41">
        <v>25</v>
      </c>
      <c r="E1790" s="43" t="s">
        <v>377</v>
      </c>
      <c r="F1790" s="42" t="s">
        <v>0</v>
      </c>
    </row>
    <row r="1791" spans="1:7">
      <c r="A1791" s="39">
        <f>A1790</f>
        <v>45908</v>
      </c>
      <c r="B1791" s="40" t="s">
        <v>471</v>
      </c>
      <c r="C1791" s="40" t="s">
        <v>34</v>
      </c>
      <c r="D1791" s="41">
        <v>25</v>
      </c>
      <c r="E1791" s="43" t="s">
        <v>514</v>
      </c>
      <c r="F1791" s="42" t="s">
        <v>0</v>
      </c>
    </row>
    <row r="1792" spans="1:7">
      <c r="A1792" s="39">
        <f>A1790</f>
        <v>45908</v>
      </c>
      <c r="B1792" s="40" t="s">
        <v>454</v>
      </c>
      <c r="C1792" s="40" t="s">
        <v>36</v>
      </c>
      <c r="D1792" s="41">
        <v>-90.35</v>
      </c>
      <c r="E1792" s="43" t="s">
        <v>295</v>
      </c>
      <c r="F1792" s="42" t="s">
        <v>38</v>
      </c>
      <c r="G1792" s="16"/>
    </row>
    <row r="1793" spans="1:7">
      <c r="A1793" s="39">
        <f>A1792</f>
        <v>45908</v>
      </c>
      <c r="B1793" s="40" t="s">
        <v>116</v>
      </c>
      <c r="C1793" s="40" t="s">
        <v>46</v>
      </c>
      <c r="D1793" s="41">
        <v>-100</v>
      </c>
      <c r="E1793" s="43" t="str">
        <f>C1793</f>
        <v>Traspaso</v>
      </c>
      <c r="F1793" s="42" t="s">
        <v>0</v>
      </c>
    </row>
    <row r="1794" spans="1:7">
      <c r="A1794" s="39">
        <f>A1793</f>
        <v>45908</v>
      </c>
      <c r="B1794" s="40" t="s">
        <v>566</v>
      </c>
      <c r="C1794" s="40" t="s">
        <v>46</v>
      </c>
      <c r="D1794" s="41">
        <v>100</v>
      </c>
      <c r="E1794" s="43" t="str">
        <f>C1794</f>
        <v>Traspaso</v>
      </c>
      <c r="F1794" s="42" t="s">
        <v>0</v>
      </c>
      <c r="G1794" s="16"/>
    </row>
    <row r="1795" spans="1:7">
      <c r="A1795" s="39">
        <f>A1794</f>
        <v>45908</v>
      </c>
      <c r="B1795" s="40" t="s">
        <v>496</v>
      </c>
      <c r="C1795" s="40" t="s">
        <v>34</v>
      </c>
      <c r="D1795" s="41">
        <v>25</v>
      </c>
      <c r="E1795" s="43" t="s">
        <v>571</v>
      </c>
      <c r="F1795" s="42" t="s">
        <v>1</v>
      </c>
      <c r="G1795" s="16"/>
    </row>
    <row r="1796" spans="1:7">
      <c r="A1796" s="39">
        <f>A1795</f>
        <v>45908</v>
      </c>
      <c r="B1796" s="40" t="s">
        <v>450</v>
      </c>
      <c r="C1796" s="40" t="s">
        <v>41</v>
      </c>
      <c r="D1796" s="41">
        <v>-10.64</v>
      </c>
      <c r="E1796" s="43" t="s">
        <v>572</v>
      </c>
      <c r="F1796" s="42" t="s">
        <v>1</v>
      </c>
      <c r="G1796" s="16"/>
    </row>
    <row r="1797" spans="1:7">
      <c r="A1797" s="39">
        <v>45909</v>
      </c>
      <c r="B1797" s="40" t="s">
        <v>256</v>
      </c>
      <c r="C1797" s="40" t="s">
        <v>62</v>
      </c>
      <c r="D1797" s="41">
        <v>-6</v>
      </c>
      <c r="E1797" s="43" t="s">
        <v>573</v>
      </c>
      <c r="F1797" s="42" t="s">
        <v>38</v>
      </c>
      <c r="G1797" s="16"/>
    </row>
    <row r="1798" spans="1:7">
      <c r="A1798" s="39">
        <v>45909</v>
      </c>
      <c r="B1798" s="40" t="s">
        <v>574</v>
      </c>
      <c r="C1798" s="40" t="s">
        <v>41</v>
      </c>
      <c r="D1798" s="41">
        <v>-1.5</v>
      </c>
      <c r="E1798" s="43" t="s">
        <v>467</v>
      </c>
      <c r="F1798" s="42" t="s">
        <v>0</v>
      </c>
    </row>
    <row r="1799" spans="1:7">
      <c r="A1799" s="39">
        <f>A1798</f>
        <v>45909</v>
      </c>
      <c r="B1799" s="40" t="s">
        <v>574</v>
      </c>
      <c r="C1799" s="40" t="s">
        <v>62</v>
      </c>
      <c r="D1799" s="41">
        <v>-4</v>
      </c>
      <c r="E1799" s="43" t="s">
        <v>460</v>
      </c>
      <c r="F1799" s="42" t="s">
        <v>38</v>
      </c>
    </row>
    <row r="1800" spans="1:7">
      <c r="A1800" s="39">
        <f>A1799</f>
        <v>45909</v>
      </c>
      <c r="B1800" s="40" t="s">
        <v>574</v>
      </c>
      <c r="C1800" s="40" t="s">
        <v>62</v>
      </c>
      <c r="D1800" s="41">
        <v>10.5</v>
      </c>
      <c r="E1800" s="43" t="s">
        <v>460</v>
      </c>
      <c r="F1800" s="42" t="s">
        <v>38</v>
      </c>
    </row>
    <row r="1801" spans="1:7">
      <c r="A1801" s="39">
        <v>45909</v>
      </c>
      <c r="B1801" s="40" t="s">
        <v>116</v>
      </c>
      <c r="C1801" s="40" t="s">
        <v>34</v>
      </c>
      <c r="D1801" s="41">
        <v>27.99</v>
      </c>
      <c r="E1801" s="43" t="s">
        <v>570</v>
      </c>
      <c r="F1801" s="42" t="s">
        <v>0</v>
      </c>
    </row>
    <row r="1802" spans="1:7">
      <c r="A1802" s="39">
        <v>45910</v>
      </c>
      <c r="B1802" s="40" t="s">
        <v>481</v>
      </c>
      <c r="C1802" s="40" t="s">
        <v>62</v>
      </c>
      <c r="D1802" s="41">
        <v>-40</v>
      </c>
      <c r="E1802" s="43" t="s">
        <v>575</v>
      </c>
      <c r="F1802" s="42" t="s">
        <v>38</v>
      </c>
    </row>
    <row r="1803" spans="1:7">
      <c r="A1803" s="39">
        <f>A1802</f>
        <v>45910</v>
      </c>
      <c r="B1803" s="40" t="s">
        <v>566</v>
      </c>
      <c r="C1803" s="40" t="s">
        <v>41</v>
      </c>
      <c r="D1803" s="41">
        <v>-1.3</v>
      </c>
      <c r="E1803" s="43" t="s">
        <v>467</v>
      </c>
      <c r="F1803" s="42" t="s">
        <v>0</v>
      </c>
    </row>
    <row r="1804" spans="1:7">
      <c r="A1804" s="39">
        <v>45911</v>
      </c>
      <c r="B1804" s="40" t="s">
        <v>574</v>
      </c>
      <c r="C1804" s="40" t="s">
        <v>41</v>
      </c>
      <c r="D1804" s="41">
        <v>-1</v>
      </c>
      <c r="E1804" s="43" t="s">
        <v>467</v>
      </c>
      <c r="F1804" s="42" t="s">
        <v>0</v>
      </c>
    </row>
    <row r="1805" spans="1:7">
      <c r="A1805" s="39">
        <f>A1804</f>
        <v>45911</v>
      </c>
      <c r="B1805" s="40" t="s">
        <v>437</v>
      </c>
      <c r="C1805" s="40" t="s">
        <v>46</v>
      </c>
      <c r="D1805" s="41">
        <v>-475</v>
      </c>
      <c r="E1805" s="43" t="str">
        <f>C1805</f>
        <v>Traspaso</v>
      </c>
      <c r="F1805" s="42" t="s">
        <v>0</v>
      </c>
    </row>
    <row r="1806" spans="1:7">
      <c r="A1806" s="39">
        <f>A1805</f>
        <v>45911</v>
      </c>
      <c r="B1806" s="40" t="s">
        <v>438</v>
      </c>
      <c r="C1806" s="40" t="s">
        <v>46</v>
      </c>
      <c r="D1806" s="41">
        <v>475</v>
      </c>
      <c r="E1806" s="43" t="str">
        <f>C1806</f>
        <v>Traspaso</v>
      </c>
      <c r="F1806" s="42" t="s">
        <v>0</v>
      </c>
    </row>
    <row r="1807" spans="1:7">
      <c r="A1807" s="39">
        <f>A1806</f>
        <v>45911</v>
      </c>
      <c r="B1807" s="40" t="s">
        <v>239</v>
      </c>
      <c r="C1807" s="40" t="s">
        <v>46</v>
      </c>
      <c r="D1807" s="41">
        <v>-500</v>
      </c>
      <c r="E1807" s="43" t="str">
        <f>C1807</f>
        <v>Traspaso</v>
      </c>
      <c r="F1807" s="42" t="s">
        <v>0</v>
      </c>
    </row>
    <row r="1808" spans="1:7">
      <c r="A1808" s="39">
        <f>A1807</f>
        <v>45911</v>
      </c>
      <c r="B1808" s="40" t="s">
        <v>449</v>
      </c>
      <c r="C1808" s="40" t="s">
        <v>46</v>
      </c>
      <c r="D1808" s="41">
        <v>500</v>
      </c>
      <c r="E1808" s="43" t="str">
        <f>C1808</f>
        <v>Traspaso</v>
      </c>
      <c r="F1808" s="42" t="s">
        <v>0</v>
      </c>
    </row>
    <row r="1809" spans="1:6">
      <c r="A1809" s="39">
        <f>A1808</f>
        <v>45911</v>
      </c>
      <c r="B1809" s="40" t="s">
        <v>437</v>
      </c>
      <c r="C1809" s="40" t="s">
        <v>510</v>
      </c>
      <c r="D1809" s="41">
        <v>-527.17999999999995</v>
      </c>
      <c r="E1809" s="43" t="s">
        <v>576</v>
      </c>
      <c r="F1809" s="42" t="s">
        <v>38</v>
      </c>
    </row>
    <row r="1810" spans="1:6">
      <c r="A1810" s="39">
        <f>A1809</f>
        <v>45911</v>
      </c>
      <c r="B1810" s="40" t="s">
        <v>450</v>
      </c>
      <c r="C1810" s="40" t="s">
        <v>46</v>
      </c>
      <c r="D1810" s="41">
        <v>-475</v>
      </c>
      <c r="E1810" s="43"/>
      <c r="F1810" s="42" t="s">
        <v>1</v>
      </c>
    </row>
    <row r="1811" spans="1:6">
      <c r="A1811" s="39">
        <v>45911</v>
      </c>
      <c r="B1811" s="40" t="s">
        <v>496</v>
      </c>
      <c r="C1811" s="40" t="s">
        <v>46</v>
      </c>
      <c r="D1811" s="41">
        <v>475</v>
      </c>
      <c r="E1811" s="43"/>
      <c r="F1811" s="42" t="s">
        <v>1</v>
      </c>
    </row>
    <row r="1812" spans="1:6">
      <c r="A1812" s="39">
        <v>45912</v>
      </c>
      <c r="B1812" s="40" t="s">
        <v>256</v>
      </c>
      <c r="C1812" s="40" t="s">
        <v>46</v>
      </c>
      <c r="D1812" s="41">
        <v>-500</v>
      </c>
      <c r="E1812" s="43"/>
      <c r="F1812" s="42" t="s">
        <v>1</v>
      </c>
    </row>
    <row r="1813" spans="1:6">
      <c r="A1813" s="39">
        <v>45912</v>
      </c>
      <c r="B1813" s="40" t="s">
        <v>450</v>
      </c>
      <c r="C1813" s="40" t="s">
        <v>46</v>
      </c>
      <c r="D1813" s="41">
        <v>500</v>
      </c>
      <c r="E1813" s="43"/>
      <c r="F1813" s="42" t="s">
        <v>1</v>
      </c>
    </row>
    <row r="1814" spans="1:6">
      <c r="A1814" s="39">
        <v>45912</v>
      </c>
      <c r="B1814" s="40" t="s">
        <v>446</v>
      </c>
      <c r="C1814" s="40" t="s">
        <v>81</v>
      </c>
      <c r="D1814" s="41">
        <v>-35</v>
      </c>
      <c r="E1814" s="43" t="s">
        <v>82</v>
      </c>
      <c r="F1814" s="42" t="s">
        <v>38</v>
      </c>
    </row>
    <row r="1815" spans="1:6">
      <c r="A1815" s="39">
        <v>45912</v>
      </c>
      <c r="B1815" s="40" t="s">
        <v>448</v>
      </c>
      <c r="C1815" s="40" t="s">
        <v>34</v>
      </c>
      <c r="D1815" s="41">
        <v>26.19</v>
      </c>
      <c r="E1815" s="43" t="s">
        <v>49</v>
      </c>
      <c r="F1815" s="42" t="s">
        <v>1</v>
      </c>
    </row>
    <row r="1816" spans="1:6">
      <c r="A1816" s="39">
        <v>45912</v>
      </c>
      <c r="B1816" s="40" t="s">
        <v>452</v>
      </c>
      <c r="C1816" s="40" t="s">
        <v>461</v>
      </c>
      <c r="D1816" s="41">
        <v>-50</v>
      </c>
      <c r="E1816" s="43" t="s">
        <v>528</v>
      </c>
      <c r="F1816" s="42" t="s">
        <v>38</v>
      </c>
    </row>
    <row r="1817" spans="1:6">
      <c r="A1817" s="39">
        <v>45912</v>
      </c>
      <c r="B1817" s="40" t="s">
        <v>454</v>
      </c>
      <c r="C1817" s="40" t="s">
        <v>41</v>
      </c>
      <c r="D1817" s="41">
        <v>-1.3</v>
      </c>
      <c r="E1817" s="43" t="s">
        <v>467</v>
      </c>
      <c r="F1817" s="42" t="s">
        <v>0</v>
      </c>
    </row>
    <row r="1818" spans="1:6">
      <c r="A1818" s="39">
        <f>A1817</f>
        <v>45912</v>
      </c>
      <c r="B1818" s="40" t="s">
        <v>481</v>
      </c>
      <c r="C1818" s="40" t="s">
        <v>76</v>
      </c>
      <c r="D1818" s="41">
        <v>-20.12</v>
      </c>
      <c r="E1818" s="43" t="s">
        <v>577</v>
      </c>
      <c r="F1818" s="42" t="s">
        <v>0</v>
      </c>
    </row>
    <row r="1819" spans="1:6">
      <c r="A1819" s="39">
        <f>A1818</f>
        <v>45912</v>
      </c>
      <c r="B1819" s="40" t="s">
        <v>454</v>
      </c>
      <c r="C1819" s="40" t="s">
        <v>52</v>
      </c>
      <c r="D1819" s="41">
        <v>-6</v>
      </c>
      <c r="E1819" s="43" t="s">
        <v>455</v>
      </c>
      <c r="F1819" s="42" t="s">
        <v>0</v>
      </c>
    </row>
    <row r="1820" spans="1:6">
      <c r="A1820" s="39">
        <f>A1819</f>
        <v>45912</v>
      </c>
      <c r="B1820" s="40" t="s">
        <v>449</v>
      </c>
      <c r="C1820" s="40" t="s">
        <v>34</v>
      </c>
      <c r="D1820" s="41">
        <v>0.9</v>
      </c>
      <c r="E1820" s="43" t="str">
        <f>C1820</f>
        <v>Intereses</v>
      </c>
      <c r="F1820" s="42" t="s">
        <v>0</v>
      </c>
    </row>
    <row r="1821" spans="1:6">
      <c r="A1821" s="39">
        <v>45912</v>
      </c>
      <c r="B1821" s="40" t="s">
        <v>438</v>
      </c>
      <c r="C1821" s="40" t="s">
        <v>46</v>
      </c>
      <c r="D1821" s="41">
        <v>-500</v>
      </c>
      <c r="E1821" s="43" t="s">
        <v>46</v>
      </c>
      <c r="F1821" s="42" t="s">
        <v>0</v>
      </c>
    </row>
    <row r="1822" spans="1:6">
      <c r="A1822" s="39">
        <v>45912</v>
      </c>
      <c r="B1822" s="40" t="s">
        <v>449</v>
      </c>
      <c r="C1822" s="40" t="s">
        <v>46</v>
      </c>
      <c r="D1822" s="41">
        <v>500</v>
      </c>
      <c r="E1822" s="43" t="s">
        <v>46</v>
      </c>
      <c r="F1822" s="42" t="s">
        <v>0</v>
      </c>
    </row>
    <row r="1823" spans="1:6">
      <c r="A1823" s="39">
        <v>45913</v>
      </c>
      <c r="B1823" s="40" t="s">
        <v>449</v>
      </c>
      <c r="C1823" s="40" t="s">
        <v>41</v>
      </c>
      <c r="D1823" s="41">
        <v>-9.1999999999999993</v>
      </c>
      <c r="E1823" s="43" t="s">
        <v>536</v>
      </c>
      <c r="F1823" s="42" t="s">
        <v>38</v>
      </c>
    </row>
    <row r="1824" spans="1:6">
      <c r="A1824" s="39">
        <f>A1823</f>
        <v>45913</v>
      </c>
      <c r="B1824" s="40" t="s">
        <v>449</v>
      </c>
      <c r="C1824" s="40" t="s">
        <v>73</v>
      </c>
      <c r="D1824" s="41">
        <v>-67.010000000000005</v>
      </c>
      <c r="E1824" s="43" t="s">
        <v>533</v>
      </c>
      <c r="F1824" s="42" t="s">
        <v>38</v>
      </c>
    </row>
    <row r="1825" spans="1:6">
      <c r="A1825" s="39">
        <f>A1824</f>
        <v>45913</v>
      </c>
      <c r="B1825" s="40" t="s">
        <v>454</v>
      </c>
      <c r="C1825" s="40" t="s">
        <v>36</v>
      </c>
      <c r="D1825" s="41">
        <v>-60.11</v>
      </c>
      <c r="E1825" s="43" t="s">
        <v>295</v>
      </c>
      <c r="F1825" s="42" t="s">
        <v>38</v>
      </c>
    </row>
    <row r="1826" spans="1:6">
      <c r="A1826" s="39">
        <f>A1825</f>
        <v>45913</v>
      </c>
      <c r="B1826" s="40" t="s">
        <v>449</v>
      </c>
      <c r="C1826" s="40" t="s">
        <v>510</v>
      </c>
      <c r="D1826" s="41">
        <v>-236.26</v>
      </c>
      <c r="E1826" s="43" t="s">
        <v>578</v>
      </c>
      <c r="F1826" s="42" t="s">
        <v>38</v>
      </c>
    </row>
    <row r="1827" spans="1:6">
      <c r="A1827" s="39">
        <v>45915</v>
      </c>
      <c r="B1827" s="40" t="s">
        <v>454</v>
      </c>
      <c r="C1827" s="40" t="s">
        <v>41</v>
      </c>
      <c r="D1827" s="41">
        <v>-1.3</v>
      </c>
      <c r="E1827" s="43" t="s">
        <v>467</v>
      </c>
      <c r="F1827" s="42" t="s">
        <v>0</v>
      </c>
    </row>
    <row r="1828" spans="1:6">
      <c r="A1828" s="39">
        <f>A1827</f>
        <v>45915</v>
      </c>
      <c r="B1828" s="40" t="s">
        <v>454</v>
      </c>
      <c r="C1828" s="40" t="s">
        <v>34</v>
      </c>
      <c r="D1828" s="41">
        <v>2.39</v>
      </c>
      <c r="E1828" s="43" t="s">
        <v>570</v>
      </c>
      <c r="F1828" s="42" t="s">
        <v>0</v>
      </c>
    </row>
    <row r="1829" spans="1:6">
      <c r="A1829" s="39">
        <f>A1828</f>
        <v>45915</v>
      </c>
      <c r="B1829" s="40" t="s">
        <v>454</v>
      </c>
      <c r="C1829" s="40" t="s">
        <v>36</v>
      </c>
      <c r="D1829" s="41">
        <v>-7.3</v>
      </c>
      <c r="E1829" s="43" t="s">
        <v>295</v>
      </c>
      <c r="F1829" s="42" t="s">
        <v>38</v>
      </c>
    </row>
    <row r="1830" spans="1:6">
      <c r="A1830" s="39">
        <v>45916</v>
      </c>
      <c r="B1830" s="40" t="s">
        <v>454</v>
      </c>
      <c r="C1830" s="40" t="s">
        <v>41</v>
      </c>
      <c r="D1830" s="41">
        <v>-1.3</v>
      </c>
      <c r="E1830" s="43" t="s">
        <v>467</v>
      </c>
      <c r="F1830" s="42" t="s">
        <v>0</v>
      </c>
    </row>
    <row r="1831" spans="1:6">
      <c r="A1831" s="39">
        <f>A1830</f>
        <v>45916</v>
      </c>
      <c r="B1831" s="40" t="s">
        <v>574</v>
      </c>
      <c r="C1831" s="40" t="s">
        <v>62</v>
      </c>
      <c r="D1831" s="41">
        <v>-4</v>
      </c>
      <c r="E1831" s="43" t="s">
        <v>460</v>
      </c>
      <c r="F1831" s="42" t="s">
        <v>38</v>
      </c>
    </row>
    <row r="1832" spans="1:6">
      <c r="A1832" s="39">
        <f>A1831</f>
        <v>45916</v>
      </c>
      <c r="B1832" s="40" t="s">
        <v>454</v>
      </c>
      <c r="C1832" s="40" t="s">
        <v>89</v>
      </c>
      <c r="D1832" s="41">
        <v>-5.22</v>
      </c>
      <c r="E1832" s="43" t="s">
        <v>456</v>
      </c>
      <c r="F1832" s="42" t="s">
        <v>38</v>
      </c>
    </row>
    <row r="1833" spans="1:6">
      <c r="A1833" s="39">
        <f>A1832</f>
        <v>45916</v>
      </c>
      <c r="B1833" s="40" t="s">
        <v>445</v>
      </c>
      <c r="C1833" s="40" t="s">
        <v>54</v>
      </c>
      <c r="D1833" s="41">
        <v>-40</v>
      </c>
      <c r="E1833" s="43" t="s">
        <v>579</v>
      </c>
      <c r="F1833" s="42" t="s">
        <v>1</v>
      </c>
    </row>
    <row r="1834" spans="1:6">
      <c r="A1834" s="39">
        <f>A1833</f>
        <v>45916</v>
      </c>
      <c r="B1834" s="40" t="s">
        <v>445</v>
      </c>
      <c r="C1834" s="40" t="s">
        <v>36</v>
      </c>
      <c r="D1834" s="41">
        <v>-7.02</v>
      </c>
      <c r="E1834" s="43" t="s">
        <v>367</v>
      </c>
      <c r="F1834" s="42" t="s">
        <v>38</v>
      </c>
    </row>
    <row r="1835" spans="1:6">
      <c r="A1835" s="39">
        <f>A1834</f>
        <v>45916</v>
      </c>
      <c r="B1835" s="40" t="s">
        <v>256</v>
      </c>
      <c r="C1835" s="40" t="s">
        <v>54</v>
      </c>
      <c r="D1835" s="41">
        <v>-70</v>
      </c>
      <c r="E1835" s="43" t="s">
        <v>580</v>
      </c>
      <c r="F1835" s="42" t="s">
        <v>1</v>
      </c>
    </row>
    <row r="1836" spans="1:6">
      <c r="A1836" s="39">
        <v>45917</v>
      </c>
      <c r="B1836" s="40" t="s">
        <v>256</v>
      </c>
      <c r="C1836" s="40" t="s">
        <v>54</v>
      </c>
      <c r="D1836" s="41">
        <v>-80</v>
      </c>
      <c r="E1836" s="43" t="s">
        <v>241</v>
      </c>
      <c r="F1836" s="42" t="s">
        <v>1</v>
      </c>
    </row>
    <row r="1837" spans="1:6">
      <c r="A1837" s="39">
        <v>45917</v>
      </c>
      <c r="B1837" s="40" t="s">
        <v>445</v>
      </c>
      <c r="C1837" s="40" t="s">
        <v>119</v>
      </c>
      <c r="D1837" s="41">
        <v>-10.95</v>
      </c>
      <c r="E1837" s="43" t="s">
        <v>581</v>
      </c>
      <c r="F1837" s="42" t="s">
        <v>1</v>
      </c>
    </row>
    <row r="1838" spans="1:6">
      <c r="A1838" s="39">
        <v>45917</v>
      </c>
      <c r="B1838" s="40" t="s">
        <v>449</v>
      </c>
      <c r="C1838" s="40" t="s">
        <v>46</v>
      </c>
      <c r="D1838" s="41">
        <v>-188.43</v>
      </c>
      <c r="E1838" s="43" t="str">
        <f>C1838</f>
        <v>Traspaso</v>
      </c>
      <c r="F1838" s="42" t="s">
        <v>0</v>
      </c>
    </row>
    <row r="1839" spans="1:6">
      <c r="A1839" s="39">
        <f>A1838</f>
        <v>45917</v>
      </c>
      <c r="B1839" s="40" t="s">
        <v>239</v>
      </c>
      <c r="C1839" s="40" t="s">
        <v>46</v>
      </c>
      <c r="D1839" s="41">
        <v>188.43</v>
      </c>
      <c r="E1839" s="43" t="str">
        <f>C1839</f>
        <v>Traspaso</v>
      </c>
      <c r="F1839" s="42" t="s">
        <v>0</v>
      </c>
    </row>
    <row r="1840" spans="1:6">
      <c r="A1840" s="39">
        <f>A1839</f>
        <v>45917</v>
      </c>
      <c r="B1840" s="40" t="s">
        <v>454</v>
      </c>
      <c r="C1840" s="40" t="s">
        <v>41</v>
      </c>
      <c r="D1840" s="41">
        <v>-1.3</v>
      </c>
      <c r="E1840" s="43" t="s">
        <v>467</v>
      </c>
      <c r="F1840" s="42" t="s">
        <v>0</v>
      </c>
    </row>
    <row r="1841" spans="1:8">
      <c r="A1841" s="39">
        <f>A1840</f>
        <v>45917</v>
      </c>
      <c r="B1841" s="40" t="s">
        <v>239</v>
      </c>
      <c r="C1841" s="40" t="s">
        <v>50</v>
      </c>
      <c r="D1841" s="41">
        <v>-16</v>
      </c>
      <c r="E1841" s="43" t="s">
        <v>582</v>
      </c>
      <c r="F1841" s="42" t="s">
        <v>0</v>
      </c>
    </row>
    <row r="1842" spans="1:8">
      <c r="A1842" s="39">
        <v>45918</v>
      </c>
      <c r="B1842" s="40" t="s">
        <v>454</v>
      </c>
      <c r="C1842" s="40" t="s">
        <v>41</v>
      </c>
      <c r="D1842" s="41">
        <v>-1.3</v>
      </c>
      <c r="E1842" s="43" t="s">
        <v>467</v>
      </c>
      <c r="F1842" s="42" t="s">
        <v>0</v>
      </c>
    </row>
    <row r="1843" spans="1:8">
      <c r="A1843" s="39">
        <f>A1842</f>
        <v>45918</v>
      </c>
      <c r="B1843" s="40" t="s">
        <v>454</v>
      </c>
      <c r="C1843" s="40" t="s">
        <v>54</v>
      </c>
      <c r="D1843" s="41">
        <v>-2.86</v>
      </c>
      <c r="E1843" s="43" t="s">
        <v>583</v>
      </c>
      <c r="F1843" s="42" t="s">
        <v>0</v>
      </c>
    </row>
    <row r="1844" spans="1:8">
      <c r="A1844" s="39">
        <f>A1843</f>
        <v>45918</v>
      </c>
      <c r="B1844" s="40" t="s">
        <v>485</v>
      </c>
      <c r="C1844" s="40" t="s">
        <v>46</v>
      </c>
      <c r="D1844" s="41">
        <v>-14084.34</v>
      </c>
      <c r="E1844" s="43" t="s">
        <v>46</v>
      </c>
      <c r="F1844" s="42" t="s">
        <v>0</v>
      </c>
    </row>
    <row r="1845" spans="1:8">
      <c r="A1845" s="39">
        <f>A1844</f>
        <v>45918</v>
      </c>
      <c r="B1845" s="40" t="s">
        <v>116</v>
      </c>
      <c r="C1845" s="40" t="s">
        <v>46</v>
      </c>
      <c r="D1845" s="41">
        <f>551.12+20.99+0.46+95.54+95.39+1.39+454.97+604.75+659.02+3557.41+8.76+6.86+3522.25+3432.08+1073.35</f>
        <v>14084.34</v>
      </c>
      <c r="E1845" s="43" t="s">
        <v>46</v>
      </c>
      <c r="F1845" s="42" t="s">
        <v>0</v>
      </c>
      <c r="H1845" s="47"/>
    </row>
    <row r="1846" spans="1:8">
      <c r="A1846" s="39">
        <v>45918</v>
      </c>
      <c r="B1846" s="40" t="s">
        <v>485</v>
      </c>
      <c r="C1846" s="40" t="s">
        <v>34</v>
      </c>
      <c r="D1846" s="41">
        <v>-1684.09</v>
      </c>
      <c r="E1846" s="43" t="s">
        <v>584</v>
      </c>
      <c r="F1846" s="42" t="s">
        <v>0</v>
      </c>
    </row>
    <row r="1847" spans="1:8">
      <c r="A1847" s="39">
        <f>A1845</f>
        <v>45918</v>
      </c>
      <c r="B1847" s="40" t="s">
        <v>116</v>
      </c>
      <c r="C1847" s="40" t="s">
        <v>46</v>
      </c>
      <c r="D1847" s="41">
        <v>-13001</v>
      </c>
      <c r="E1847" s="43" t="s">
        <v>46</v>
      </c>
      <c r="F1847" s="42" t="s">
        <v>0</v>
      </c>
    </row>
    <row r="1848" spans="1:8">
      <c r="A1848" s="39">
        <f>A1847</f>
        <v>45918</v>
      </c>
      <c r="B1848" s="40" t="s">
        <v>585</v>
      </c>
      <c r="C1848" s="40" t="s">
        <v>46</v>
      </c>
      <c r="D1848" s="41">
        <v>13001</v>
      </c>
      <c r="E1848" s="43" t="s">
        <v>46</v>
      </c>
      <c r="F1848" s="42" t="s">
        <v>0</v>
      </c>
    </row>
    <row r="1849" spans="1:8">
      <c r="A1849" s="39">
        <f>A1848</f>
        <v>45918</v>
      </c>
      <c r="B1849" s="40" t="s">
        <v>585</v>
      </c>
      <c r="C1849" s="40" t="s">
        <v>34</v>
      </c>
      <c r="D1849" s="41">
        <v>129</v>
      </c>
      <c r="E1849" s="43" t="s">
        <v>586</v>
      </c>
      <c r="F1849" s="42" t="s">
        <v>0</v>
      </c>
    </row>
    <row r="1850" spans="1:8">
      <c r="A1850" s="39">
        <f>A1849</f>
        <v>45918</v>
      </c>
      <c r="B1850" s="40" t="s">
        <v>452</v>
      </c>
      <c r="C1850" s="40" t="s">
        <v>50</v>
      </c>
      <c r="D1850" s="41">
        <v>100</v>
      </c>
      <c r="E1850" s="43" t="s">
        <v>261</v>
      </c>
      <c r="F1850" s="42" t="s">
        <v>1</v>
      </c>
    </row>
    <row r="1851" spans="1:8">
      <c r="A1851" s="39">
        <f>A1850</f>
        <v>45918</v>
      </c>
      <c r="B1851" s="40" t="s">
        <v>448</v>
      </c>
      <c r="C1851" s="40" t="s">
        <v>110</v>
      </c>
      <c r="D1851" s="41">
        <v>203.68</v>
      </c>
      <c r="E1851" s="43" t="s">
        <v>587</v>
      </c>
      <c r="F1851" s="42" t="s">
        <v>1</v>
      </c>
    </row>
    <row r="1852" spans="1:8">
      <c r="A1852" s="39">
        <f>A1851</f>
        <v>45918</v>
      </c>
      <c r="B1852" s="40" t="s">
        <v>452</v>
      </c>
      <c r="C1852" s="40" t="s">
        <v>54</v>
      </c>
      <c r="D1852" s="41">
        <v>-3.4</v>
      </c>
      <c r="E1852" s="43" t="s">
        <v>588</v>
      </c>
      <c r="F1852" s="42" t="s">
        <v>1</v>
      </c>
    </row>
    <row r="1853" spans="1:8">
      <c r="A1853" s="39">
        <v>45919</v>
      </c>
      <c r="B1853" s="40" t="s">
        <v>445</v>
      </c>
      <c r="C1853" s="40" t="s">
        <v>36</v>
      </c>
      <c r="D1853" s="41">
        <v>-7.25</v>
      </c>
      <c r="E1853" s="43" t="s">
        <v>133</v>
      </c>
      <c r="F1853" s="42" t="s">
        <v>38</v>
      </c>
    </row>
    <row r="1854" spans="1:8">
      <c r="A1854" s="39">
        <v>45919</v>
      </c>
      <c r="B1854" s="40" t="s">
        <v>445</v>
      </c>
      <c r="C1854" s="40" t="s">
        <v>76</v>
      </c>
      <c r="D1854" s="41">
        <v>-7.98</v>
      </c>
      <c r="E1854" s="43" t="s">
        <v>589</v>
      </c>
      <c r="F1854" s="42" t="s">
        <v>1</v>
      </c>
    </row>
    <row r="1855" spans="1:8">
      <c r="A1855" s="39">
        <v>45919</v>
      </c>
      <c r="B1855" s="40" t="s">
        <v>454</v>
      </c>
      <c r="C1855" s="40" t="s">
        <v>36</v>
      </c>
      <c r="D1855" s="41">
        <v>-100.32</v>
      </c>
      <c r="E1855" s="43" t="s">
        <v>295</v>
      </c>
      <c r="F1855" s="42" t="s">
        <v>38</v>
      </c>
    </row>
    <row r="1856" spans="1:8">
      <c r="A1856" s="39">
        <v>45919</v>
      </c>
      <c r="B1856" s="40" t="s">
        <v>454</v>
      </c>
      <c r="C1856" s="40" t="s">
        <v>52</v>
      </c>
      <c r="D1856" s="41">
        <v>-7.5</v>
      </c>
      <c r="E1856" s="43" t="s">
        <v>455</v>
      </c>
      <c r="F1856" s="42" t="s">
        <v>0</v>
      </c>
    </row>
    <row r="1857" spans="1:6">
      <c r="A1857" s="39">
        <v>45919</v>
      </c>
      <c r="B1857" s="40" t="s">
        <v>472</v>
      </c>
      <c r="C1857" s="40" t="s">
        <v>46</v>
      </c>
      <c r="D1857" s="41">
        <v>-219.74</v>
      </c>
      <c r="E1857" s="43" t="s">
        <v>46</v>
      </c>
      <c r="F1857" s="42" t="s">
        <v>0</v>
      </c>
    </row>
    <row r="1858" spans="1:6">
      <c r="A1858" s="39">
        <v>45919</v>
      </c>
      <c r="B1858" s="40" t="s">
        <v>454</v>
      </c>
      <c r="C1858" s="40" t="s">
        <v>46</v>
      </c>
      <c r="D1858" s="41">
        <v>219.74</v>
      </c>
      <c r="E1858" s="43" t="s">
        <v>46</v>
      </c>
      <c r="F1858" s="42" t="s">
        <v>0</v>
      </c>
    </row>
    <row r="1859" spans="1:6">
      <c r="A1859" s="39">
        <v>45920</v>
      </c>
      <c r="B1859" s="40" t="s">
        <v>445</v>
      </c>
      <c r="C1859" s="40" t="s">
        <v>58</v>
      </c>
      <c r="D1859" s="41">
        <v>-11.5</v>
      </c>
      <c r="E1859" s="43" t="s">
        <v>590</v>
      </c>
      <c r="F1859" s="42" t="s">
        <v>38</v>
      </c>
    </row>
    <row r="1860" spans="1:6">
      <c r="A1860" s="39">
        <v>45920</v>
      </c>
      <c r="B1860" s="40" t="s">
        <v>450</v>
      </c>
      <c r="C1860" s="40" t="s">
        <v>41</v>
      </c>
      <c r="D1860" s="41">
        <v>-102.4</v>
      </c>
      <c r="E1860" s="43" t="s">
        <v>591</v>
      </c>
      <c r="F1860" s="42" t="s">
        <v>38</v>
      </c>
    </row>
    <row r="1861" spans="1:6">
      <c r="A1861" s="39">
        <v>45920</v>
      </c>
      <c r="B1861" s="40" t="s">
        <v>454</v>
      </c>
      <c r="C1861" s="40" t="s">
        <v>58</v>
      </c>
      <c r="D1861" s="41">
        <v>-12.98</v>
      </c>
      <c r="E1861" s="43" t="s">
        <v>592</v>
      </c>
      <c r="F1861" s="42" t="s">
        <v>38</v>
      </c>
    </row>
    <row r="1862" spans="1:6">
      <c r="A1862" s="39">
        <f>A1861</f>
        <v>45920</v>
      </c>
      <c r="B1862" s="40" t="s">
        <v>116</v>
      </c>
      <c r="C1862" s="40" t="s">
        <v>46</v>
      </c>
      <c r="D1862" s="41">
        <v>-158.49</v>
      </c>
      <c r="E1862" s="43" t="str">
        <f>C1862</f>
        <v>Traspaso</v>
      </c>
      <c r="F1862" s="42" t="s">
        <v>0</v>
      </c>
    </row>
    <row r="1863" spans="1:6">
      <c r="A1863" s="39">
        <f>A1862</f>
        <v>45920</v>
      </c>
      <c r="B1863" s="40" t="s">
        <v>481</v>
      </c>
      <c r="C1863" s="40" t="s">
        <v>46</v>
      </c>
      <c r="D1863" s="41">
        <v>158.49</v>
      </c>
      <c r="E1863" s="43" t="str">
        <f>C1863</f>
        <v>Traspaso</v>
      </c>
      <c r="F1863" s="42" t="s">
        <v>0</v>
      </c>
    </row>
    <row r="1864" spans="1:6">
      <c r="A1864" s="39">
        <f>A1863</f>
        <v>45920</v>
      </c>
      <c r="B1864" s="40" t="s">
        <v>481</v>
      </c>
      <c r="C1864" s="40" t="s">
        <v>76</v>
      </c>
      <c r="D1864" s="41">
        <f>-21.13-20.01-20.76-20-21.85</f>
        <v>-103.75</v>
      </c>
      <c r="E1864" s="43" t="str">
        <f>C1864</f>
        <v>Vestir</v>
      </c>
      <c r="F1864" s="42" t="s">
        <v>0</v>
      </c>
    </row>
    <row r="1865" spans="1:6">
      <c r="A1865" s="39">
        <f>A1864</f>
        <v>45920</v>
      </c>
      <c r="B1865" s="40" t="s">
        <v>481</v>
      </c>
      <c r="C1865" s="40" t="s">
        <v>58</v>
      </c>
      <c r="D1865" s="41">
        <v>-24.22</v>
      </c>
      <c r="E1865" s="43" t="s">
        <v>593</v>
      </c>
      <c r="F1865" s="42" t="s">
        <v>38</v>
      </c>
    </row>
    <row r="1866" spans="1:6">
      <c r="A1866" s="39">
        <f>A1865</f>
        <v>45920</v>
      </c>
      <c r="B1866" s="40" t="s">
        <v>116</v>
      </c>
      <c r="C1866" s="40" t="s">
        <v>46</v>
      </c>
      <c r="D1866" s="41">
        <v>-700</v>
      </c>
      <c r="E1866" s="43" t="str">
        <f>C1866</f>
        <v>Traspaso</v>
      </c>
      <c r="F1866" s="42" t="s">
        <v>0</v>
      </c>
    </row>
    <row r="1867" spans="1:6">
      <c r="A1867" s="39">
        <f>A1866</f>
        <v>45920</v>
      </c>
      <c r="B1867" s="40" t="s">
        <v>457</v>
      </c>
      <c r="C1867" s="40" t="s">
        <v>46</v>
      </c>
      <c r="D1867" s="41">
        <v>700</v>
      </c>
      <c r="E1867" s="43" t="str">
        <f>C1867</f>
        <v>Traspaso</v>
      </c>
      <c r="F1867" s="42" t="s">
        <v>0</v>
      </c>
    </row>
    <row r="1868" spans="1:6">
      <c r="A1868" s="39">
        <v>45922</v>
      </c>
      <c r="B1868" s="40" t="s">
        <v>454</v>
      </c>
      <c r="C1868" s="40" t="s">
        <v>41</v>
      </c>
      <c r="D1868" s="41">
        <v>-1.3</v>
      </c>
      <c r="E1868" s="43" t="s">
        <v>467</v>
      </c>
      <c r="F1868" s="42" t="s">
        <v>0</v>
      </c>
    </row>
    <row r="1869" spans="1:6">
      <c r="A1869" s="39">
        <f>A1868</f>
        <v>45922</v>
      </c>
      <c r="B1869" s="40" t="s">
        <v>454</v>
      </c>
      <c r="C1869" s="40" t="s">
        <v>52</v>
      </c>
      <c r="D1869" s="41">
        <v>-6</v>
      </c>
      <c r="E1869" s="43" t="s">
        <v>455</v>
      </c>
      <c r="F1869" s="42" t="s">
        <v>0</v>
      </c>
    </row>
    <row r="1870" spans="1:6">
      <c r="A1870" s="39">
        <f>A1869</f>
        <v>45922</v>
      </c>
      <c r="B1870" s="40" t="s">
        <v>256</v>
      </c>
      <c r="C1870" s="40" t="s">
        <v>76</v>
      </c>
      <c r="D1870" s="41">
        <v>-3.99</v>
      </c>
      <c r="E1870" s="43" t="s">
        <v>594</v>
      </c>
      <c r="F1870" s="42" t="s">
        <v>1</v>
      </c>
    </row>
    <row r="1871" spans="1:6">
      <c r="A1871" s="39">
        <f>A1870</f>
        <v>45922</v>
      </c>
      <c r="B1871" s="40" t="s">
        <v>445</v>
      </c>
      <c r="C1871" s="40" t="s">
        <v>76</v>
      </c>
      <c r="D1871" s="41">
        <v>7.98</v>
      </c>
      <c r="E1871" s="43" t="s">
        <v>595</v>
      </c>
      <c r="F1871" s="42" t="s">
        <v>1</v>
      </c>
    </row>
    <row r="1872" spans="1:6">
      <c r="A1872" s="39">
        <f>A1871</f>
        <v>45922</v>
      </c>
      <c r="B1872" s="40" t="s">
        <v>256</v>
      </c>
      <c r="C1872" s="40" t="s">
        <v>36</v>
      </c>
      <c r="D1872" s="41">
        <v>-2.83</v>
      </c>
      <c r="E1872" s="43" t="s">
        <v>133</v>
      </c>
      <c r="F1872" s="42" t="s">
        <v>38</v>
      </c>
    </row>
    <row r="1873" spans="1:6">
      <c r="A1873" s="39">
        <v>45923</v>
      </c>
      <c r="B1873" s="40" t="s">
        <v>452</v>
      </c>
      <c r="C1873" s="40" t="s">
        <v>105</v>
      </c>
      <c r="D1873" s="41">
        <v>-90</v>
      </c>
      <c r="E1873" s="43" t="s">
        <v>596</v>
      </c>
      <c r="F1873" s="42" t="s">
        <v>1</v>
      </c>
    </row>
    <row r="1874" spans="1:6">
      <c r="A1874" s="39">
        <v>45923</v>
      </c>
      <c r="B1874" s="40" t="s">
        <v>445</v>
      </c>
      <c r="C1874" s="40" t="s">
        <v>58</v>
      </c>
      <c r="D1874" s="41">
        <v>-59</v>
      </c>
      <c r="E1874" s="43" t="s">
        <v>597</v>
      </c>
      <c r="F1874" s="42" t="s">
        <v>38</v>
      </c>
    </row>
    <row r="1875" spans="1:6">
      <c r="A1875" s="39">
        <v>45923</v>
      </c>
      <c r="B1875" s="40" t="s">
        <v>256</v>
      </c>
      <c r="C1875" s="40" t="s">
        <v>50</v>
      </c>
      <c r="D1875" s="41">
        <v>-10</v>
      </c>
      <c r="E1875" s="43" t="s">
        <v>598</v>
      </c>
      <c r="F1875" s="42" t="s">
        <v>1</v>
      </c>
    </row>
    <row r="1876" spans="1:6">
      <c r="A1876" s="39">
        <v>45923</v>
      </c>
      <c r="B1876" s="40" t="s">
        <v>454</v>
      </c>
      <c r="C1876" s="40" t="s">
        <v>41</v>
      </c>
      <c r="D1876" s="41">
        <v>-1.3</v>
      </c>
      <c r="E1876" s="43" t="s">
        <v>467</v>
      </c>
      <c r="F1876" s="42" t="s">
        <v>0</v>
      </c>
    </row>
    <row r="1877" spans="1:6">
      <c r="A1877" s="39">
        <f>A1876</f>
        <v>45923</v>
      </c>
      <c r="B1877" s="40" t="s">
        <v>454</v>
      </c>
      <c r="C1877" s="40" t="s">
        <v>62</v>
      </c>
      <c r="D1877" s="41">
        <v>-4</v>
      </c>
      <c r="E1877" s="43" t="s">
        <v>460</v>
      </c>
      <c r="F1877" s="42" t="s">
        <v>38</v>
      </c>
    </row>
    <row r="1878" spans="1:6">
      <c r="A1878" s="39">
        <f>A1877</f>
        <v>45923</v>
      </c>
      <c r="B1878" s="40" t="s">
        <v>472</v>
      </c>
      <c r="C1878" s="40" t="s">
        <v>46</v>
      </c>
      <c r="D1878" s="41">
        <v>-178.15</v>
      </c>
      <c r="E1878" s="43" t="str">
        <f>C1878</f>
        <v>Traspaso</v>
      </c>
      <c r="F1878" s="42" t="s">
        <v>0</v>
      </c>
    </row>
    <row r="1879" spans="1:6">
      <c r="A1879" s="39">
        <f>A1878</f>
        <v>45923</v>
      </c>
      <c r="B1879" s="40" t="s">
        <v>454</v>
      </c>
      <c r="C1879" s="40" t="s">
        <v>46</v>
      </c>
      <c r="D1879" s="41">
        <v>178.15</v>
      </c>
      <c r="E1879" s="43" t="str">
        <f>C1879</f>
        <v>Traspaso</v>
      </c>
      <c r="F1879" s="42" t="s">
        <v>0</v>
      </c>
    </row>
    <row r="1880" spans="1:6">
      <c r="A1880" s="39">
        <v>45924</v>
      </c>
      <c r="B1880" s="40" t="s">
        <v>454</v>
      </c>
      <c r="C1880" s="40" t="s">
        <v>41</v>
      </c>
      <c r="D1880" s="41">
        <v>-1.3</v>
      </c>
      <c r="E1880" s="43" t="s">
        <v>467</v>
      </c>
      <c r="F1880" s="42" t="s">
        <v>0</v>
      </c>
    </row>
    <row r="1881" spans="1:6">
      <c r="A1881" s="39">
        <f>A1880</f>
        <v>45924</v>
      </c>
      <c r="B1881" s="40" t="s">
        <v>454</v>
      </c>
      <c r="C1881" s="40" t="s">
        <v>52</v>
      </c>
      <c r="D1881" s="41">
        <v>-7.5</v>
      </c>
      <c r="E1881" s="43" t="s">
        <v>455</v>
      </c>
      <c r="F1881" s="42" t="s">
        <v>0</v>
      </c>
    </row>
    <row r="1882" spans="1:6">
      <c r="A1882" s="39">
        <f>A1881</f>
        <v>45924</v>
      </c>
      <c r="B1882" s="40" t="s">
        <v>445</v>
      </c>
      <c r="C1882" s="40" t="s">
        <v>76</v>
      </c>
      <c r="D1882" s="41">
        <v>3.99</v>
      </c>
      <c r="E1882" s="43" t="s">
        <v>599</v>
      </c>
      <c r="F1882" s="42" t="s">
        <v>1</v>
      </c>
    </row>
    <row r="1883" spans="1:6">
      <c r="A1883" s="39">
        <f>A1882</f>
        <v>45924</v>
      </c>
      <c r="B1883" s="40" t="s">
        <v>445</v>
      </c>
      <c r="C1883" s="40" t="s">
        <v>36</v>
      </c>
      <c r="D1883" s="41">
        <v>-0.96</v>
      </c>
      <c r="E1883" s="43" t="s">
        <v>143</v>
      </c>
      <c r="F1883" s="42" t="s">
        <v>38</v>
      </c>
    </row>
    <row r="1884" spans="1:6">
      <c r="A1884" s="39">
        <v>45925</v>
      </c>
      <c r="B1884" s="40" t="s">
        <v>256</v>
      </c>
      <c r="C1884" s="40" t="s">
        <v>50</v>
      </c>
      <c r="D1884" s="41">
        <v>-1.35</v>
      </c>
      <c r="E1884" s="43" t="s">
        <v>600</v>
      </c>
      <c r="F1884" s="42" t="s">
        <v>1</v>
      </c>
    </row>
    <row r="1885" spans="1:6">
      <c r="A1885" s="39">
        <v>45925</v>
      </c>
      <c r="B1885" s="40" t="s">
        <v>450</v>
      </c>
      <c r="C1885" s="40" t="s">
        <v>41</v>
      </c>
      <c r="D1885" s="41">
        <v>-12.69</v>
      </c>
      <c r="E1885" s="43" t="s">
        <v>601</v>
      </c>
      <c r="F1885" s="42" t="s">
        <v>1</v>
      </c>
    </row>
    <row r="1886" spans="1:6">
      <c r="A1886" s="39">
        <v>45926</v>
      </c>
      <c r="B1886" s="40" t="s">
        <v>475</v>
      </c>
      <c r="C1886" s="40" t="s">
        <v>34</v>
      </c>
      <c r="D1886" s="41">
        <v>0.01</v>
      </c>
      <c r="E1886" s="43" t="s">
        <v>49</v>
      </c>
      <c r="F1886" s="42" t="s">
        <v>1</v>
      </c>
    </row>
    <row r="1887" spans="1:6">
      <c r="A1887" s="39">
        <v>45926</v>
      </c>
      <c r="B1887" s="40" t="s">
        <v>452</v>
      </c>
      <c r="C1887" s="40" t="s">
        <v>461</v>
      </c>
      <c r="D1887" s="41">
        <v>-48</v>
      </c>
      <c r="E1887" s="43" t="s">
        <v>602</v>
      </c>
      <c r="F1887" s="42" t="s">
        <v>38</v>
      </c>
    </row>
    <row r="1888" spans="1:6">
      <c r="A1888" s="39">
        <v>45926</v>
      </c>
      <c r="B1888" s="40" t="s">
        <v>448</v>
      </c>
      <c r="C1888" s="40" t="s">
        <v>110</v>
      </c>
      <c r="D1888" s="41">
        <v>1958.63</v>
      </c>
      <c r="E1888" s="43" t="s">
        <v>110</v>
      </c>
      <c r="F1888" s="42" t="s">
        <v>1</v>
      </c>
    </row>
    <row r="1889" spans="1:6">
      <c r="A1889" s="39">
        <v>45926</v>
      </c>
      <c r="B1889" s="40" t="s">
        <v>454</v>
      </c>
      <c r="C1889" s="40" t="s">
        <v>41</v>
      </c>
      <c r="D1889" s="41">
        <v>-1.3</v>
      </c>
      <c r="E1889" s="43" t="s">
        <v>467</v>
      </c>
      <c r="F1889" s="42" t="s">
        <v>0</v>
      </c>
    </row>
    <row r="1890" spans="1:6">
      <c r="A1890" s="39">
        <f>A1889</f>
        <v>45926</v>
      </c>
      <c r="B1890" s="40" t="s">
        <v>471</v>
      </c>
      <c r="C1890" s="40" t="s">
        <v>110</v>
      </c>
      <c r="D1890" s="41">
        <v>1981.78</v>
      </c>
      <c r="E1890" s="43" t="str">
        <f>C1890</f>
        <v>Nómina</v>
      </c>
      <c r="F1890" s="42" t="s">
        <v>0</v>
      </c>
    </row>
    <row r="1891" spans="1:6">
      <c r="A1891" s="39">
        <f>A1890</f>
        <v>45926</v>
      </c>
      <c r="B1891" s="40" t="s">
        <v>454</v>
      </c>
      <c r="C1891" s="40" t="s">
        <v>52</v>
      </c>
      <c r="D1891" s="41">
        <v>-7.5</v>
      </c>
      <c r="E1891" s="43" t="s">
        <v>455</v>
      </c>
      <c r="F1891" s="42" t="s">
        <v>0</v>
      </c>
    </row>
    <row r="1892" spans="1:6">
      <c r="A1892" s="39">
        <f>A1891</f>
        <v>45926</v>
      </c>
      <c r="B1892" s="40" t="s">
        <v>471</v>
      </c>
      <c r="C1892" s="40" t="s">
        <v>46</v>
      </c>
      <c r="D1892" s="41">
        <v>-1500</v>
      </c>
      <c r="E1892" s="43" t="str">
        <f>C1892</f>
        <v>Traspaso</v>
      </c>
      <c r="F1892" s="42" t="s">
        <v>0</v>
      </c>
    </row>
    <row r="1893" spans="1:6">
      <c r="A1893" s="39">
        <f>A1892</f>
        <v>45926</v>
      </c>
      <c r="B1893" s="40" t="s">
        <v>454</v>
      </c>
      <c r="C1893" s="40" t="s">
        <v>46</v>
      </c>
      <c r="D1893" s="41">
        <v>1500</v>
      </c>
      <c r="E1893" s="43" t="str">
        <f>C1893</f>
        <v>Traspaso</v>
      </c>
      <c r="F1893" s="42" t="s">
        <v>0</v>
      </c>
    </row>
    <row r="1894" spans="1:6">
      <c r="A1894" s="39">
        <v>45927</v>
      </c>
      <c r="B1894" s="40" t="s">
        <v>454</v>
      </c>
      <c r="C1894" s="40" t="s">
        <v>36</v>
      </c>
      <c r="D1894" s="41">
        <v>-116.09</v>
      </c>
      <c r="E1894" s="43" t="s">
        <v>295</v>
      </c>
      <c r="F1894" s="42" t="s">
        <v>38</v>
      </c>
    </row>
    <row r="1895" spans="1:6">
      <c r="A1895" s="39">
        <f>A1894</f>
        <v>45927</v>
      </c>
      <c r="B1895" s="40" t="s">
        <v>454</v>
      </c>
      <c r="C1895" s="40" t="s">
        <v>36</v>
      </c>
      <c r="D1895" s="41">
        <v>-18.52</v>
      </c>
      <c r="E1895" s="43" t="s">
        <v>295</v>
      </c>
      <c r="F1895" s="42" t="s">
        <v>38</v>
      </c>
    </row>
    <row r="1896" spans="1:6">
      <c r="A1896" s="39">
        <v>45928</v>
      </c>
      <c r="B1896" s="40" t="s">
        <v>454</v>
      </c>
      <c r="C1896" s="40" t="s">
        <v>52</v>
      </c>
      <c r="D1896" s="41">
        <v>-6</v>
      </c>
      <c r="E1896" s="43" t="s">
        <v>455</v>
      </c>
      <c r="F1896" s="42" t="s">
        <v>0</v>
      </c>
    </row>
    <row r="1897" spans="1:6">
      <c r="A1897" s="39">
        <v>45928</v>
      </c>
      <c r="B1897" s="40" t="s">
        <v>445</v>
      </c>
      <c r="C1897" s="40" t="s">
        <v>41</v>
      </c>
      <c r="D1897" s="41">
        <v>-12</v>
      </c>
      <c r="E1897" s="43" t="s">
        <v>84</v>
      </c>
      <c r="F1897" s="42" t="s">
        <v>1</v>
      </c>
    </row>
    <row r="1898" spans="1:6">
      <c r="A1898" s="39">
        <v>45929</v>
      </c>
      <c r="B1898" s="40" t="s">
        <v>566</v>
      </c>
      <c r="C1898" s="40" t="s">
        <v>34</v>
      </c>
      <c r="D1898" s="41">
        <v>60</v>
      </c>
      <c r="E1898" s="43" t="s">
        <v>479</v>
      </c>
      <c r="F1898" s="42" t="s">
        <v>0</v>
      </c>
    </row>
    <row r="1899" spans="1:6">
      <c r="A1899" s="39">
        <v>45930</v>
      </c>
      <c r="B1899" s="40" t="s">
        <v>454</v>
      </c>
      <c r="C1899" s="40" t="s">
        <v>41</v>
      </c>
      <c r="D1899" s="41">
        <v>-1.5</v>
      </c>
      <c r="E1899" s="43" t="s">
        <v>467</v>
      </c>
      <c r="F1899" s="42" t="s">
        <v>0</v>
      </c>
    </row>
    <row r="1900" spans="1:6">
      <c r="A1900" s="39">
        <f>A1899</f>
        <v>45930</v>
      </c>
      <c r="B1900" s="40" t="s">
        <v>454</v>
      </c>
      <c r="C1900" s="40" t="s">
        <v>62</v>
      </c>
      <c r="D1900" s="41">
        <v>-4</v>
      </c>
      <c r="E1900" s="43" t="s">
        <v>460</v>
      </c>
      <c r="F1900" s="42" t="s">
        <v>38</v>
      </c>
    </row>
    <row r="1901" spans="1:6">
      <c r="A1901" s="39">
        <f>A1900</f>
        <v>45930</v>
      </c>
      <c r="B1901" s="40" t="s">
        <v>449</v>
      </c>
      <c r="C1901" s="40" t="s">
        <v>46</v>
      </c>
      <c r="D1901" s="41">
        <v>-527.17999999999995</v>
      </c>
      <c r="E1901" s="43" t="str">
        <f>C1901</f>
        <v>Traspaso</v>
      </c>
      <c r="F1901" s="42" t="s">
        <v>0</v>
      </c>
    </row>
    <row r="1902" spans="1:6">
      <c r="A1902" s="39">
        <f>A1901</f>
        <v>45930</v>
      </c>
      <c r="B1902" s="40" t="s">
        <v>437</v>
      </c>
      <c r="C1902" s="40" t="s">
        <v>46</v>
      </c>
      <c r="D1902" s="41">
        <v>527.17999999999995</v>
      </c>
      <c r="E1902" s="43" t="str">
        <f>C1902</f>
        <v>Traspaso</v>
      </c>
      <c r="F1902" s="42" t="s">
        <v>0</v>
      </c>
    </row>
    <row r="1903" spans="1:6">
      <c r="A1903" s="39">
        <f>A1902</f>
        <v>45930</v>
      </c>
      <c r="B1903" s="40" t="s">
        <v>454</v>
      </c>
      <c r="C1903" s="40" t="s">
        <v>46</v>
      </c>
      <c r="D1903" s="41">
        <v>-1300</v>
      </c>
      <c r="E1903" s="43" t="str">
        <f>C1903</f>
        <v>Traspaso</v>
      </c>
      <c r="F1903" s="42" t="s">
        <v>0</v>
      </c>
    </row>
    <row r="1904" spans="1:6">
      <c r="A1904" s="39">
        <f>A1903</f>
        <v>45930</v>
      </c>
      <c r="B1904" s="40" t="s">
        <v>437</v>
      </c>
      <c r="C1904" s="40" t="s">
        <v>46</v>
      </c>
      <c r="D1904" s="41">
        <v>1300</v>
      </c>
      <c r="E1904" s="43" t="str">
        <f>C1904</f>
        <v>Traspaso</v>
      </c>
      <c r="F1904" s="42" t="s">
        <v>0</v>
      </c>
    </row>
    <row r="1905" spans="1:6">
      <c r="A1905" s="39">
        <f>A1904</f>
        <v>45930</v>
      </c>
      <c r="B1905" s="40" t="s">
        <v>454</v>
      </c>
      <c r="C1905" s="40" t="s">
        <v>43</v>
      </c>
      <c r="D1905" s="41">
        <v>-35.880000000000003</v>
      </c>
      <c r="E1905" s="43" t="s">
        <v>498</v>
      </c>
      <c r="F1905" s="42" t="s">
        <v>0</v>
      </c>
    </row>
    <row r="1906" spans="1:6">
      <c r="A1906" s="39">
        <f>A1905</f>
        <v>45930</v>
      </c>
      <c r="B1906" s="40" t="s">
        <v>437</v>
      </c>
      <c r="C1906" s="40" t="s">
        <v>46</v>
      </c>
      <c r="D1906" s="41">
        <v>-1300</v>
      </c>
      <c r="E1906" s="43" t="str">
        <f>C1906</f>
        <v>Traspaso</v>
      </c>
      <c r="F1906" s="42" t="s">
        <v>0</v>
      </c>
    </row>
    <row r="1907" spans="1:6">
      <c r="A1907" s="39">
        <f>A1906</f>
        <v>45930</v>
      </c>
      <c r="B1907" s="40" t="s">
        <v>438</v>
      </c>
      <c r="C1907" s="40" t="s">
        <v>46</v>
      </c>
      <c r="D1907" s="41">
        <v>1300</v>
      </c>
      <c r="E1907" s="43" t="str">
        <f>C1907</f>
        <v>Traspaso</v>
      </c>
      <c r="F1907" s="42" t="s">
        <v>0</v>
      </c>
    </row>
    <row r="1908" spans="1:6">
      <c r="A1908" s="39">
        <f>A1907</f>
        <v>45930</v>
      </c>
      <c r="B1908" s="40" t="s">
        <v>603</v>
      </c>
      <c r="C1908" s="40" t="s">
        <v>46</v>
      </c>
      <c r="D1908" s="41">
        <v>-3583.24</v>
      </c>
      <c r="E1908" s="43" t="str">
        <f>C1908</f>
        <v>Traspaso</v>
      </c>
      <c r="F1908" s="42" t="s">
        <v>0</v>
      </c>
    </row>
    <row r="1909" spans="1:6">
      <c r="A1909" s="39">
        <f>A1908</f>
        <v>45930</v>
      </c>
      <c r="B1909" s="40" t="s">
        <v>508</v>
      </c>
      <c r="C1909" s="40" t="s">
        <v>46</v>
      </c>
      <c r="D1909" s="41">
        <v>3583.24</v>
      </c>
      <c r="E1909" s="43" t="str">
        <f>C1909</f>
        <v>Traspaso</v>
      </c>
      <c r="F1909" s="42" t="s">
        <v>0</v>
      </c>
    </row>
    <row r="1910" spans="1:6">
      <c r="A1910" s="39">
        <v>45930</v>
      </c>
      <c r="B1910" s="40" t="s">
        <v>480</v>
      </c>
      <c r="C1910" s="40" t="s">
        <v>46</v>
      </c>
      <c r="D1910" s="41">
        <v>-799</v>
      </c>
      <c r="E1910" s="43" t="str">
        <f>C1910</f>
        <v>Traspaso</v>
      </c>
      <c r="F1910" s="42" t="s">
        <v>0</v>
      </c>
    </row>
    <row r="1911" spans="1:6">
      <c r="A1911" s="39">
        <f>A1910</f>
        <v>45930</v>
      </c>
      <c r="B1911" s="40" t="s">
        <v>553</v>
      </c>
      <c r="C1911" s="40" t="s">
        <v>46</v>
      </c>
      <c r="D1911" s="41">
        <v>799</v>
      </c>
      <c r="E1911" s="43" t="str">
        <f>C1911</f>
        <v>Traspaso</v>
      </c>
      <c r="F1911" s="42" t="s">
        <v>0</v>
      </c>
    </row>
    <row r="1912" spans="1:6">
      <c r="A1912" s="39">
        <f>A1911</f>
        <v>45930</v>
      </c>
      <c r="B1912" s="40" t="s">
        <v>446</v>
      </c>
      <c r="C1912" s="40" t="s">
        <v>46</v>
      </c>
      <c r="D1912" s="41">
        <v>-279.16000000000003</v>
      </c>
      <c r="E1912" s="43" t="s">
        <v>604</v>
      </c>
      <c r="F1912" s="42" t="s">
        <v>1</v>
      </c>
    </row>
    <row r="1913" spans="1:6">
      <c r="A1913" s="39">
        <f>A1912</f>
        <v>45930</v>
      </c>
      <c r="B1913" s="40" t="s">
        <v>445</v>
      </c>
      <c r="C1913" s="40" t="s">
        <v>46</v>
      </c>
      <c r="D1913" s="41">
        <v>279.16000000000003</v>
      </c>
      <c r="E1913" s="43"/>
      <c r="F1913" s="42" t="s">
        <v>1</v>
      </c>
    </row>
    <row r="1914" spans="1:6">
      <c r="A1914" s="39">
        <f>A1913</f>
        <v>45930</v>
      </c>
      <c r="B1914" s="40" t="s">
        <v>448</v>
      </c>
      <c r="C1914" s="40" t="s">
        <v>46</v>
      </c>
      <c r="D1914" s="41">
        <v>-1000</v>
      </c>
      <c r="E1914" s="43"/>
      <c r="F1914" s="42" t="s">
        <v>1</v>
      </c>
    </row>
    <row r="1915" spans="1:6">
      <c r="A1915" s="39">
        <f>A1914</f>
        <v>45930</v>
      </c>
      <c r="B1915" s="40" t="s">
        <v>446</v>
      </c>
      <c r="C1915" s="40" t="s">
        <v>46</v>
      </c>
      <c r="D1915" s="41">
        <v>1000</v>
      </c>
      <c r="E1915" s="43"/>
      <c r="F1915" s="42" t="s">
        <v>1</v>
      </c>
    </row>
    <row r="1916" spans="1:6">
      <c r="A1916" s="39">
        <f>A1915</f>
        <v>45930</v>
      </c>
      <c r="B1916" s="40" t="s">
        <v>450</v>
      </c>
      <c r="C1916" s="40" t="s">
        <v>54</v>
      </c>
      <c r="D1916" s="41">
        <v>-61.95</v>
      </c>
      <c r="E1916" s="43" t="s">
        <v>605</v>
      </c>
      <c r="F1916" s="42" t="s">
        <v>1</v>
      </c>
    </row>
    <row r="1917" spans="1:6">
      <c r="A1917" s="39">
        <v>45931</v>
      </c>
      <c r="B1917" s="40" t="s">
        <v>446</v>
      </c>
      <c r="C1917" s="40" t="s">
        <v>54</v>
      </c>
      <c r="D1917" s="41">
        <v>-57.71</v>
      </c>
      <c r="E1917" s="43" t="s">
        <v>606</v>
      </c>
      <c r="F1917" s="42" t="s">
        <v>1</v>
      </c>
    </row>
    <row r="1918" spans="1:6">
      <c r="A1918" s="39">
        <v>45931</v>
      </c>
      <c r="B1918" s="40" t="s">
        <v>450</v>
      </c>
      <c r="C1918" s="40" t="s">
        <v>34</v>
      </c>
      <c r="D1918" s="41">
        <v>0.2</v>
      </c>
      <c r="E1918" s="43"/>
      <c r="F1918" s="42" t="s">
        <v>1</v>
      </c>
    </row>
    <row r="1919" spans="1:6">
      <c r="A1919" s="39">
        <v>45931</v>
      </c>
      <c r="B1919" s="40" t="s">
        <v>504</v>
      </c>
      <c r="C1919" s="40" t="s">
        <v>34</v>
      </c>
      <c r="D1919" s="41">
        <v>47.39</v>
      </c>
      <c r="E1919" s="43"/>
      <c r="F1919" s="42" t="s">
        <v>1</v>
      </c>
    </row>
    <row r="1920" spans="1:6">
      <c r="A1920" s="39">
        <v>45931</v>
      </c>
      <c r="B1920" s="40" t="s">
        <v>256</v>
      </c>
      <c r="C1920" s="40" t="s">
        <v>34</v>
      </c>
      <c r="D1920" s="41">
        <v>43.42</v>
      </c>
      <c r="E1920" s="43"/>
      <c r="F1920" s="42" t="s">
        <v>1</v>
      </c>
    </row>
    <row r="1921" spans="1:6">
      <c r="A1921" s="39">
        <v>45931</v>
      </c>
      <c r="B1921" s="40" t="s">
        <v>446</v>
      </c>
      <c r="C1921" s="40" t="s">
        <v>463</v>
      </c>
      <c r="D1921" s="41">
        <v>100</v>
      </c>
      <c r="E1921" s="43" t="s">
        <v>607</v>
      </c>
      <c r="F1921" s="42" t="s">
        <v>38</v>
      </c>
    </row>
    <row r="1922" spans="1:6">
      <c r="A1922" s="39">
        <v>45931</v>
      </c>
      <c r="B1922" s="40" t="s">
        <v>452</v>
      </c>
      <c r="C1922" s="40" t="s">
        <v>36</v>
      </c>
      <c r="D1922" s="41">
        <v>-2.16</v>
      </c>
      <c r="E1922" s="43" t="s">
        <v>367</v>
      </c>
      <c r="F1922" s="42" t="s">
        <v>38</v>
      </c>
    </row>
    <row r="1923" spans="1:6">
      <c r="A1923" s="39">
        <v>45931</v>
      </c>
      <c r="B1923" s="40" t="s">
        <v>445</v>
      </c>
      <c r="C1923" s="40" t="s">
        <v>461</v>
      </c>
      <c r="D1923" s="41">
        <v>-2.5</v>
      </c>
      <c r="E1923" s="43" t="s">
        <v>608</v>
      </c>
      <c r="F1923" s="42" t="s">
        <v>38</v>
      </c>
    </row>
    <row r="1924" spans="1:6">
      <c r="A1924" s="39">
        <v>45931</v>
      </c>
      <c r="B1924" s="40" t="s">
        <v>239</v>
      </c>
      <c r="C1924" s="40" t="s">
        <v>34</v>
      </c>
      <c r="D1924" s="41">
        <v>0.35</v>
      </c>
      <c r="E1924" s="43" t="str">
        <f>C1924</f>
        <v>Intereses</v>
      </c>
      <c r="F1924" s="42" t="s">
        <v>0</v>
      </c>
    </row>
    <row r="1925" spans="1:6">
      <c r="A1925" s="39">
        <f>A1924</f>
        <v>45931</v>
      </c>
      <c r="B1925" s="40" t="s">
        <v>454</v>
      </c>
      <c r="C1925" s="40" t="s">
        <v>39</v>
      </c>
      <c r="D1925" s="41">
        <v>800</v>
      </c>
      <c r="E1925" s="43" t="s">
        <v>609</v>
      </c>
      <c r="F1925" s="42" t="s">
        <v>0</v>
      </c>
    </row>
    <row r="1926" spans="1:6">
      <c r="A1926" s="39">
        <v>45931</v>
      </c>
      <c r="B1926" s="40" t="s">
        <v>472</v>
      </c>
      <c r="C1926" s="40" t="s">
        <v>46</v>
      </c>
      <c r="D1926" s="41">
        <v>-750.61</v>
      </c>
      <c r="E1926" s="43" t="s">
        <v>46</v>
      </c>
      <c r="F1926" s="42" t="s">
        <v>0</v>
      </c>
    </row>
    <row r="1927" spans="1:6">
      <c r="A1927" s="39">
        <v>45931</v>
      </c>
      <c r="B1927" s="40" t="s">
        <v>454</v>
      </c>
      <c r="C1927" s="40" t="s">
        <v>46</v>
      </c>
      <c r="D1927" s="41">
        <v>750.61</v>
      </c>
      <c r="E1927" s="43" t="s">
        <v>46</v>
      </c>
      <c r="F1927" s="42" t="s">
        <v>0</v>
      </c>
    </row>
    <row r="1928" spans="1:6">
      <c r="A1928" s="39">
        <v>45931</v>
      </c>
      <c r="B1928" s="40" t="s">
        <v>454</v>
      </c>
      <c r="C1928" s="40" t="s">
        <v>46</v>
      </c>
      <c r="D1928" s="41">
        <v>-1025.29</v>
      </c>
      <c r="E1928" s="43" t="s">
        <v>46</v>
      </c>
      <c r="F1928" s="42" t="s">
        <v>0</v>
      </c>
    </row>
    <row r="1929" spans="1:6">
      <c r="A1929" s="39">
        <v>45931</v>
      </c>
      <c r="B1929" s="40" t="s">
        <v>472</v>
      </c>
      <c r="C1929" s="40" t="s">
        <v>46</v>
      </c>
      <c r="D1929" s="41">
        <v>1025.29</v>
      </c>
      <c r="E1929" s="43" t="s">
        <v>46</v>
      </c>
      <c r="F1929" s="42" t="s">
        <v>0</v>
      </c>
    </row>
    <row r="1930" spans="1:6">
      <c r="A1930" s="39">
        <f>A1925</f>
        <v>45931</v>
      </c>
      <c r="B1930" s="40" t="s">
        <v>454</v>
      </c>
      <c r="C1930" s="40" t="s">
        <v>41</v>
      </c>
      <c r="D1930" s="41">
        <v>-1.3</v>
      </c>
      <c r="E1930" s="43" t="s">
        <v>467</v>
      </c>
      <c r="F1930" s="42" t="s">
        <v>0</v>
      </c>
    </row>
    <row r="1931" spans="1:6">
      <c r="A1931" s="39">
        <f>A1930</f>
        <v>45931</v>
      </c>
      <c r="B1931" s="40" t="s">
        <v>454</v>
      </c>
      <c r="C1931" s="40" t="s">
        <v>43</v>
      </c>
      <c r="D1931" s="41">
        <v>-100</v>
      </c>
      <c r="E1931" s="43" t="s">
        <v>456</v>
      </c>
      <c r="F1931" s="42" t="s">
        <v>38</v>
      </c>
    </row>
    <row r="1932" spans="1:6">
      <c r="A1932" s="39">
        <f>A1931</f>
        <v>45931</v>
      </c>
      <c r="B1932" s="40" t="s">
        <v>438</v>
      </c>
      <c r="C1932" s="40" t="s">
        <v>46</v>
      </c>
      <c r="D1932" s="41">
        <v>-1000</v>
      </c>
      <c r="E1932" s="43" t="str">
        <f>C1932</f>
        <v>Traspaso</v>
      </c>
      <c r="F1932" s="42" t="s">
        <v>0</v>
      </c>
    </row>
    <row r="1933" spans="1:6">
      <c r="A1933" s="39">
        <f>A1932</f>
        <v>45931</v>
      </c>
      <c r="B1933" s="40" t="s">
        <v>449</v>
      </c>
      <c r="C1933" s="40" t="s">
        <v>46</v>
      </c>
      <c r="D1933" s="41">
        <v>1000</v>
      </c>
      <c r="E1933" s="43" t="str">
        <f>C1933</f>
        <v>Traspaso</v>
      </c>
      <c r="F1933" s="42" t="s">
        <v>0</v>
      </c>
    </row>
    <row r="1934" spans="1:6">
      <c r="A1934" s="39">
        <v>45931</v>
      </c>
      <c r="B1934" s="40" t="s">
        <v>116</v>
      </c>
      <c r="C1934" s="40" t="s">
        <v>34</v>
      </c>
      <c r="D1934" s="41">
        <v>1.17</v>
      </c>
      <c r="E1934" s="43" t="str">
        <f>C1934</f>
        <v>Intereses</v>
      </c>
      <c r="F1934" s="42" t="s">
        <v>0</v>
      </c>
    </row>
    <row r="1935" spans="1:6">
      <c r="A1935" s="39">
        <v>45932</v>
      </c>
      <c r="B1935" s="40" t="s">
        <v>454</v>
      </c>
      <c r="C1935" s="40" t="s">
        <v>41</v>
      </c>
      <c r="D1935" s="41">
        <v>-1.3</v>
      </c>
      <c r="E1935" s="43" t="s">
        <v>467</v>
      </c>
      <c r="F1935" s="42" t="s">
        <v>0</v>
      </c>
    </row>
    <row r="1936" spans="1:6">
      <c r="A1936" s="39">
        <f>A1935</f>
        <v>45932</v>
      </c>
      <c r="B1936" s="40" t="s">
        <v>449</v>
      </c>
      <c r="C1936" s="40" t="s">
        <v>46</v>
      </c>
      <c r="D1936" s="41">
        <v>-472.82</v>
      </c>
      <c r="E1936" s="43" t="str">
        <f>C1936</f>
        <v>Traspaso</v>
      </c>
      <c r="F1936" s="42" t="s">
        <v>0</v>
      </c>
    </row>
    <row r="1937" spans="1:6">
      <c r="A1937" s="39">
        <f>A1936</f>
        <v>45932</v>
      </c>
      <c r="B1937" s="40" t="s">
        <v>454</v>
      </c>
      <c r="C1937" s="40" t="s">
        <v>46</v>
      </c>
      <c r="D1937" s="41">
        <v>472.82</v>
      </c>
      <c r="E1937" s="43" t="str">
        <f>C1937</f>
        <v>Traspaso</v>
      </c>
      <c r="F1937" s="42" t="s">
        <v>0</v>
      </c>
    </row>
    <row r="1938" spans="1:6">
      <c r="A1938" s="39">
        <f>A1937</f>
        <v>45932</v>
      </c>
      <c r="B1938" s="40" t="s">
        <v>449</v>
      </c>
      <c r="C1938" s="40" t="s">
        <v>46</v>
      </c>
      <c r="D1938" s="41">
        <v>-500</v>
      </c>
      <c r="E1938" s="43" t="str">
        <f>C1938</f>
        <v>Traspaso</v>
      </c>
      <c r="F1938" s="42" t="s">
        <v>0</v>
      </c>
    </row>
    <row r="1939" spans="1:6">
      <c r="A1939" s="39">
        <f>A1938</f>
        <v>45932</v>
      </c>
      <c r="B1939" s="40" t="s">
        <v>457</v>
      </c>
      <c r="C1939" s="40" t="s">
        <v>46</v>
      </c>
      <c r="D1939" s="41">
        <v>500</v>
      </c>
      <c r="E1939" s="43" t="str">
        <f>C1939</f>
        <v>Traspaso</v>
      </c>
      <c r="F1939" s="42" t="s">
        <v>0</v>
      </c>
    </row>
    <row r="1940" spans="1:6">
      <c r="A1940" s="39">
        <f>A1939</f>
        <v>45932</v>
      </c>
      <c r="B1940" s="40" t="s">
        <v>454</v>
      </c>
      <c r="C1940" s="40" t="s">
        <v>46</v>
      </c>
      <c r="D1940" s="41">
        <v>-500</v>
      </c>
      <c r="E1940" s="43" t="str">
        <f>C1940</f>
        <v>Traspaso</v>
      </c>
      <c r="F1940" s="42" t="s">
        <v>0</v>
      </c>
    </row>
    <row r="1941" spans="1:6">
      <c r="A1941" s="39">
        <f>A1940</f>
        <v>45932</v>
      </c>
      <c r="B1941" s="40" t="s">
        <v>472</v>
      </c>
      <c r="C1941" s="40" t="s">
        <v>46</v>
      </c>
      <c r="D1941" s="41">
        <v>500</v>
      </c>
      <c r="E1941" s="43" t="str">
        <f>C1941</f>
        <v>Traspaso</v>
      </c>
      <c r="F1941" s="42" t="s">
        <v>0</v>
      </c>
    </row>
    <row r="1942" spans="1:6">
      <c r="A1942" s="39">
        <f>A1941</f>
        <v>45932</v>
      </c>
      <c r="B1942" s="40" t="s">
        <v>446</v>
      </c>
      <c r="C1942" s="40" t="s">
        <v>461</v>
      </c>
      <c r="D1942" s="41">
        <v>-10.48</v>
      </c>
      <c r="E1942" s="43" t="s">
        <v>80</v>
      </c>
      <c r="F1942" s="42" t="s">
        <v>1</v>
      </c>
    </row>
    <row r="1943" spans="1:6">
      <c r="A1943" s="39">
        <f>A1942</f>
        <v>45932</v>
      </c>
      <c r="B1943" s="40" t="s">
        <v>450</v>
      </c>
      <c r="C1943" s="40" t="s">
        <v>46</v>
      </c>
      <c r="D1943" s="41">
        <v>-500</v>
      </c>
      <c r="E1943" s="43" t="str">
        <f>C1943</f>
        <v>Traspaso</v>
      </c>
      <c r="F1943" s="42" t="s">
        <v>1</v>
      </c>
    </row>
    <row r="1944" spans="1:6">
      <c r="A1944" s="39">
        <f>A1943</f>
        <v>45932</v>
      </c>
      <c r="B1944" s="40" t="s">
        <v>496</v>
      </c>
      <c r="C1944" s="40" t="s">
        <v>46</v>
      </c>
      <c r="D1944" s="41">
        <v>500</v>
      </c>
      <c r="E1944" s="43" t="str">
        <f>C1944</f>
        <v>Traspaso</v>
      </c>
      <c r="F1944" s="42" t="s">
        <v>1</v>
      </c>
    </row>
    <row r="1945" spans="1:6">
      <c r="A1945" s="39">
        <f>A1944</f>
        <v>45932</v>
      </c>
      <c r="B1945" s="40" t="s">
        <v>446</v>
      </c>
      <c r="C1945" s="40" t="s">
        <v>46</v>
      </c>
      <c r="D1945" s="41">
        <v>-1000</v>
      </c>
      <c r="E1945" s="43" t="str">
        <f>C1945</f>
        <v>Traspaso</v>
      </c>
      <c r="F1945" s="42" t="s">
        <v>1</v>
      </c>
    </row>
    <row r="1946" spans="1:6">
      <c r="A1946" s="39">
        <f>A1945</f>
        <v>45932</v>
      </c>
      <c r="B1946" s="40" t="s">
        <v>450</v>
      </c>
      <c r="C1946" s="40" t="s">
        <v>46</v>
      </c>
      <c r="D1946" s="41">
        <v>1000</v>
      </c>
      <c r="E1946" s="43" t="str">
        <f>C1946</f>
        <v>Traspaso</v>
      </c>
      <c r="F1946" s="42" t="s">
        <v>1</v>
      </c>
    </row>
    <row r="1947" spans="1:6">
      <c r="A1947" s="39">
        <f>A1946</f>
        <v>45932</v>
      </c>
      <c r="B1947" s="40" t="s">
        <v>504</v>
      </c>
      <c r="C1947" s="40" t="s">
        <v>46</v>
      </c>
      <c r="D1947" s="41">
        <v>-70</v>
      </c>
      <c r="E1947" s="43"/>
      <c r="F1947" s="42" t="s">
        <v>1</v>
      </c>
    </row>
    <row r="1948" spans="1:6">
      <c r="A1948" s="39">
        <f>A1947</f>
        <v>45932</v>
      </c>
      <c r="B1948" s="40" t="s">
        <v>201</v>
      </c>
      <c r="C1948" s="40" t="s">
        <v>46</v>
      </c>
      <c r="D1948" s="41">
        <v>70</v>
      </c>
      <c r="E1948" s="43"/>
      <c r="F1948" s="42" t="s">
        <v>1</v>
      </c>
    </row>
    <row r="1949" spans="1:6">
      <c r="A1949" s="39">
        <f>A1948</f>
        <v>45932</v>
      </c>
      <c r="B1949" s="40" t="s">
        <v>504</v>
      </c>
      <c r="C1949" s="40" t="s">
        <v>46</v>
      </c>
      <c r="D1949" s="41">
        <v>-983.76</v>
      </c>
      <c r="E1949" s="43"/>
      <c r="F1949" s="42" t="s">
        <v>1</v>
      </c>
    </row>
    <row r="1950" spans="1:6">
      <c r="A1950" s="39">
        <f>A1949</f>
        <v>45932</v>
      </c>
      <c r="B1950" s="40" t="s">
        <v>475</v>
      </c>
      <c r="C1950" s="40" t="s">
        <v>46</v>
      </c>
      <c r="D1950" s="41">
        <v>983.76</v>
      </c>
      <c r="E1950" s="43"/>
      <c r="F1950" s="42" t="s">
        <v>1</v>
      </c>
    </row>
    <row r="1951" spans="1:6">
      <c r="A1951" s="39">
        <f>A1950</f>
        <v>45932</v>
      </c>
      <c r="B1951" s="40" t="s">
        <v>475</v>
      </c>
      <c r="C1951" s="40" t="s">
        <v>46</v>
      </c>
      <c r="D1951" s="41">
        <v>-1000</v>
      </c>
      <c r="E1951" s="43"/>
      <c r="F1951" s="42" t="s">
        <v>1</v>
      </c>
    </row>
    <row r="1952" spans="1:6">
      <c r="A1952" s="39">
        <f>A1951</f>
        <v>45932</v>
      </c>
      <c r="B1952" s="40" t="s">
        <v>610</v>
      </c>
      <c r="C1952" s="40" t="s">
        <v>46</v>
      </c>
      <c r="D1952" s="41">
        <v>1000</v>
      </c>
      <c r="E1952" s="43"/>
      <c r="F1952" s="42" t="s">
        <v>1</v>
      </c>
    </row>
    <row r="1953" spans="1:6">
      <c r="A1953" s="39">
        <f>A1946</f>
        <v>45932</v>
      </c>
      <c r="B1953" s="40" t="s">
        <v>454</v>
      </c>
      <c r="C1953" s="40" t="s">
        <v>46</v>
      </c>
      <c r="D1953" s="41">
        <v>-500</v>
      </c>
      <c r="E1953" s="43" t="str">
        <f>C1953</f>
        <v>Traspaso</v>
      </c>
      <c r="F1953" s="42" t="s">
        <v>0</v>
      </c>
    </row>
    <row r="1954" spans="1:6">
      <c r="A1954" s="39">
        <f>A1953</f>
        <v>45932</v>
      </c>
      <c r="B1954" s="40" t="s">
        <v>472</v>
      </c>
      <c r="C1954" s="40" t="s">
        <v>46</v>
      </c>
      <c r="D1954" s="41">
        <v>500</v>
      </c>
      <c r="E1954" s="43" t="str">
        <f>C1954</f>
        <v>Traspaso</v>
      </c>
      <c r="F1954" s="42" t="s">
        <v>0</v>
      </c>
    </row>
    <row r="1955" spans="1:6">
      <c r="A1955" s="39">
        <f>A1954</f>
        <v>45932</v>
      </c>
      <c r="B1955" s="40" t="s">
        <v>449</v>
      </c>
      <c r="C1955" s="40" t="s">
        <v>46</v>
      </c>
      <c r="D1955" s="41">
        <v>-400</v>
      </c>
      <c r="E1955" s="43" t="str">
        <f>C1955</f>
        <v>Traspaso</v>
      </c>
      <c r="F1955" s="42" t="s">
        <v>0</v>
      </c>
    </row>
    <row r="1956" spans="1:6">
      <c r="A1956" s="39">
        <f>A1955</f>
        <v>45932</v>
      </c>
      <c r="B1956" s="40" t="s">
        <v>454</v>
      </c>
      <c r="C1956" s="40" t="s">
        <v>46</v>
      </c>
      <c r="D1956" s="41">
        <v>400</v>
      </c>
      <c r="E1956" s="43" t="str">
        <f>C1956</f>
        <v>Traspaso</v>
      </c>
      <c r="F1956" s="42" t="s">
        <v>0</v>
      </c>
    </row>
    <row r="1957" spans="1:6">
      <c r="A1957" s="39">
        <f>A1956</f>
        <v>45932</v>
      </c>
      <c r="B1957" s="40" t="s">
        <v>116</v>
      </c>
      <c r="C1957" s="40" t="s">
        <v>46</v>
      </c>
      <c r="D1957" s="41">
        <v>-639.09</v>
      </c>
      <c r="E1957" s="43" t="str">
        <f>C1957</f>
        <v>Traspaso</v>
      </c>
      <c r="F1957" s="42" t="s">
        <v>0</v>
      </c>
    </row>
    <row r="1958" spans="1:6">
      <c r="A1958" s="39">
        <f>A1957</f>
        <v>45932</v>
      </c>
      <c r="B1958" s="40" t="s">
        <v>454</v>
      </c>
      <c r="C1958" s="40" t="s">
        <v>46</v>
      </c>
      <c r="D1958" s="41">
        <v>639.09</v>
      </c>
      <c r="E1958" s="43" t="str">
        <f>C1958</f>
        <v>Traspaso</v>
      </c>
      <c r="F1958" s="42" t="s">
        <v>0</v>
      </c>
    </row>
    <row r="1959" spans="1:6">
      <c r="A1959" s="39">
        <v>45932</v>
      </c>
      <c r="B1959" s="40" t="s">
        <v>116</v>
      </c>
      <c r="C1959" s="40" t="s">
        <v>46</v>
      </c>
      <c r="D1959" s="41">
        <v>-162.08000000000001</v>
      </c>
      <c r="E1959" s="43" t="str">
        <f>C1959</f>
        <v>Traspaso</v>
      </c>
      <c r="F1959" s="42" t="s">
        <v>0</v>
      </c>
    </row>
    <row r="1960" spans="1:6">
      <c r="A1960" s="39">
        <f>A1959</f>
        <v>45932</v>
      </c>
      <c r="B1960" s="40" t="s">
        <v>481</v>
      </c>
      <c r="C1960" s="40" t="s">
        <v>46</v>
      </c>
      <c r="D1960" s="41">
        <v>162.08000000000001</v>
      </c>
      <c r="E1960" s="43" t="str">
        <f>C1960</f>
        <v>Traspaso</v>
      </c>
      <c r="F1960" s="42" t="s">
        <v>0</v>
      </c>
    </row>
    <row r="1961" spans="1:6">
      <c r="A1961" s="39">
        <f>A1960</f>
        <v>45932</v>
      </c>
      <c r="B1961" s="40" t="s">
        <v>481</v>
      </c>
      <c r="C1961" s="40" t="s">
        <v>149</v>
      </c>
      <c r="D1961" s="41">
        <v>-273.89</v>
      </c>
      <c r="E1961" s="43" t="s">
        <v>611</v>
      </c>
      <c r="F1961" s="42" t="s">
        <v>38</v>
      </c>
    </row>
    <row r="1962" spans="1:6">
      <c r="A1962" s="39">
        <v>45933</v>
      </c>
      <c r="B1962" s="40" t="s">
        <v>454</v>
      </c>
      <c r="C1962" s="40" t="s">
        <v>41</v>
      </c>
      <c r="D1962" s="41">
        <v>-1.3</v>
      </c>
      <c r="E1962" s="43" t="s">
        <v>467</v>
      </c>
      <c r="F1962" s="42" t="s">
        <v>0</v>
      </c>
    </row>
    <row r="1963" spans="1:6">
      <c r="A1963" s="39">
        <f>A1962</f>
        <v>45933</v>
      </c>
      <c r="B1963" s="40" t="s">
        <v>454</v>
      </c>
      <c r="C1963" s="40" t="s">
        <v>52</v>
      </c>
      <c r="D1963" s="41">
        <v>-7.5</v>
      </c>
      <c r="E1963" s="43" t="s">
        <v>455</v>
      </c>
      <c r="F1963" s="42" t="s">
        <v>0</v>
      </c>
    </row>
    <row r="1964" spans="1:6">
      <c r="A1964" s="39">
        <f>A1963</f>
        <v>45933</v>
      </c>
      <c r="B1964" s="40" t="s">
        <v>481</v>
      </c>
      <c r="C1964" s="40" t="s">
        <v>46</v>
      </c>
      <c r="D1964" s="41">
        <v>-648.26</v>
      </c>
      <c r="E1964" s="43" t="str">
        <f>C1964</f>
        <v>Traspaso</v>
      </c>
      <c r="F1964" s="42" t="s">
        <v>0</v>
      </c>
    </row>
    <row r="1965" spans="1:6">
      <c r="A1965" s="39">
        <f>A1964</f>
        <v>45933</v>
      </c>
      <c r="B1965" s="40" t="s">
        <v>116</v>
      </c>
      <c r="C1965" s="40" t="s">
        <v>46</v>
      </c>
      <c r="D1965" s="41">
        <v>648.26</v>
      </c>
      <c r="E1965" s="43" t="str">
        <f>C1965</f>
        <v>Traspaso</v>
      </c>
      <c r="F1965" s="42" t="s">
        <v>0</v>
      </c>
    </row>
    <row r="1966" spans="1:6">
      <c r="A1966" s="39">
        <f>A1965</f>
        <v>45933</v>
      </c>
      <c r="B1966" s="40" t="s">
        <v>454</v>
      </c>
      <c r="C1966" s="40" t="s">
        <v>34</v>
      </c>
      <c r="D1966" s="41">
        <v>0.34</v>
      </c>
      <c r="E1966" s="43" t="str">
        <f>C1966</f>
        <v>Intereses</v>
      </c>
      <c r="F1966" s="42" t="s">
        <v>0</v>
      </c>
    </row>
    <row r="1967" spans="1:6">
      <c r="A1967" s="39">
        <f>A1966</f>
        <v>45933</v>
      </c>
      <c r="B1967" s="40" t="s">
        <v>481</v>
      </c>
      <c r="C1967" s="40" t="s">
        <v>47</v>
      </c>
      <c r="D1967" s="41">
        <v>548.26</v>
      </c>
      <c r="E1967" s="43" t="s">
        <v>560</v>
      </c>
      <c r="F1967" s="42" t="s">
        <v>0</v>
      </c>
    </row>
    <row r="1968" spans="1:6">
      <c r="A1968" s="39">
        <v>45933</v>
      </c>
      <c r="B1968" s="40" t="s">
        <v>471</v>
      </c>
      <c r="C1968" s="40" t="s">
        <v>46</v>
      </c>
      <c r="D1968" s="41">
        <v>-475</v>
      </c>
      <c r="E1968" s="43" t="str">
        <f>C1968</f>
        <v>Traspaso</v>
      </c>
      <c r="F1968" s="42" t="s">
        <v>0</v>
      </c>
    </row>
    <row r="1969" spans="1:6">
      <c r="A1969" s="39">
        <v>45933</v>
      </c>
      <c r="B1969" s="40" t="s">
        <v>437</v>
      </c>
      <c r="C1969" s="40" t="s">
        <v>46</v>
      </c>
      <c r="D1969" s="41">
        <v>475</v>
      </c>
      <c r="E1969" s="43" t="str">
        <f>C1969</f>
        <v>Traspaso</v>
      </c>
      <c r="F1969" s="42" t="s">
        <v>0</v>
      </c>
    </row>
    <row r="1970" spans="1:6">
      <c r="A1970" s="39">
        <v>45933</v>
      </c>
      <c r="B1970" s="40" t="s">
        <v>446</v>
      </c>
      <c r="C1970" s="40" t="s">
        <v>52</v>
      </c>
      <c r="D1970" s="41">
        <v>-74</v>
      </c>
      <c r="E1970" s="43" t="s">
        <v>130</v>
      </c>
      <c r="F1970" s="42" t="s">
        <v>38</v>
      </c>
    </row>
    <row r="1971" spans="1:6">
      <c r="A1971" s="39">
        <v>45933</v>
      </c>
      <c r="B1971" s="40" t="s">
        <v>448</v>
      </c>
      <c r="C1971" s="40" t="s">
        <v>47</v>
      </c>
      <c r="D1971" s="41">
        <v>-548.26</v>
      </c>
      <c r="E1971" s="43" t="s">
        <v>612</v>
      </c>
      <c r="F1971" s="42" t="s">
        <v>1</v>
      </c>
    </row>
    <row r="1972" spans="1:6">
      <c r="A1972" s="39">
        <v>45933</v>
      </c>
      <c r="B1972" s="40" t="s">
        <v>450</v>
      </c>
      <c r="C1972" s="40" t="s">
        <v>463</v>
      </c>
      <c r="D1972" s="41">
        <v>10</v>
      </c>
      <c r="E1972" s="43" t="s">
        <v>572</v>
      </c>
      <c r="F1972" s="42" t="s">
        <v>1</v>
      </c>
    </row>
    <row r="1973" spans="1:6">
      <c r="A1973" s="39">
        <v>45933</v>
      </c>
      <c r="B1973" s="40" t="s">
        <v>445</v>
      </c>
      <c r="C1973" s="40" t="s">
        <v>76</v>
      </c>
      <c r="D1973" s="41">
        <v>-20.96</v>
      </c>
      <c r="E1973" s="43" t="s">
        <v>613</v>
      </c>
      <c r="F1973" s="42" t="s">
        <v>1</v>
      </c>
    </row>
    <row r="1974" spans="1:6">
      <c r="A1974" s="39">
        <v>45933</v>
      </c>
      <c r="B1974" s="40" t="s">
        <v>445</v>
      </c>
      <c r="C1974" s="40" t="s">
        <v>36</v>
      </c>
      <c r="D1974" s="41">
        <v>-10.61</v>
      </c>
      <c r="E1974" s="43" t="s">
        <v>133</v>
      </c>
      <c r="F1974" s="42" t="s">
        <v>38</v>
      </c>
    </row>
    <row r="1975" spans="1:6">
      <c r="A1975" s="39">
        <v>45933</v>
      </c>
      <c r="B1975" s="40" t="s">
        <v>452</v>
      </c>
      <c r="C1975" s="40" t="s">
        <v>41</v>
      </c>
      <c r="D1975" s="41">
        <v>-8.4</v>
      </c>
      <c r="E1975" s="43" t="s">
        <v>614</v>
      </c>
      <c r="F1975" s="42" t="s">
        <v>1</v>
      </c>
    </row>
    <row r="1976" spans="1:6">
      <c r="A1976" s="39">
        <v>45934</v>
      </c>
      <c r="B1976" s="40" t="s">
        <v>452</v>
      </c>
      <c r="C1976" s="40" t="s">
        <v>50</v>
      </c>
      <c r="D1976" s="41">
        <v>320</v>
      </c>
      <c r="E1976" s="43" t="s">
        <v>279</v>
      </c>
      <c r="F1976" s="42" t="s">
        <v>1</v>
      </c>
    </row>
    <row r="1977" spans="1:6">
      <c r="A1977" s="39">
        <v>45934</v>
      </c>
      <c r="B1977" s="40" t="s">
        <v>452</v>
      </c>
      <c r="C1977" s="40" t="s">
        <v>41</v>
      </c>
      <c r="D1977" s="41">
        <v>-10.4</v>
      </c>
      <c r="E1977" s="43" t="s">
        <v>540</v>
      </c>
      <c r="F1977" s="42" t="s">
        <v>38</v>
      </c>
    </row>
    <row r="1978" spans="1:6">
      <c r="A1978" s="39">
        <v>45934</v>
      </c>
      <c r="B1978" s="40" t="s">
        <v>454</v>
      </c>
      <c r="C1978" s="40" t="s">
        <v>46</v>
      </c>
      <c r="D1978" s="41">
        <v>-499.99</v>
      </c>
      <c r="E1978" s="43" t="str">
        <f>C1978</f>
        <v>Traspaso</v>
      </c>
      <c r="F1978" s="42" t="s">
        <v>0</v>
      </c>
    </row>
    <row r="1979" spans="1:6">
      <c r="A1979" s="39">
        <f>A1978</f>
        <v>45934</v>
      </c>
      <c r="B1979" s="40" t="s">
        <v>472</v>
      </c>
      <c r="C1979" s="40" t="s">
        <v>46</v>
      </c>
      <c r="D1979" s="41">
        <v>499.99</v>
      </c>
      <c r="E1979" s="43" t="str">
        <f>C1979</f>
        <v>Traspaso</v>
      </c>
      <c r="F1979" s="42" t="s">
        <v>0</v>
      </c>
    </row>
    <row r="1980" spans="1:6">
      <c r="A1980" s="39">
        <f>A1979</f>
        <v>45934</v>
      </c>
      <c r="B1980" s="40" t="s">
        <v>566</v>
      </c>
      <c r="C1980" s="40" t="s">
        <v>73</v>
      </c>
      <c r="D1980" s="41">
        <v>-67.010000000000005</v>
      </c>
      <c r="E1980" s="43" t="s">
        <v>533</v>
      </c>
      <c r="F1980" s="42" t="s">
        <v>38</v>
      </c>
    </row>
    <row r="1981" spans="1:6">
      <c r="A1981" s="39">
        <v>45934</v>
      </c>
      <c r="B1981" s="40" t="s">
        <v>454</v>
      </c>
      <c r="C1981" s="40" t="s">
        <v>36</v>
      </c>
      <c r="D1981" s="41">
        <v>-87.67</v>
      </c>
      <c r="E1981" s="43" t="s">
        <v>295</v>
      </c>
      <c r="F1981" s="42" t="s">
        <v>38</v>
      </c>
    </row>
    <row r="1982" spans="1:6">
      <c r="A1982" s="39">
        <v>45934</v>
      </c>
      <c r="B1982" s="40" t="s">
        <v>239</v>
      </c>
      <c r="C1982" s="40" t="s">
        <v>46</v>
      </c>
      <c r="D1982" s="41">
        <v>-173.85</v>
      </c>
      <c r="E1982" s="43" t="s">
        <v>46</v>
      </c>
      <c r="F1982" s="42" t="s">
        <v>0</v>
      </c>
    </row>
    <row r="1983" spans="1:6">
      <c r="A1983" s="39">
        <v>45934</v>
      </c>
      <c r="B1983" s="40" t="s">
        <v>449</v>
      </c>
      <c r="C1983" s="40" t="s">
        <v>46</v>
      </c>
      <c r="D1983" s="41">
        <v>173.85</v>
      </c>
      <c r="E1983" s="43" t="s">
        <v>46</v>
      </c>
      <c r="F1983" s="42" t="s">
        <v>0</v>
      </c>
    </row>
    <row r="1984" spans="1:6">
      <c r="A1984" s="39">
        <v>45935</v>
      </c>
      <c r="B1984" s="40" t="s">
        <v>454</v>
      </c>
      <c r="C1984" s="40" t="s">
        <v>46</v>
      </c>
      <c r="D1984" s="41">
        <v>-500</v>
      </c>
      <c r="E1984" s="43" t="str">
        <f>C1984</f>
        <v>Traspaso</v>
      </c>
      <c r="F1984" s="42" t="s">
        <v>0</v>
      </c>
    </row>
    <row r="1985" spans="1:6">
      <c r="A1985" s="39">
        <f>A1984</f>
        <v>45935</v>
      </c>
      <c r="B1985" s="40" t="s">
        <v>449</v>
      </c>
      <c r="C1985" s="40" t="s">
        <v>46</v>
      </c>
      <c r="D1985" s="41">
        <v>500</v>
      </c>
      <c r="E1985" s="43" t="str">
        <f>C1985</f>
        <v>Traspaso</v>
      </c>
      <c r="F1985" s="42" t="s">
        <v>0</v>
      </c>
    </row>
    <row r="1986" spans="1:6">
      <c r="A1986" s="39">
        <f>A1985</f>
        <v>45935</v>
      </c>
      <c r="B1986" s="40" t="s">
        <v>454</v>
      </c>
      <c r="C1986" s="40" t="s">
        <v>46</v>
      </c>
      <c r="D1986" s="41">
        <v>-200</v>
      </c>
      <c r="E1986" s="43" t="str">
        <f>C1986</f>
        <v>Traspaso</v>
      </c>
      <c r="F1986" s="42" t="s">
        <v>0</v>
      </c>
    </row>
    <row r="1987" spans="1:6">
      <c r="A1987" s="39">
        <f>A1986</f>
        <v>45935</v>
      </c>
      <c r="B1987" s="40" t="s">
        <v>472</v>
      </c>
      <c r="C1987" s="40" t="s">
        <v>46</v>
      </c>
      <c r="D1987" s="41">
        <v>200</v>
      </c>
      <c r="E1987" s="43" t="str">
        <f>C1987</f>
        <v>Traspaso</v>
      </c>
      <c r="F1987" s="42" t="s">
        <v>0</v>
      </c>
    </row>
    <row r="1988" spans="1:6">
      <c r="A1988" s="39">
        <v>45936</v>
      </c>
      <c r="B1988" s="40" t="s">
        <v>454</v>
      </c>
      <c r="C1988" s="40" t="s">
        <v>41</v>
      </c>
      <c r="D1988" s="41">
        <v>-1.3</v>
      </c>
      <c r="E1988" s="43" t="s">
        <v>467</v>
      </c>
      <c r="F1988" s="42" t="s">
        <v>0</v>
      </c>
    </row>
    <row r="1989" spans="1:6">
      <c r="A1989" s="39">
        <f>A1988</f>
        <v>45936</v>
      </c>
      <c r="B1989" s="40" t="s">
        <v>449</v>
      </c>
      <c r="C1989" s="40" t="s">
        <v>46</v>
      </c>
      <c r="D1989" s="41">
        <v>-600</v>
      </c>
      <c r="E1989" s="43" t="str">
        <f>C1989</f>
        <v>Traspaso</v>
      </c>
      <c r="F1989" s="42" t="s">
        <v>0</v>
      </c>
    </row>
    <row r="1990" spans="1:6">
      <c r="A1990" s="39">
        <f>A1989</f>
        <v>45936</v>
      </c>
      <c r="B1990" s="40" t="s">
        <v>471</v>
      </c>
      <c r="C1990" s="40" t="s">
        <v>46</v>
      </c>
      <c r="D1990" s="41">
        <v>600</v>
      </c>
      <c r="E1990" s="43" t="str">
        <f>C1990</f>
        <v>Traspaso</v>
      </c>
      <c r="F1990" s="42" t="s">
        <v>0</v>
      </c>
    </row>
    <row r="1991" spans="1:6">
      <c r="A1991" s="39">
        <f>A1990</f>
        <v>45936</v>
      </c>
      <c r="B1991" s="40" t="s">
        <v>471</v>
      </c>
      <c r="C1991" s="40" t="s">
        <v>46</v>
      </c>
      <c r="D1991" s="41">
        <v>-700</v>
      </c>
      <c r="E1991" s="43" t="str">
        <f>C1991</f>
        <v>Traspaso</v>
      </c>
      <c r="F1991" s="42" t="s">
        <v>0</v>
      </c>
    </row>
    <row r="1992" spans="1:6">
      <c r="A1992" s="39">
        <f>A1991</f>
        <v>45936</v>
      </c>
      <c r="B1992" s="40" t="s">
        <v>508</v>
      </c>
      <c r="C1992" s="40" t="s">
        <v>46</v>
      </c>
      <c r="D1992" s="41">
        <v>700</v>
      </c>
      <c r="E1992" s="43" t="str">
        <f>C1992</f>
        <v>Traspaso</v>
      </c>
      <c r="F1992" s="42" t="s">
        <v>0</v>
      </c>
    </row>
    <row r="1993" spans="1:6">
      <c r="A1993" s="39">
        <f>A1992</f>
        <v>45936</v>
      </c>
      <c r="B1993" s="40" t="s">
        <v>481</v>
      </c>
      <c r="C1993" s="40" t="s">
        <v>46</v>
      </c>
      <c r="D1993" s="41">
        <v>-150</v>
      </c>
      <c r="E1993" s="43" t="str">
        <f>C1993</f>
        <v>Traspaso</v>
      </c>
      <c r="F1993" s="42" t="s">
        <v>0</v>
      </c>
    </row>
    <row r="1994" spans="1:6">
      <c r="A1994" s="39">
        <f>A1993</f>
        <v>45936</v>
      </c>
      <c r="B1994" s="40" t="s">
        <v>116</v>
      </c>
      <c r="C1994" s="40" t="s">
        <v>46</v>
      </c>
      <c r="D1994" s="41">
        <v>150</v>
      </c>
      <c r="E1994" s="43" t="str">
        <f>C1994</f>
        <v>Traspaso</v>
      </c>
      <c r="F1994" s="42" t="s">
        <v>0</v>
      </c>
    </row>
    <row r="1995" spans="1:6">
      <c r="A1995" s="39">
        <f>A1994</f>
        <v>45936</v>
      </c>
      <c r="B1995" s="40" t="s">
        <v>449</v>
      </c>
      <c r="C1995" s="40" t="s">
        <v>46</v>
      </c>
      <c r="D1995" s="41">
        <v>-250</v>
      </c>
      <c r="E1995" s="43" t="str">
        <f>C1995</f>
        <v>Traspaso</v>
      </c>
      <c r="F1995" s="42" t="s">
        <v>0</v>
      </c>
    </row>
    <row r="1996" spans="1:6">
      <c r="A1996" s="39">
        <f>A1995</f>
        <v>45936</v>
      </c>
      <c r="B1996" s="40" t="s">
        <v>116</v>
      </c>
      <c r="C1996" s="40" t="s">
        <v>46</v>
      </c>
      <c r="D1996" s="41">
        <v>250</v>
      </c>
      <c r="E1996" s="43" t="str">
        <f>C1996</f>
        <v>Traspaso</v>
      </c>
      <c r="F1996" s="42" t="s">
        <v>0</v>
      </c>
    </row>
    <row r="1997" spans="1:6">
      <c r="A1997" s="39">
        <f>A1996</f>
        <v>45936</v>
      </c>
      <c r="B1997" s="40" t="s">
        <v>454</v>
      </c>
      <c r="C1997" s="40" t="s">
        <v>43</v>
      </c>
      <c r="D1997" s="41">
        <v>-35</v>
      </c>
      <c r="E1997" s="43" t="s">
        <v>252</v>
      </c>
      <c r="F1997" s="42" t="s">
        <v>0</v>
      </c>
    </row>
    <row r="1998" spans="1:6">
      <c r="A1998" s="39">
        <f>A1997</f>
        <v>45936</v>
      </c>
      <c r="B1998" s="40" t="s">
        <v>454</v>
      </c>
      <c r="C1998" s="40" t="s">
        <v>319</v>
      </c>
      <c r="D1998" s="41">
        <v>-21</v>
      </c>
      <c r="E1998" s="43" t="s">
        <v>615</v>
      </c>
      <c r="F1998" s="42" t="s">
        <v>38</v>
      </c>
    </row>
    <row r="1999" spans="1:6">
      <c r="A1999" s="39">
        <f>A1998</f>
        <v>45936</v>
      </c>
      <c r="B1999" s="40" t="s">
        <v>566</v>
      </c>
      <c r="C1999" s="40" t="s">
        <v>46</v>
      </c>
      <c r="D1999" s="41">
        <v>-91.69</v>
      </c>
      <c r="E1999" s="43" t="str">
        <f>C1999</f>
        <v>Traspaso</v>
      </c>
      <c r="F1999" s="42" t="s">
        <v>0</v>
      </c>
    </row>
    <row r="2000" spans="1:6">
      <c r="A2000" s="39">
        <f>A1999</f>
        <v>45936</v>
      </c>
      <c r="B2000" s="40" t="s">
        <v>454</v>
      </c>
      <c r="C2000" s="40" t="s">
        <v>46</v>
      </c>
      <c r="D2000" s="41">
        <v>91.69</v>
      </c>
      <c r="E2000" s="43" t="str">
        <f>C2000</f>
        <v>Traspaso</v>
      </c>
      <c r="F2000" s="42" t="s">
        <v>0</v>
      </c>
    </row>
    <row r="2001" spans="1:6">
      <c r="A2001" s="39">
        <f>A2000</f>
        <v>45936</v>
      </c>
      <c r="B2001" s="40" t="s">
        <v>116</v>
      </c>
      <c r="C2001" s="40" t="s">
        <v>46</v>
      </c>
      <c r="D2001" s="41">
        <v>-600</v>
      </c>
      <c r="E2001" s="43" t="str">
        <f>C2001</f>
        <v>Traspaso</v>
      </c>
      <c r="F2001" s="42" t="s">
        <v>0</v>
      </c>
    </row>
    <row r="2002" spans="1:6">
      <c r="A2002" s="39">
        <f>A2001</f>
        <v>45936</v>
      </c>
      <c r="B2002" s="40" t="s">
        <v>449</v>
      </c>
      <c r="C2002" s="40" t="s">
        <v>46</v>
      </c>
      <c r="D2002" s="41">
        <v>600</v>
      </c>
      <c r="E2002" s="43" t="str">
        <f>C2002</f>
        <v>Traspaso</v>
      </c>
      <c r="F2002" s="42" t="s">
        <v>0</v>
      </c>
    </row>
    <row r="2003" spans="1:6">
      <c r="A2003" s="39">
        <f>A2002</f>
        <v>45936</v>
      </c>
      <c r="B2003" s="40" t="s">
        <v>446</v>
      </c>
      <c r="C2003" s="40" t="s">
        <v>43</v>
      </c>
      <c r="D2003" s="41">
        <v>-35</v>
      </c>
      <c r="E2003" s="43" t="s">
        <v>616</v>
      </c>
      <c r="F2003" s="42" t="s">
        <v>38</v>
      </c>
    </row>
    <row r="2004" spans="1:6">
      <c r="A2004" s="39">
        <f>A2003</f>
        <v>45936</v>
      </c>
      <c r="B2004" s="40" t="s">
        <v>446</v>
      </c>
      <c r="C2004" s="40" t="s">
        <v>60</v>
      </c>
      <c r="D2004" s="41">
        <v>-21</v>
      </c>
      <c r="E2004" s="43" t="s">
        <v>617</v>
      </c>
      <c r="F2004" s="42" t="s">
        <v>1</v>
      </c>
    </row>
    <row r="2005" spans="1:6">
      <c r="A2005" s="39">
        <f>A2004</f>
        <v>45936</v>
      </c>
      <c r="B2005" s="40" t="s">
        <v>446</v>
      </c>
      <c r="C2005" s="40" t="s">
        <v>319</v>
      </c>
      <c r="D2005" s="41">
        <v>-57</v>
      </c>
      <c r="E2005" s="43" t="s">
        <v>618</v>
      </c>
      <c r="F2005" s="42" t="s">
        <v>38</v>
      </c>
    </row>
    <row r="2006" spans="1:6">
      <c r="A2006" s="39">
        <f>A2005</f>
        <v>45936</v>
      </c>
      <c r="B2006" s="40" t="s">
        <v>452</v>
      </c>
      <c r="C2006" s="40" t="s">
        <v>461</v>
      </c>
      <c r="D2006" s="41">
        <v>-36</v>
      </c>
      <c r="E2006" s="43" t="s">
        <v>528</v>
      </c>
      <c r="F2006" s="42" t="s">
        <v>38</v>
      </c>
    </row>
    <row r="2007" spans="1:6">
      <c r="A2007" s="39">
        <v>45937</v>
      </c>
      <c r="B2007" s="40" t="s">
        <v>445</v>
      </c>
      <c r="C2007" s="40" t="s">
        <v>76</v>
      </c>
      <c r="D2007" s="41">
        <v>-21.9</v>
      </c>
      <c r="E2007" s="43" t="s">
        <v>451</v>
      </c>
      <c r="F2007" s="42" t="s">
        <v>1</v>
      </c>
    </row>
    <row r="2008" spans="1:6">
      <c r="A2008" s="39">
        <v>45937</v>
      </c>
      <c r="B2008" s="40" t="s">
        <v>452</v>
      </c>
      <c r="C2008" s="40" t="s">
        <v>54</v>
      </c>
      <c r="D2008" s="41">
        <v>-80</v>
      </c>
      <c r="E2008" s="43" t="s">
        <v>619</v>
      </c>
      <c r="F2008" s="42" t="s">
        <v>1</v>
      </c>
    </row>
    <row r="2009" spans="1:6">
      <c r="A2009" s="39">
        <v>45937</v>
      </c>
      <c r="B2009" s="40" t="s">
        <v>452</v>
      </c>
      <c r="C2009" s="40" t="s">
        <v>36</v>
      </c>
      <c r="D2009" s="41">
        <v>-2.64</v>
      </c>
      <c r="E2009" s="43" t="s">
        <v>367</v>
      </c>
      <c r="F2009" s="42" t="s">
        <v>1</v>
      </c>
    </row>
    <row r="2010" spans="1:6">
      <c r="A2010" s="39">
        <v>45937</v>
      </c>
      <c r="B2010" s="40" t="s">
        <v>574</v>
      </c>
      <c r="C2010" s="40" t="s">
        <v>41</v>
      </c>
      <c r="D2010" s="41">
        <v>-1.3</v>
      </c>
      <c r="E2010" s="43" t="s">
        <v>467</v>
      </c>
      <c r="F2010" s="42" t="s">
        <v>0</v>
      </c>
    </row>
    <row r="2011" spans="1:6">
      <c r="A2011" s="39">
        <f>A2010</f>
        <v>45937</v>
      </c>
      <c r="B2011" s="40" t="s">
        <v>574</v>
      </c>
      <c r="C2011" s="40" t="s">
        <v>62</v>
      </c>
      <c r="D2011" s="41">
        <v>-4</v>
      </c>
      <c r="E2011" s="43" t="s">
        <v>460</v>
      </c>
      <c r="F2011" s="42" t="s">
        <v>38</v>
      </c>
    </row>
    <row r="2012" spans="1:6">
      <c r="A2012" s="39">
        <f>A2011</f>
        <v>45937</v>
      </c>
      <c r="B2012" s="40" t="s">
        <v>574</v>
      </c>
      <c r="C2012" s="40" t="s">
        <v>62</v>
      </c>
      <c r="D2012" s="41">
        <v>7.6</v>
      </c>
      <c r="E2012" s="43" t="s">
        <v>460</v>
      </c>
      <c r="F2012" s="42" t="s">
        <v>38</v>
      </c>
    </row>
    <row r="2013" spans="1:6">
      <c r="A2013" s="39">
        <v>45937</v>
      </c>
      <c r="B2013" s="40" t="s">
        <v>116</v>
      </c>
      <c r="C2013" s="40" t="s">
        <v>34</v>
      </c>
      <c r="D2013" s="41">
        <v>13.65</v>
      </c>
      <c r="E2013" s="43" t="s">
        <v>570</v>
      </c>
      <c r="F2013" s="42" t="s">
        <v>0</v>
      </c>
    </row>
    <row r="2014" spans="1:6">
      <c r="A2014" s="39">
        <v>45937</v>
      </c>
      <c r="B2014" s="40" t="s">
        <v>116</v>
      </c>
      <c r="C2014" s="40" t="s">
        <v>34</v>
      </c>
      <c r="D2014" s="41">
        <v>16.03</v>
      </c>
      <c r="E2014" s="43" t="s">
        <v>570</v>
      </c>
      <c r="F2014" s="42" t="s">
        <v>0</v>
      </c>
    </row>
    <row r="2015" spans="1:6">
      <c r="A2015" s="39">
        <v>45937</v>
      </c>
      <c r="B2015" s="40" t="s">
        <v>454</v>
      </c>
      <c r="C2015" s="40" t="s">
        <v>34</v>
      </c>
      <c r="D2015" s="41">
        <v>-0.06</v>
      </c>
      <c r="E2015" s="43" t="s">
        <v>34</v>
      </c>
      <c r="F2015" s="42" t="s">
        <v>0</v>
      </c>
    </row>
    <row r="2016" spans="1:6">
      <c r="A2016" s="39">
        <v>45937</v>
      </c>
      <c r="B2016" s="40" t="s">
        <v>454</v>
      </c>
      <c r="C2016" s="40" t="s">
        <v>46</v>
      </c>
      <c r="D2016" s="41">
        <v>-1</v>
      </c>
      <c r="E2016" s="43" t="s">
        <v>46</v>
      </c>
      <c r="F2016" s="42" t="s">
        <v>0</v>
      </c>
    </row>
    <row r="2017" spans="1:6">
      <c r="A2017" s="39">
        <v>45937</v>
      </c>
      <c r="B2017" s="40" t="s">
        <v>542</v>
      </c>
      <c r="C2017" s="40" t="s">
        <v>46</v>
      </c>
      <c r="D2017" s="41">
        <v>1</v>
      </c>
      <c r="E2017" s="43" t="s">
        <v>46</v>
      </c>
      <c r="F2017" s="42" t="s">
        <v>0</v>
      </c>
    </row>
    <row r="2018" spans="1:6">
      <c r="A2018" s="39">
        <v>45937</v>
      </c>
      <c r="B2018" s="40" t="s">
        <v>116</v>
      </c>
      <c r="C2018" s="40" t="s">
        <v>46</v>
      </c>
      <c r="D2018" s="41">
        <v>-277.94</v>
      </c>
      <c r="E2018" s="43" t="s">
        <v>46</v>
      </c>
      <c r="F2018" s="42" t="s">
        <v>0</v>
      </c>
    </row>
    <row r="2019" spans="1:6">
      <c r="A2019" s="39">
        <v>45937</v>
      </c>
      <c r="B2019" s="40" t="s">
        <v>454</v>
      </c>
      <c r="C2019" s="40" t="s">
        <v>46</v>
      </c>
      <c r="D2019" s="41">
        <v>277.94</v>
      </c>
      <c r="E2019" s="43" t="s">
        <v>46</v>
      </c>
      <c r="F2019" s="42" t="s">
        <v>0</v>
      </c>
    </row>
    <row r="2020" spans="1:6">
      <c r="A2020" s="39">
        <v>45938</v>
      </c>
      <c r="B2020" s="40" t="s">
        <v>574</v>
      </c>
      <c r="C2020" s="40" t="s">
        <v>41</v>
      </c>
      <c r="D2020" s="41">
        <v>-1.3</v>
      </c>
      <c r="E2020" s="43" t="s">
        <v>467</v>
      </c>
      <c r="F2020" s="42" t="s">
        <v>0</v>
      </c>
    </row>
    <row r="2021" spans="1:6">
      <c r="A2021" s="39">
        <v>45938</v>
      </c>
      <c r="B2021" s="40" t="s">
        <v>116</v>
      </c>
      <c r="C2021" s="40" t="s">
        <v>34</v>
      </c>
      <c r="D2021" s="41">
        <v>20.350000000000001</v>
      </c>
      <c r="E2021" s="43" t="s">
        <v>570</v>
      </c>
      <c r="F2021" s="42" t="s">
        <v>0</v>
      </c>
    </row>
    <row r="2022" spans="1:6">
      <c r="A2022" s="39">
        <f>A2020</f>
        <v>45938</v>
      </c>
      <c r="B2022" s="40" t="s">
        <v>542</v>
      </c>
      <c r="C2022" s="40" t="s">
        <v>46</v>
      </c>
      <c r="D2022" s="41">
        <v>-1526.24</v>
      </c>
      <c r="E2022" s="43" t="str">
        <f>C2022</f>
        <v>Traspaso</v>
      </c>
      <c r="F2022" s="42" t="s">
        <v>0</v>
      </c>
    </row>
    <row r="2023" spans="1:6">
      <c r="A2023" s="39">
        <f>A2022</f>
        <v>45938</v>
      </c>
      <c r="B2023" s="40" t="s">
        <v>508</v>
      </c>
      <c r="C2023" s="40" t="s">
        <v>46</v>
      </c>
      <c r="D2023" s="41">
        <v>1526.24</v>
      </c>
      <c r="E2023" s="43" t="str">
        <f>C2023</f>
        <v>Traspaso</v>
      </c>
      <c r="F2023" s="42" t="s">
        <v>0</v>
      </c>
    </row>
    <row r="2024" spans="1:6">
      <c r="A2024" s="39">
        <v>45938</v>
      </c>
      <c r="B2024" s="40" t="s">
        <v>445</v>
      </c>
      <c r="C2024" s="40" t="s">
        <v>36</v>
      </c>
      <c r="D2024" s="41">
        <v>-12.41</v>
      </c>
      <c r="E2024" s="43" t="s">
        <v>133</v>
      </c>
      <c r="F2024" s="42" t="s">
        <v>38</v>
      </c>
    </row>
    <row r="2025" spans="1:6">
      <c r="A2025" s="39">
        <v>45939</v>
      </c>
      <c r="B2025" s="40" t="s">
        <v>508</v>
      </c>
      <c r="C2025" s="40" t="s">
        <v>46</v>
      </c>
      <c r="D2025" s="41">
        <v>-664.86</v>
      </c>
      <c r="E2025" s="43" t="str">
        <f>C2025</f>
        <v>Traspaso</v>
      </c>
      <c r="F2025" s="42" t="s">
        <v>0</v>
      </c>
    </row>
    <row r="2026" spans="1:6">
      <c r="A2026" s="39">
        <f>A2025</f>
        <v>45939</v>
      </c>
      <c r="B2026" s="40" t="s">
        <v>480</v>
      </c>
      <c r="C2026" s="40" t="s">
        <v>46</v>
      </c>
      <c r="D2026" s="41">
        <v>664.86</v>
      </c>
      <c r="E2026" s="43" t="str">
        <f>C2026</f>
        <v>Traspaso</v>
      </c>
      <c r="F2026" s="42" t="s">
        <v>0</v>
      </c>
    </row>
    <row r="2027" spans="1:6">
      <c r="A2027" s="39">
        <f>A2026</f>
        <v>45939</v>
      </c>
      <c r="B2027" s="40" t="s">
        <v>450</v>
      </c>
      <c r="C2027" s="40" t="s">
        <v>46</v>
      </c>
      <c r="D2027" s="41">
        <v>-500</v>
      </c>
      <c r="E2027" s="43" t="str">
        <f>C2027</f>
        <v>Traspaso</v>
      </c>
      <c r="F2027" s="42" t="s">
        <v>1</v>
      </c>
    </row>
    <row r="2028" spans="1:6">
      <c r="A2028" s="39">
        <f>A2027</f>
        <v>45939</v>
      </c>
      <c r="B2028" s="40" t="s">
        <v>496</v>
      </c>
      <c r="C2028" s="40" t="s">
        <v>46</v>
      </c>
      <c r="D2028" s="41">
        <v>500</v>
      </c>
      <c r="E2028" s="43" t="str">
        <f>C2028</f>
        <v>Traspaso</v>
      </c>
      <c r="F2028" s="42" t="s">
        <v>1</v>
      </c>
    </row>
    <row r="2029" spans="1:6">
      <c r="A2029" s="39">
        <v>45940</v>
      </c>
      <c r="B2029" s="40" t="s">
        <v>449</v>
      </c>
      <c r="C2029" s="40" t="s">
        <v>46</v>
      </c>
      <c r="D2029" s="41">
        <v>-495</v>
      </c>
      <c r="E2029" s="43" t="str">
        <f>C2029</f>
        <v>Traspaso</v>
      </c>
      <c r="F2029" s="42" t="s">
        <v>0</v>
      </c>
    </row>
    <row r="2030" spans="1:6">
      <c r="A2030" s="39">
        <v>45940</v>
      </c>
      <c r="B2030" s="40" t="s">
        <v>542</v>
      </c>
      <c r="C2030" s="40" t="s">
        <v>46</v>
      </c>
      <c r="D2030" s="41">
        <v>495</v>
      </c>
      <c r="E2030" s="43" t="str">
        <f>C2030</f>
        <v>Traspaso</v>
      </c>
      <c r="F2030" s="42" t="s">
        <v>0</v>
      </c>
    </row>
    <row r="2031" spans="1:6">
      <c r="A2031" s="39">
        <v>45940</v>
      </c>
      <c r="B2031" s="40" t="s">
        <v>446</v>
      </c>
      <c r="C2031" s="40" t="s">
        <v>34</v>
      </c>
      <c r="D2031" s="41">
        <v>992.49</v>
      </c>
      <c r="E2031" s="43" t="s">
        <v>620</v>
      </c>
      <c r="F2031" s="42" t="s">
        <v>1</v>
      </c>
    </row>
    <row r="2032" spans="1:6">
      <c r="A2032" s="39">
        <f>A2031</f>
        <v>45940</v>
      </c>
      <c r="B2032" s="40" t="s">
        <v>446</v>
      </c>
      <c r="C2032" s="40" t="s">
        <v>81</v>
      </c>
      <c r="D2032" s="41">
        <v>-35</v>
      </c>
      <c r="E2032" s="43" t="s">
        <v>82</v>
      </c>
      <c r="F2032" s="42" t="s">
        <v>38</v>
      </c>
    </row>
    <row r="2033" spans="1:6">
      <c r="A2033" s="39">
        <f>A2032</f>
        <v>45940</v>
      </c>
      <c r="B2033" s="40" t="s">
        <v>446</v>
      </c>
      <c r="C2033" s="40" t="s">
        <v>46</v>
      </c>
      <c r="D2033" s="41">
        <v>-1000</v>
      </c>
      <c r="E2033" s="43" t="str">
        <f>C2033</f>
        <v>Traspaso</v>
      </c>
      <c r="F2033" s="42" t="s">
        <v>1</v>
      </c>
    </row>
    <row r="2034" spans="1:6">
      <c r="A2034" s="39">
        <f>A2033</f>
        <v>45940</v>
      </c>
      <c r="B2034" s="40" t="s">
        <v>504</v>
      </c>
      <c r="C2034" s="40" t="s">
        <v>46</v>
      </c>
      <c r="D2034" s="41">
        <v>1000</v>
      </c>
      <c r="E2034" s="43" t="str">
        <f>C2034</f>
        <v>Traspaso</v>
      </c>
      <c r="F2034" s="42" t="s">
        <v>1</v>
      </c>
    </row>
    <row r="2035" spans="1:6">
      <c r="A2035" s="39">
        <f>A2034</f>
        <v>45940</v>
      </c>
      <c r="B2035" s="40" t="s">
        <v>504</v>
      </c>
      <c r="C2035" s="40" t="s">
        <v>319</v>
      </c>
      <c r="D2035" s="41">
        <v>2688.4</v>
      </c>
      <c r="E2035" s="43" t="s">
        <v>621</v>
      </c>
      <c r="F2035" s="42" t="s">
        <v>1</v>
      </c>
    </row>
    <row r="2036" spans="1:6">
      <c r="A2036" s="39">
        <f>A2035</f>
        <v>45940</v>
      </c>
      <c r="B2036" s="40" t="s">
        <v>448</v>
      </c>
      <c r="C2036" s="40" t="s">
        <v>46</v>
      </c>
      <c r="D2036" s="41">
        <v>-1500</v>
      </c>
      <c r="E2036" s="43" t="str">
        <f>C2036</f>
        <v>Traspaso</v>
      </c>
      <c r="F2036" s="42" t="s">
        <v>1</v>
      </c>
    </row>
    <row r="2037" spans="1:6">
      <c r="A2037" s="39">
        <f>A2036</f>
        <v>45940</v>
      </c>
      <c r="B2037" s="40" t="s">
        <v>622</v>
      </c>
      <c r="C2037" s="40" t="s">
        <v>46</v>
      </c>
      <c r="D2037" s="41">
        <v>1500</v>
      </c>
      <c r="E2037" s="43" t="str">
        <f>C2037</f>
        <v>Traspaso</v>
      </c>
      <c r="F2037" s="42" t="s">
        <v>1</v>
      </c>
    </row>
    <row r="2038" spans="1:6">
      <c r="A2038" s="39">
        <v>45940</v>
      </c>
      <c r="B2038" s="40" t="s">
        <v>452</v>
      </c>
      <c r="C2038" s="40" t="s">
        <v>105</v>
      </c>
      <c r="D2038" s="41">
        <v>-30</v>
      </c>
      <c r="E2038" s="43" t="s">
        <v>623</v>
      </c>
      <c r="F2038" s="42" t="s">
        <v>1</v>
      </c>
    </row>
    <row r="2039" spans="1:6">
      <c r="A2039" s="39">
        <f>A2037</f>
        <v>45940</v>
      </c>
      <c r="B2039" s="40" t="s">
        <v>454</v>
      </c>
      <c r="C2039" s="40" t="s">
        <v>52</v>
      </c>
      <c r="D2039" s="41">
        <v>-6</v>
      </c>
      <c r="E2039" s="43" t="s">
        <v>455</v>
      </c>
      <c r="F2039" s="42" t="s">
        <v>0</v>
      </c>
    </row>
    <row r="2040" spans="1:6">
      <c r="A2040" s="39">
        <f>A2039</f>
        <v>45940</v>
      </c>
      <c r="B2040" s="40" t="s">
        <v>585</v>
      </c>
      <c r="C2040" s="40" t="s">
        <v>34</v>
      </c>
      <c r="D2040" s="41">
        <v>29</v>
      </c>
      <c r="E2040" s="43" t="s">
        <v>586</v>
      </c>
      <c r="F2040" s="42" t="s">
        <v>0</v>
      </c>
    </row>
    <row r="2041" spans="1:6">
      <c r="A2041" s="39">
        <f>A2040</f>
        <v>45940</v>
      </c>
      <c r="B2041" s="40" t="s">
        <v>449</v>
      </c>
      <c r="C2041" s="40" t="s">
        <v>319</v>
      </c>
      <c r="D2041" s="41">
        <v>4544.37</v>
      </c>
      <c r="E2041" s="43" t="s">
        <v>624</v>
      </c>
      <c r="F2041" s="42" t="s">
        <v>0</v>
      </c>
    </row>
    <row r="2042" spans="1:6">
      <c r="A2042" s="39">
        <f>A2041</f>
        <v>45940</v>
      </c>
      <c r="B2042" s="40" t="s">
        <v>116</v>
      </c>
      <c r="C2042" s="40" t="s">
        <v>46</v>
      </c>
      <c r="D2042" s="41">
        <v>-800</v>
      </c>
      <c r="E2042" s="43" t="str">
        <f>C2042</f>
        <v>Traspaso</v>
      </c>
      <c r="F2042" s="42" t="s">
        <v>0</v>
      </c>
    </row>
    <row r="2043" spans="1:6">
      <c r="A2043" s="39">
        <f>A2042</f>
        <v>45940</v>
      </c>
      <c r="B2043" s="40" t="s">
        <v>625</v>
      </c>
      <c r="C2043" s="40" t="s">
        <v>46</v>
      </c>
      <c r="D2043" s="41">
        <v>800</v>
      </c>
      <c r="E2043" s="43" t="str">
        <f>C2043</f>
        <v>Traspaso</v>
      </c>
      <c r="F2043" s="42" t="s">
        <v>0</v>
      </c>
    </row>
    <row r="2044" spans="1:6">
      <c r="A2044" s="39">
        <f>A2043</f>
        <v>45940</v>
      </c>
      <c r="B2044" s="40" t="s">
        <v>626</v>
      </c>
      <c r="C2044" s="40" t="s">
        <v>46</v>
      </c>
      <c r="D2044" s="41">
        <v>-4000</v>
      </c>
      <c r="E2044" s="43" t="str">
        <f>C2044</f>
        <v>Traspaso</v>
      </c>
      <c r="F2044" s="42" t="s">
        <v>0</v>
      </c>
    </row>
    <row r="2045" spans="1:6">
      <c r="A2045" s="39">
        <f>A2044</f>
        <v>45940</v>
      </c>
      <c r="B2045" s="40" t="s">
        <v>502</v>
      </c>
      <c r="C2045" s="40" t="s">
        <v>46</v>
      </c>
      <c r="D2045" s="41">
        <v>4000</v>
      </c>
      <c r="E2045" s="43" t="str">
        <f>C2045</f>
        <v>Traspaso</v>
      </c>
      <c r="F2045" s="42" t="s">
        <v>0</v>
      </c>
    </row>
    <row r="2046" spans="1:6">
      <c r="A2046" s="39">
        <f>A2045</f>
        <v>45940</v>
      </c>
      <c r="B2046" s="40" t="s">
        <v>116</v>
      </c>
      <c r="C2046" s="40" t="s">
        <v>46</v>
      </c>
      <c r="D2046" s="41">
        <v>-1500</v>
      </c>
      <c r="E2046" s="43" t="str">
        <f>C2046</f>
        <v>Traspaso</v>
      </c>
      <c r="F2046" s="42" t="s">
        <v>0</v>
      </c>
    </row>
    <row r="2047" spans="1:6">
      <c r="A2047" s="39">
        <f>A2046</f>
        <v>45940</v>
      </c>
      <c r="B2047" s="40" t="s">
        <v>553</v>
      </c>
      <c r="C2047" s="40" t="s">
        <v>46</v>
      </c>
      <c r="D2047" s="41">
        <v>1500</v>
      </c>
      <c r="E2047" s="43" t="str">
        <f>C2047</f>
        <v>Traspaso</v>
      </c>
      <c r="F2047" s="42" t="s">
        <v>0</v>
      </c>
    </row>
    <row r="2048" spans="1:6">
      <c r="A2048" s="39">
        <f>A2047</f>
        <v>45940</v>
      </c>
      <c r="B2048" s="40" t="s">
        <v>502</v>
      </c>
      <c r="C2048" s="40" t="s">
        <v>46</v>
      </c>
      <c r="D2048" s="41">
        <v>-3996.02</v>
      </c>
      <c r="E2048" s="43" t="str">
        <f>C2048</f>
        <v>Traspaso</v>
      </c>
      <c r="F2048" s="42" t="s">
        <v>0</v>
      </c>
    </row>
    <row r="2049" spans="1:6">
      <c r="A2049" s="39">
        <f>A2048</f>
        <v>45940</v>
      </c>
      <c r="B2049" s="40" t="s">
        <v>116</v>
      </c>
      <c r="C2049" s="40" t="s">
        <v>46</v>
      </c>
      <c r="D2049" s="41">
        <v>3996.02</v>
      </c>
      <c r="E2049" s="43" t="str">
        <f>C2049</f>
        <v>Traspaso</v>
      </c>
      <c r="F2049" s="42" t="s">
        <v>0</v>
      </c>
    </row>
    <row r="2050" spans="1:6">
      <c r="A2050" s="39">
        <f>A2049</f>
        <v>45940</v>
      </c>
      <c r="B2050" s="40" t="s">
        <v>116</v>
      </c>
      <c r="C2050" s="40" t="s">
        <v>319</v>
      </c>
      <c r="D2050" s="41">
        <v>-2688.4</v>
      </c>
      <c r="E2050" s="43" t="s">
        <v>624</v>
      </c>
      <c r="F2050" s="42" t="s">
        <v>0</v>
      </c>
    </row>
    <row r="2051" spans="1:6">
      <c r="A2051" s="39">
        <f>A2050</f>
        <v>45940</v>
      </c>
      <c r="B2051" s="40" t="s">
        <v>116</v>
      </c>
      <c r="C2051" s="40" t="s">
        <v>46</v>
      </c>
      <c r="D2051" s="41">
        <v>-3001</v>
      </c>
      <c r="E2051" s="43" t="str">
        <f>C2051</f>
        <v>Traspaso</v>
      </c>
      <c r="F2051" s="42" t="s">
        <v>0</v>
      </c>
    </row>
    <row r="2052" spans="1:6">
      <c r="A2052" s="39">
        <f>A2051</f>
        <v>45940</v>
      </c>
      <c r="B2052" s="40" t="s">
        <v>585</v>
      </c>
      <c r="C2052" s="40" t="s">
        <v>46</v>
      </c>
      <c r="D2052" s="41">
        <v>3001</v>
      </c>
      <c r="E2052" s="43" t="str">
        <f>C2052</f>
        <v>Traspaso</v>
      </c>
      <c r="F2052" s="42" t="s">
        <v>0</v>
      </c>
    </row>
    <row r="2053" spans="1:6">
      <c r="A2053" s="39">
        <f>A2052</f>
        <v>45940</v>
      </c>
      <c r="B2053" s="40" t="s">
        <v>502</v>
      </c>
      <c r="C2053" s="40" t="s">
        <v>34</v>
      </c>
      <c r="D2053" s="41">
        <v>-6</v>
      </c>
      <c r="E2053" s="43" t="s">
        <v>336</v>
      </c>
      <c r="F2053" s="42" t="s">
        <v>0</v>
      </c>
    </row>
    <row r="2054" spans="1:6">
      <c r="A2054" s="39">
        <f>A2053</f>
        <v>45940</v>
      </c>
      <c r="B2054" s="40" t="s">
        <v>449</v>
      </c>
      <c r="C2054" s="40" t="s">
        <v>46</v>
      </c>
      <c r="D2054" s="41">
        <v>-4000</v>
      </c>
      <c r="E2054" s="43" t="str">
        <f>C2054</f>
        <v>Traspaso</v>
      </c>
      <c r="F2054" s="42" t="s">
        <v>0</v>
      </c>
    </row>
    <row r="2055" spans="1:6">
      <c r="A2055" s="39">
        <f>A2054</f>
        <v>45940</v>
      </c>
      <c r="B2055" s="40" t="s">
        <v>116</v>
      </c>
      <c r="C2055" s="40" t="s">
        <v>46</v>
      </c>
      <c r="D2055" s="41">
        <v>4000</v>
      </c>
      <c r="E2055" s="43" t="str">
        <f>C2055</f>
        <v>Traspaso</v>
      </c>
      <c r="F2055" s="42" t="s">
        <v>0</v>
      </c>
    </row>
    <row r="2056" spans="1:6">
      <c r="A2056" s="39">
        <v>45941</v>
      </c>
      <c r="B2056" s="40" t="s">
        <v>454</v>
      </c>
      <c r="C2056" s="40" t="s">
        <v>36</v>
      </c>
      <c r="D2056" s="41">
        <v>-113.64</v>
      </c>
      <c r="E2056" s="43" t="s">
        <v>295</v>
      </c>
      <c r="F2056" s="42" t="s">
        <v>0</v>
      </c>
    </row>
    <row r="2057" spans="1:6">
      <c r="A2057" s="39">
        <v>45942</v>
      </c>
      <c r="B2057" s="40" t="s">
        <v>449</v>
      </c>
      <c r="C2057" s="40" t="s">
        <v>46</v>
      </c>
      <c r="D2057" s="41">
        <v>-500</v>
      </c>
      <c r="E2057" s="43" t="str">
        <f>C2057</f>
        <v>Traspaso</v>
      </c>
      <c r="F2057" s="42" t="s">
        <v>0</v>
      </c>
    </row>
    <row r="2058" spans="1:6">
      <c r="A2058" s="39">
        <f>A2057</f>
        <v>45942</v>
      </c>
      <c r="B2058" s="40" t="s">
        <v>116</v>
      </c>
      <c r="C2058" s="40" t="s">
        <v>46</v>
      </c>
      <c r="D2058" s="41">
        <v>500</v>
      </c>
      <c r="E2058" s="43" t="str">
        <f>C2058</f>
        <v>Traspaso</v>
      </c>
      <c r="F2058" s="42" t="s">
        <v>0</v>
      </c>
    </row>
    <row r="2059" spans="1:6">
      <c r="A2059" s="39">
        <f>A2058</f>
        <v>45942</v>
      </c>
      <c r="B2059" s="40" t="s">
        <v>116</v>
      </c>
      <c r="C2059" s="40" t="s">
        <v>46</v>
      </c>
      <c r="D2059" s="41">
        <v>-901.94</v>
      </c>
      <c r="E2059" s="43" t="str">
        <f>C2059</f>
        <v>Traspaso</v>
      </c>
      <c r="F2059" s="42" t="s">
        <v>0</v>
      </c>
    </row>
    <row r="2060" spans="1:6">
      <c r="A2060" s="39">
        <f>A2059</f>
        <v>45942</v>
      </c>
      <c r="B2060" s="40" t="s">
        <v>485</v>
      </c>
      <c r="C2060" s="40" t="s">
        <v>46</v>
      </c>
      <c r="D2060" s="41">
        <v>901.94</v>
      </c>
      <c r="E2060" s="43" t="str">
        <f>C2060</f>
        <v>Traspaso</v>
      </c>
      <c r="F2060" s="42" t="s">
        <v>0</v>
      </c>
    </row>
    <row r="2061" spans="1:6">
      <c r="A2061" s="39">
        <v>45943</v>
      </c>
      <c r="B2061" s="40" t="s">
        <v>454</v>
      </c>
      <c r="C2061" s="40" t="s">
        <v>41</v>
      </c>
      <c r="D2061" s="41">
        <v>-1.3</v>
      </c>
      <c r="E2061" s="43" t="s">
        <v>467</v>
      </c>
      <c r="F2061" s="42" t="s">
        <v>0</v>
      </c>
    </row>
    <row r="2062" spans="1:6">
      <c r="A2062" s="39">
        <f>A2061</f>
        <v>45943</v>
      </c>
      <c r="B2062" s="40" t="s">
        <v>485</v>
      </c>
      <c r="C2062" s="40" t="s">
        <v>46</v>
      </c>
      <c r="D2062" s="41">
        <v>-5027.08</v>
      </c>
      <c r="E2062" s="43" t="str">
        <f>C2062</f>
        <v>Traspaso</v>
      </c>
      <c r="F2062" s="42" t="s">
        <v>0</v>
      </c>
    </row>
    <row r="2063" spans="1:6">
      <c r="A2063" s="39">
        <f>A2062</f>
        <v>45943</v>
      </c>
      <c r="B2063" s="40" t="s">
        <v>116</v>
      </c>
      <c r="C2063" s="40" t="s">
        <v>46</v>
      </c>
      <c r="D2063" s="41">
        <v>5027.08</v>
      </c>
      <c r="E2063" s="43" t="str">
        <f>C2063</f>
        <v>Traspaso</v>
      </c>
      <c r="F2063" s="42" t="s">
        <v>0</v>
      </c>
    </row>
    <row r="2064" spans="1:6">
      <c r="A2064" s="39">
        <f>A2063</f>
        <v>45943</v>
      </c>
      <c r="B2064" s="40" t="s">
        <v>485</v>
      </c>
      <c r="C2064" s="40" t="s">
        <v>46</v>
      </c>
      <c r="D2064" s="41">
        <v>-4529.42</v>
      </c>
      <c r="E2064" s="43" t="str">
        <f>C2064</f>
        <v>Traspaso</v>
      </c>
      <c r="F2064" s="42" t="s">
        <v>0</v>
      </c>
    </row>
    <row r="2065" spans="1:7">
      <c r="A2065" s="39">
        <f>A2064</f>
        <v>45943</v>
      </c>
      <c r="B2065" s="40" t="s">
        <v>116</v>
      </c>
      <c r="C2065" s="40" t="s">
        <v>46</v>
      </c>
      <c r="D2065" s="41">
        <v>4529.42</v>
      </c>
      <c r="E2065" s="43" t="str">
        <f>C2065</f>
        <v>Traspaso</v>
      </c>
      <c r="F2065" s="42" t="s">
        <v>0</v>
      </c>
      <c r="G2065" s="48"/>
    </row>
    <row r="2066" spans="1:7">
      <c r="A2066" s="39">
        <f>A2065</f>
        <v>45943</v>
      </c>
      <c r="B2066" s="40" t="s">
        <v>116</v>
      </c>
      <c r="C2066" s="40" t="s">
        <v>46</v>
      </c>
      <c r="D2066" s="41">
        <v>-2000</v>
      </c>
      <c r="E2066" s="43" t="str">
        <f>C2066</f>
        <v>Traspaso</v>
      </c>
      <c r="F2066" s="42" t="s">
        <v>0</v>
      </c>
    </row>
    <row r="2067" spans="1:7">
      <c r="A2067" s="39">
        <f>A2066</f>
        <v>45943</v>
      </c>
      <c r="B2067" s="40" t="s">
        <v>508</v>
      </c>
      <c r="C2067" s="40" t="s">
        <v>46</v>
      </c>
      <c r="D2067" s="41">
        <v>2000</v>
      </c>
      <c r="E2067" s="43" t="str">
        <f>C2067</f>
        <v>Traspaso</v>
      </c>
      <c r="F2067" s="42" t="s">
        <v>0</v>
      </c>
    </row>
    <row r="2068" spans="1:7">
      <c r="A2068" s="39">
        <f>A2067</f>
        <v>45943</v>
      </c>
      <c r="B2068" s="40" t="s">
        <v>116</v>
      </c>
      <c r="C2068" s="40" t="s">
        <v>46</v>
      </c>
      <c r="D2068" s="41">
        <v>-4528.46</v>
      </c>
      <c r="E2068" s="43" t="str">
        <f>C2068</f>
        <v>Traspaso</v>
      </c>
      <c r="F2068" s="42" t="s">
        <v>0</v>
      </c>
    </row>
    <row r="2069" spans="1:7">
      <c r="A2069" s="39">
        <f>A2068</f>
        <v>45943</v>
      </c>
      <c r="B2069" s="40" t="s">
        <v>485</v>
      </c>
      <c r="C2069" s="40" t="s">
        <v>46</v>
      </c>
      <c r="D2069" s="41">
        <v>4528.46</v>
      </c>
      <c r="E2069" s="43" t="str">
        <f>C2069</f>
        <v>Traspaso</v>
      </c>
      <c r="F2069" s="42" t="s">
        <v>0</v>
      </c>
    </row>
    <row r="2070" spans="1:7">
      <c r="A2070" s="39">
        <f>A2069</f>
        <v>45943</v>
      </c>
      <c r="B2070" s="40" t="s">
        <v>116</v>
      </c>
      <c r="C2070" s="40" t="s">
        <v>46</v>
      </c>
      <c r="D2070" s="41">
        <v>-2501</v>
      </c>
      <c r="E2070" s="43" t="str">
        <f>C2070</f>
        <v>Traspaso</v>
      </c>
      <c r="F2070" s="42" t="s">
        <v>0</v>
      </c>
    </row>
    <row r="2071" spans="1:7">
      <c r="A2071" s="39">
        <f>A2070</f>
        <v>45943</v>
      </c>
      <c r="B2071" s="40" t="s">
        <v>485</v>
      </c>
      <c r="C2071" s="40" t="s">
        <v>46</v>
      </c>
      <c r="D2071" s="41">
        <v>2501</v>
      </c>
      <c r="E2071" s="43" t="str">
        <f>C2071</f>
        <v>Traspaso</v>
      </c>
      <c r="F2071" s="42" t="s">
        <v>0</v>
      </c>
    </row>
    <row r="2072" spans="1:7">
      <c r="A2072" s="39">
        <v>45944</v>
      </c>
      <c r="B2072" s="40" t="s">
        <v>454</v>
      </c>
      <c r="C2072" s="40" t="s">
        <v>41</v>
      </c>
      <c r="D2072" s="41">
        <v>-1.3</v>
      </c>
      <c r="E2072" s="43" t="s">
        <v>467</v>
      </c>
      <c r="F2072" s="42" t="s">
        <v>0</v>
      </c>
    </row>
    <row r="2073" spans="1:7">
      <c r="A2073" s="39">
        <f>A2072</f>
        <v>45944</v>
      </c>
      <c r="B2073" s="40" t="s">
        <v>454</v>
      </c>
      <c r="C2073" s="40" t="s">
        <v>62</v>
      </c>
      <c r="D2073" s="41">
        <v>-4</v>
      </c>
      <c r="E2073" s="43" t="s">
        <v>460</v>
      </c>
      <c r="F2073" s="42" t="s">
        <v>0</v>
      </c>
    </row>
    <row r="2074" spans="1:7">
      <c r="A2074" s="39">
        <f>A2073</f>
        <v>45944</v>
      </c>
      <c r="B2074" s="40" t="s">
        <v>454</v>
      </c>
      <c r="C2074" s="40" t="s">
        <v>54</v>
      </c>
      <c r="D2074" s="41">
        <v>-2.86</v>
      </c>
      <c r="E2074" s="43" t="s">
        <v>583</v>
      </c>
      <c r="F2074" s="42" t="s">
        <v>0</v>
      </c>
    </row>
    <row r="2075" spans="1:7">
      <c r="A2075" s="39">
        <f>A2074</f>
        <v>45944</v>
      </c>
      <c r="B2075" s="40" t="s">
        <v>553</v>
      </c>
      <c r="C2075" s="40" t="s">
        <v>46</v>
      </c>
      <c r="D2075" s="41">
        <v>-1501.07</v>
      </c>
      <c r="E2075" s="43" t="str">
        <f>C2075</f>
        <v>Traspaso</v>
      </c>
      <c r="F2075" s="42" t="s">
        <v>0</v>
      </c>
    </row>
    <row r="2076" spans="1:7">
      <c r="A2076" s="39">
        <f>A2075</f>
        <v>45944</v>
      </c>
      <c r="B2076" s="40" t="s">
        <v>116</v>
      </c>
      <c r="C2076" s="40" t="s">
        <v>46</v>
      </c>
      <c r="D2076" s="41">
        <v>1501.07</v>
      </c>
      <c r="E2076" s="43" t="str">
        <f>C2076</f>
        <v>Traspaso</v>
      </c>
      <c r="F2076" s="42" t="s">
        <v>0</v>
      </c>
    </row>
    <row r="2077" spans="1:7">
      <c r="A2077" s="39">
        <f>A2076</f>
        <v>45944</v>
      </c>
      <c r="B2077" s="40" t="s">
        <v>454</v>
      </c>
      <c r="C2077" s="40" t="s">
        <v>52</v>
      </c>
      <c r="D2077" s="41">
        <v>-7.5</v>
      </c>
      <c r="E2077" s="43" t="s">
        <v>455</v>
      </c>
      <c r="F2077" s="42" t="s">
        <v>0</v>
      </c>
    </row>
    <row r="2078" spans="1:7">
      <c r="A2078" s="39">
        <f>A2077</f>
        <v>45944</v>
      </c>
      <c r="B2078" s="40" t="s">
        <v>485</v>
      </c>
      <c r="C2078" s="40" t="s">
        <v>46</v>
      </c>
      <c r="D2078" s="41">
        <v>-854.15</v>
      </c>
      <c r="E2078" s="43" t="str">
        <f>C2078</f>
        <v>Traspaso</v>
      </c>
      <c r="F2078" s="42" t="s">
        <v>0</v>
      </c>
    </row>
    <row r="2079" spans="1:7">
      <c r="A2079" s="39">
        <f>A2078</f>
        <v>45944</v>
      </c>
      <c r="B2079" s="40" t="s">
        <v>116</v>
      </c>
      <c r="C2079" s="40" t="s">
        <v>46</v>
      </c>
      <c r="D2079" s="41">
        <v>854.15</v>
      </c>
      <c r="E2079" s="43" t="str">
        <f>C2079</f>
        <v>Traspaso</v>
      </c>
      <c r="F2079" s="42" t="s">
        <v>0</v>
      </c>
    </row>
    <row r="2080" spans="1:7">
      <c r="A2080" s="39">
        <f>A2079</f>
        <v>45944</v>
      </c>
      <c r="B2080" s="40" t="s">
        <v>116</v>
      </c>
      <c r="C2080" s="40" t="s">
        <v>46</v>
      </c>
      <c r="D2080" s="41">
        <v>-751.21</v>
      </c>
      <c r="E2080" s="43" t="str">
        <f>C2080</f>
        <v>Traspaso</v>
      </c>
      <c r="F2080" s="42" t="s">
        <v>0</v>
      </c>
    </row>
    <row r="2081" spans="1:6">
      <c r="A2081" s="39">
        <f>A2080</f>
        <v>45944</v>
      </c>
      <c r="B2081" s="40" t="s">
        <v>485</v>
      </c>
      <c r="C2081" s="40" t="s">
        <v>46</v>
      </c>
      <c r="D2081" s="41">
        <v>751.21</v>
      </c>
      <c r="E2081" s="43" t="str">
        <f>C2081</f>
        <v>Traspaso</v>
      </c>
      <c r="F2081" s="42" t="s">
        <v>0</v>
      </c>
    </row>
    <row r="2082" spans="1:6">
      <c r="A2082" s="39">
        <f>A2081</f>
        <v>45944</v>
      </c>
      <c r="B2082" s="40" t="s">
        <v>445</v>
      </c>
      <c r="C2082" s="40" t="s">
        <v>73</v>
      </c>
      <c r="D2082" s="41">
        <v>-45.27</v>
      </c>
      <c r="E2082" s="43" t="s">
        <v>74</v>
      </c>
      <c r="F2082" s="42" t="s">
        <v>38</v>
      </c>
    </row>
    <row r="2083" spans="1:6">
      <c r="A2083" s="39">
        <f>A2082</f>
        <v>45944</v>
      </c>
      <c r="B2083" s="40" t="s">
        <v>448</v>
      </c>
      <c r="C2083" s="40" t="s">
        <v>34</v>
      </c>
      <c r="D2083" s="41">
        <v>24.43</v>
      </c>
      <c r="E2083" s="43" t="s">
        <v>49</v>
      </c>
      <c r="F2083" s="42" t="s">
        <v>1</v>
      </c>
    </row>
    <row r="2084" spans="1:6">
      <c r="A2084" s="39">
        <v>45945</v>
      </c>
      <c r="B2084" s="40" t="s">
        <v>452</v>
      </c>
      <c r="C2084" s="40" t="s">
        <v>50</v>
      </c>
      <c r="D2084" s="41">
        <v>50</v>
      </c>
      <c r="E2084" s="43" t="s">
        <v>51</v>
      </c>
      <c r="F2084" s="42" t="s">
        <v>1</v>
      </c>
    </row>
    <row r="2085" spans="1:6">
      <c r="A2085" s="39">
        <v>45945</v>
      </c>
      <c r="B2085" s="40" t="s">
        <v>454</v>
      </c>
      <c r="C2085" s="40" t="s">
        <v>41</v>
      </c>
      <c r="D2085" s="41">
        <v>-1.3</v>
      </c>
      <c r="E2085" s="43" t="s">
        <v>467</v>
      </c>
      <c r="F2085" s="42" t="s">
        <v>0</v>
      </c>
    </row>
    <row r="2086" spans="1:6">
      <c r="A2086" s="39">
        <f>A2085</f>
        <v>45945</v>
      </c>
      <c r="B2086" s="40" t="s">
        <v>454</v>
      </c>
      <c r="C2086" s="40" t="s">
        <v>166</v>
      </c>
      <c r="D2086" s="41">
        <v>-13.46</v>
      </c>
      <c r="E2086" s="43" t="str">
        <f>C2086</f>
        <v>Gas</v>
      </c>
      <c r="F2086" s="42" t="s">
        <v>38</v>
      </c>
    </row>
    <row r="2087" spans="1:6">
      <c r="A2087" s="39">
        <f>A2086</f>
        <v>45945</v>
      </c>
      <c r="B2087" s="40" t="s">
        <v>449</v>
      </c>
      <c r="C2087" s="40" t="s">
        <v>34</v>
      </c>
      <c r="D2087" s="41">
        <v>1.1000000000000001</v>
      </c>
      <c r="E2087" s="43" t="str">
        <f>C2087</f>
        <v>Intereses</v>
      </c>
      <c r="F2087" s="42" t="s">
        <v>0</v>
      </c>
    </row>
    <row r="2088" spans="1:6">
      <c r="A2088" s="39">
        <v>45945</v>
      </c>
      <c r="B2088" s="40" t="s">
        <v>116</v>
      </c>
      <c r="C2088" s="40" t="s">
        <v>46</v>
      </c>
      <c r="D2088" s="41">
        <v>-155.59</v>
      </c>
      <c r="E2088" s="43" t="str">
        <f>C2088</f>
        <v>Traspaso</v>
      </c>
      <c r="F2088" s="42" t="s">
        <v>0</v>
      </c>
    </row>
    <row r="2089" spans="1:6">
      <c r="A2089" s="39">
        <v>45945</v>
      </c>
      <c r="B2089" s="40" t="s">
        <v>481</v>
      </c>
      <c r="C2089" s="40" t="s">
        <v>46</v>
      </c>
      <c r="D2089" s="41">
        <v>155.59</v>
      </c>
      <c r="E2089" s="43" t="str">
        <f>C2089</f>
        <v>Traspaso</v>
      </c>
      <c r="F2089" s="42" t="s">
        <v>0</v>
      </c>
    </row>
    <row r="2090" spans="1:6">
      <c r="A2090" s="39">
        <v>45946</v>
      </c>
      <c r="B2090" s="40" t="s">
        <v>116</v>
      </c>
      <c r="C2090" s="40" t="s">
        <v>46</v>
      </c>
      <c r="D2090" s="41">
        <v>-250</v>
      </c>
      <c r="E2090" s="43" t="str">
        <f>C2090</f>
        <v>Traspaso</v>
      </c>
      <c r="F2090" s="42" t="s">
        <v>0</v>
      </c>
    </row>
    <row r="2091" spans="1:6">
      <c r="A2091" s="39">
        <f>A2090</f>
        <v>45946</v>
      </c>
      <c r="B2091" s="40" t="s">
        <v>485</v>
      </c>
      <c r="C2091" s="40" t="s">
        <v>46</v>
      </c>
      <c r="D2091" s="41">
        <v>250</v>
      </c>
      <c r="E2091" s="43" t="str">
        <f>C2091</f>
        <v>Traspaso</v>
      </c>
      <c r="F2091" s="42" t="s">
        <v>0</v>
      </c>
    </row>
    <row r="2092" spans="1:6">
      <c r="A2092" s="39">
        <f>A2091</f>
        <v>45946</v>
      </c>
      <c r="B2092" s="40" t="s">
        <v>116</v>
      </c>
      <c r="C2092" s="40" t="s">
        <v>46</v>
      </c>
      <c r="D2092" s="41">
        <v>-1000</v>
      </c>
      <c r="E2092" s="43" t="str">
        <f>C2092</f>
        <v>Traspaso</v>
      </c>
      <c r="F2092" s="42" t="s">
        <v>0</v>
      </c>
    </row>
    <row r="2093" spans="1:6">
      <c r="A2093" s="39">
        <f>A2092</f>
        <v>45946</v>
      </c>
      <c r="B2093" s="40" t="s">
        <v>485</v>
      </c>
      <c r="C2093" s="40" t="s">
        <v>46</v>
      </c>
      <c r="D2093" s="41">
        <v>1000</v>
      </c>
      <c r="E2093" s="43" t="str">
        <f>C2093</f>
        <v>Traspaso</v>
      </c>
      <c r="F2093" s="42" t="s">
        <v>0</v>
      </c>
    </row>
    <row r="2094" spans="1:6">
      <c r="A2094" s="39">
        <f>A2093</f>
        <v>45946</v>
      </c>
      <c r="B2094" s="40" t="s">
        <v>485</v>
      </c>
      <c r="C2094" s="40" t="s">
        <v>46</v>
      </c>
      <c r="D2094" s="41">
        <v>-769.4</v>
      </c>
      <c r="E2094" s="43" t="str">
        <f>C2094</f>
        <v>Traspaso</v>
      </c>
      <c r="F2094" s="42" t="s">
        <v>0</v>
      </c>
    </row>
    <row r="2095" spans="1:6">
      <c r="A2095" s="39">
        <f>A2094</f>
        <v>45946</v>
      </c>
      <c r="B2095" s="40" t="s">
        <v>116</v>
      </c>
      <c r="C2095" s="40" t="s">
        <v>46</v>
      </c>
      <c r="D2095" s="41">
        <v>769.4</v>
      </c>
      <c r="E2095" s="43" t="str">
        <f>C2095</f>
        <v>Traspaso</v>
      </c>
      <c r="F2095" s="42" t="s">
        <v>0</v>
      </c>
    </row>
    <row r="2096" spans="1:6">
      <c r="A2096" s="39">
        <f>A2095</f>
        <v>45946</v>
      </c>
      <c r="B2096" s="40" t="s">
        <v>485</v>
      </c>
      <c r="C2096" s="40" t="s">
        <v>46</v>
      </c>
      <c r="D2096" s="41">
        <v>-490.44</v>
      </c>
      <c r="E2096" s="43" t="str">
        <f>C2096</f>
        <v>Traspaso</v>
      </c>
      <c r="F2096" s="42" t="s">
        <v>0</v>
      </c>
    </row>
    <row r="2097" spans="1:6">
      <c r="A2097" s="39">
        <f>A2096</f>
        <v>45946</v>
      </c>
      <c r="B2097" s="40" t="s">
        <v>116</v>
      </c>
      <c r="C2097" s="40" t="s">
        <v>46</v>
      </c>
      <c r="D2097" s="41">
        <v>490.44</v>
      </c>
      <c r="E2097" s="43" t="str">
        <f>C2097</f>
        <v>Traspaso</v>
      </c>
      <c r="F2097" s="42" t="s">
        <v>0</v>
      </c>
    </row>
    <row r="2098" spans="1:6">
      <c r="A2098" s="39">
        <f>A2097</f>
        <v>45946</v>
      </c>
      <c r="B2098" s="40" t="s">
        <v>452</v>
      </c>
      <c r="C2098" s="40" t="s">
        <v>60</v>
      </c>
      <c r="D2098" s="41">
        <v>-4.5</v>
      </c>
      <c r="E2098" s="43" t="s">
        <v>627</v>
      </c>
      <c r="F2098" s="42" t="s">
        <v>1</v>
      </c>
    </row>
    <row r="2099" spans="1:6">
      <c r="A2099" s="39">
        <f>A2098</f>
        <v>45946</v>
      </c>
      <c r="B2099" s="40" t="s">
        <v>450</v>
      </c>
      <c r="C2099" s="40" t="s">
        <v>41</v>
      </c>
      <c r="D2099" s="41">
        <v>-7.44</v>
      </c>
      <c r="E2099" s="43" t="s">
        <v>572</v>
      </c>
      <c r="F2099" s="42" t="s">
        <v>1</v>
      </c>
    </row>
    <row r="2100" spans="1:6">
      <c r="A2100" s="39">
        <v>45947</v>
      </c>
      <c r="B2100" s="40" t="s">
        <v>454</v>
      </c>
      <c r="C2100" s="40" t="s">
        <v>41</v>
      </c>
      <c r="D2100" s="41">
        <v>-1.3</v>
      </c>
      <c r="E2100" s="43" t="s">
        <v>467</v>
      </c>
      <c r="F2100" s="42" t="s">
        <v>0</v>
      </c>
    </row>
    <row r="2101" spans="1:6">
      <c r="A2101" s="39">
        <f>A2100</f>
        <v>45947</v>
      </c>
      <c r="B2101" s="40" t="s">
        <v>454</v>
      </c>
      <c r="C2101" s="40" t="s">
        <v>52</v>
      </c>
      <c r="D2101" s="41">
        <v>-7.5</v>
      </c>
      <c r="E2101" s="43" t="s">
        <v>455</v>
      </c>
      <c r="F2101" s="42" t="s">
        <v>0</v>
      </c>
    </row>
    <row r="2102" spans="1:6">
      <c r="A2102" s="39">
        <v>45948</v>
      </c>
      <c r="B2102" s="40" t="s">
        <v>116</v>
      </c>
      <c r="C2102" s="40" t="s">
        <v>46</v>
      </c>
      <c r="D2102" s="41">
        <v>-509.92</v>
      </c>
      <c r="E2102" s="43" t="str">
        <f>C2102</f>
        <v>Traspaso</v>
      </c>
      <c r="F2102" s="42" t="s">
        <v>0</v>
      </c>
    </row>
    <row r="2103" spans="1:6">
      <c r="A2103" s="39">
        <f>A2102</f>
        <v>45948</v>
      </c>
      <c r="B2103" s="40" t="s">
        <v>454</v>
      </c>
      <c r="C2103" s="40" t="s">
        <v>46</v>
      </c>
      <c r="D2103" s="41">
        <v>509.92</v>
      </c>
      <c r="E2103" s="43" t="str">
        <f>C2103</f>
        <v>Traspaso</v>
      </c>
      <c r="F2103" s="42" t="s">
        <v>0</v>
      </c>
    </row>
    <row r="2104" spans="1:6">
      <c r="A2104" s="39">
        <f>A2103</f>
        <v>45948</v>
      </c>
      <c r="B2104" s="40" t="s">
        <v>116</v>
      </c>
      <c r="C2104" s="40" t="s">
        <v>46</v>
      </c>
      <c r="D2104" s="41">
        <v>-1000</v>
      </c>
      <c r="E2104" s="43" t="str">
        <f>C2104</f>
        <v>Traspaso</v>
      </c>
      <c r="F2104" s="42" t="s">
        <v>0</v>
      </c>
    </row>
    <row r="2105" spans="1:6">
      <c r="A2105" s="39">
        <f>A2104</f>
        <v>45948</v>
      </c>
      <c r="B2105" s="40" t="s">
        <v>508</v>
      </c>
      <c r="C2105" s="40" t="s">
        <v>46</v>
      </c>
      <c r="D2105" s="41">
        <v>1000</v>
      </c>
      <c r="E2105" s="43" t="str">
        <f>C2105</f>
        <v>Traspaso</v>
      </c>
      <c r="F2105" s="42" t="s">
        <v>0</v>
      </c>
    </row>
    <row r="2106" spans="1:6">
      <c r="A2106" s="39">
        <f>A2105</f>
        <v>45948</v>
      </c>
      <c r="B2106" s="40" t="s">
        <v>454</v>
      </c>
      <c r="C2106" s="40" t="s">
        <v>36</v>
      </c>
      <c r="D2106" s="41">
        <v>-131.04</v>
      </c>
      <c r="E2106" s="43" t="str">
        <f>C2106</f>
        <v>Comida</v>
      </c>
      <c r="F2106" s="42" t="s">
        <v>38</v>
      </c>
    </row>
    <row r="2107" spans="1:6">
      <c r="A2107" s="39">
        <f>A2106</f>
        <v>45948</v>
      </c>
      <c r="B2107" s="40" t="s">
        <v>452</v>
      </c>
      <c r="C2107" s="40" t="s">
        <v>41</v>
      </c>
      <c r="D2107" s="41">
        <v>-8.4</v>
      </c>
      <c r="E2107" s="43" t="s">
        <v>540</v>
      </c>
      <c r="F2107" s="42" t="s">
        <v>38</v>
      </c>
    </row>
    <row r="2108" spans="1:6">
      <c r="A2108" s="39">
        <f>A2107</f>
        <v>45948</v>
      </c>
      <c r="B2108" s="40" t="s">
        <v>445</v>
      </c>
      <c r="C2108" s="40" t="s">
        <v>36</v>
      </c>
      <c r="D2108" s="41">
        <v>-5.2</v>
      </c>
      <c r="E2108" s="43" t="s">
        <v>628</v>
      </c>
      <c r="F2108" s="42" t="s">
        <v>38</v>
      </c>
    </row>
    <row r="2109" spans="1:6">
      <c r="A2109" s="39">
        <v>45949</v>
      </c>
      <c r="B2109" s="40" t="s">
        <v>452</v>
      </c>
      <c r="C2109" s="40" t="s">
        <v>41</v>
      </c>
      <c r="D2109" s="41">
        <v>-12</v>
      </c>
      <c r="E2109" s="43" t="s">
        <v>629</v>
      </c>
      <c r="F2109" s="42" t="s">
        <v>38</v>
      </c>
    </row>
    <row r="2110" spans="1:6">
      <c r="A2110" s="39">
        <v>45950</v>
      </c>
      <c r="B2110" s="40" t="s">
        <v>452</v>
      </c>
      <c r="C2110" s="40" t="s">
        <v>461</v>
      </c>
      <c r="D2110" s="41">
        <v>-36</v>
      </c>
      <c r="E2110" s="43" t="s">
        <v>528</v>
      </c>
      <c r="F2110" s="42" t="s">
        <v>38</v>
      </c>
    </row>
    <row r="2111" spans="1:6">
      <c r="A2111" s="39">
        <v>45950</v>
      </c>
      <c r="B2111" s="40" t="s">
        <v>574</v>
      </c>
      <c r="C2111" s="40" t="s">
        <v>41</v>
      </c>
      <c r="D2111" s="41">
        <v>-1.3</v>
      </c>
      <c r="E2111" s="43" t="s">
        <v>467</v>
      </c>
      <c r="F2111" s="42" t="s">
        <v>0</v>
      </c>
    </row>
    <row r="2112" spans="1:6">
      <c r="A2112" s="39">
        <v>45951</v>
      </c>
      <c r="B2112" s="40" t="s">
        <v>574</v>
      </c>
      <c r="C2112" s="40" t="s">
        <v>41</v>
      </c>
      <c r="D2112" s="41">
        <v>-1.3</v>
      </c>
      <c r="E2112" s="43" t="s">
        <v>467</v>
      </c>
      <c r="F2112" s="42" t="s">
        <v>0</v>
      </c>
    </row>
    <row r="2113" spans="1:6">
      <c r="A2113" s="39">
        <f>A2112</f>
        <v>45951</v>
      </c>
      <c r="B2113" s="40" t="s">
        <v>454</v>
      </c>
      <c r="C2113" s="40" t="s">
        <v>62</v>
      </c>
      <c r="D2113" s="41">
        <v>-4</v>
      </c>
      <c r="E2113" s="43" t="s">
        <v>460</v>
      </c>
      <c r="F2113" s="42" t="s">
        <v>38</v>
      </c>
    </row>
    <row r="2114" spans="1:6">
      <c r="A2114" s="39">
        <v>45951</v>
      </c>
      <c r="B2114" s="40" t="s">
        <v>445</v>
      </c>
      <c r="C2114" s="40" t="s">
        <v>36</v>
      </c>
      <c r="D2114" s="41">
        <v>-30.99</v>
      </c>
      <c r="E2114" s="43" t="s">
        <v>143</v>
      </c>
      <c r="F2114" s="42" t="s">
        <v>38</v>
      </c>
    </row>
    <row r="2115" spans="1:6">
      <c r="A2115" s="39">
        <v>45952</v>
      </c>
      <c r="B2115" s="40" t="s">
        <v>256</v>
      </c>
      <c r="C2115" s="40" t="s">
        <v>50</v>
      </c>
      <c r="D2115" s="41">
        <v>-20</v>
      </c>
      <c r="E2115" s="43" t="s">
        <v>630</v>
      </c>
      <c r="F2115" s="42" t="s">
        <v>1</v>
      </c>
    </row>
    <row r="2116" spans="1:6">
      <c r="A2116" s="39">
        <v>45952</v>
      </c>
      <c r="B2116" s="40" t="s">
        <v>256</v>
      </c>
      <c r="C2116" s="40" t="s">
        <v>50</v>
      </c>
      <c r="D2116" s="41">
        <v>-20</v>
      </c>
      <c r="E2116" s="43" t="s">
        <v>631</v>
      </c>
      <c r="F2116" s="42" t="s">
        <v>1</v>
      </c>
    </row>
    <row r="2117" spans="1:6">
      <c r="A2117" s="39">
        <v>45952</v>
      </c>
      <c r="B2117" s="40" t="s">
        <v>452</v>
      </c>
      <c r="C2117" s="40" t="s">
        <v>62</v>
      </c>
      <c r="D2117" s="41">
        <v>-40</v>
      </c>
      <c r="E2117" s="43" t="s">
        <v>632</v>
      </c>
      <c r="F2117" s="42" t="s">
        <v>38</v>
      </c>
    </row>
    <row r="2118" spans="1:6">
      <c r="A2118" s="39">
        <v>45952</v>
      </c>
      <c r="B2118" s="40" t="s">
        <v>574</v>
      </c>
      <c r="C2118" s="40" t="s">
        <v>41</v>
      </c>
      <c r="D2118" s="41">
        <v>-1.3</v>
      </c>
      <c r="E2118" s="43" t="s">
        <v>467</v>
      </c>
      <c r="F2118" s="42" t="s">
        <v>0</v>
      </c>
    </row>
    <row r="2119" spans="1:6">
      <c r="A2119" s="39">
        <v>45952</v>
      </c>
      <c r="B2119" s="40" t="s">
        <v>471</v>
      </c>
      <c r="C2119" s="40" t="s">
        <v>46</v>
      </c>
      <c r="D2119" s="41">
        <v>-100</v>
      </c>
      <c r="E2119" s="43" t="s">
        <v>46</v>
      </c>
      <c r="F2119" s="42" t="s">
        <v>0</v>
      </c>
    </row>
    <row r="2120" spans="1:6">
      <c r="A2120" s="39">
        <v>45952</v>
      </c>
      <c r="B2120" s="40" t="s">
        <v>239</v>
      </c>
      <c r="C2120" s="40" t="s">
        <v>46</v>
      </c>
      <c r="D2120" s="41">
        <v>100</v>
      </c>
      <c r="E2120" s="43" t="s">
        <v>46</v>
      </c>
      <c r="F2120" s="42" t="s">
        <v>0</v>
      </c>
    </row>
    <row r="2121" spans="1:6">
      <c r="A2121" s="39">
        <v>45952</v>
      </c>
      <c r="B2121" s="40" t="s">
        <v>239</v>
      </c>
      <c r="C2121" s="40" t="s">
        <v>62</v>
      </c>
      <c r="D2121" s="41">
        <v>-60</v>
      </c>
      <c r="E2121" s="43" t="s">
        <v>633</v>
      </c>
      <c r="F2121" s="42" t="s">
        <v>38</v>
      </c>
    </row>
    <row r="2122" spans="1:6">
      <c r="A2122" s="39">
        <v>45952</v>
      </c>
      <c r="B2122" s="40" t="s">
        <v>116</v>
      </c>
      <c r="C2122" s="40" t="s">
        <v>34</v>
      </c>
      <c r="D2122" s="41">
        <v>24.7</v>
      </c>
      <c r="E2122" s="43" t="s">
        <v>34</v>
      </c>
      <c r="F2122" s="42" t="s">
        <v>0</v>
      </c>
    </row>
    <row r="2123" spans="1:6">
      <c r="A2123" s="39">
        <v>45953</v>
      </c>
      <c r="B2123" s="40" t="s">
        <v>574</v>
      </c>
      <c r="C2123" s="40" t="s">
        <v>41</v>
      </c>
      <c r="D2123" s="41">
        <v>-2.1</v>
      </c>
      <c r="E2123" s="43" t="s">
        <v>467</v>
      </c>
      <c r="F2123" s="42" t="s">
        <v>0</v>
      </c>
    </row>
    <row r="2124" spans="1:6">
      <c r="A2124" s="39">
        <f>A2123</f>
        <v>45953</v>
      </c>
      <c r="B2124" s="40" t="s">
        <v>86</v>
      </c>
      <c r="C2124" s="40" t="s">
        <v>46</v>
      </c>
      <c r="D2124" s="41">
        <v>-5008.6400000000003</v>
      </c>
      <c r="E2124" s="43" t="str">
        <f>C2124</f>
        <v>Traspaso</v>
      </c>
      <c r="F2124" s="42" t="s">
        <v>0</v>
      </c>
    </row>
    <row r="2125" spans="1:6">
      <c r="A2125" s="39">
        <f>A2124</f>
        <v>45953</v>
      </c>
      <c r="B2125" s="40" t="s">
        <v>239</v>
      </c>
      <c r="C2125" s="40" t="s">
        <v>46</v>
      </c>
      <c r="D2125" s="41">
        <v>5008.6400000000003</v>
      </c>
      <c r="E2125" s="43" t="str">
        <f>C2125</f>
        <v>Traspaso</v>
      </c>
      <c r="F2125" s="42" t="s">
        <v>0</v>
      </c>
    </row>
    <row r="2126" spans="1:6">
      <c r="A2126" s="39">
        <f>A2125</f>
        <v>45953</v>
      </c>
      <c r="B2126" s="40" t="s">
        <v>239</v>
      </c>
      <c r="C2126" s="40" t="s">
        <v>46</v>
      </c>
      <c r="D2126" s="41">
        <v>-2000</v>
      </c>
      <c r="E2126" s="43" t="str">
        <f>C2126</f>
        <v>Traspaso</v>
      </c>
      <c r="F2126" s="42" t="s">
        <v>0</v>
      </c>
    </row>
    <row r="2127" spans="1:6">
      <c r="A2127" s="39">
        <f>A2126</f>
        <v>45953</v>
      </c>
      <c r="B2127" s="40" t="s">
        <v>449</v>
      </c>
      <c r="C2127" s="40" t="s">
        <v>46</v>
      </c>
      <c r="D2127" s="41">
        <v>2000</v>
      </c>
      <c r="E2127" s="43" t="str">
        <f>C2127</f>
        <v>Traspaso</v>
      </c>
      <c r="F2127" s="42" t="s">
        <v>0</v>
      </c>
    </row>
    <row r="2128" spans="1:6">
      <c r="A2128" s="39">
        <f>A2127</f>
        <v>45953</v>
      </c>
      <c r="B2128" s="40" t="s">
        <v>239</v>
      </c>
      <c r="C2128" s="40" t="s">
        <v>46</v>
      </c>
      <c r="D2128" s="41">
        <v>-2000</v>
      </c>
      <c r="E2128" s="43" t="str">
        <f>C2128</f>
        <v>Traspaso</v>
      </c>
      <c r="F2128" s="42" t="s">
        <v>0</v>
      </c>
    </row>
    <row r="2129" spans="1:6">
      <c r="A2129" s="39">
        <f>A2128</f>
        <v>45953</v>
      </c>
      <c r="B2129" s="40" t="s">
        <v>116</v>
      </c>
      <c r="C2129" s="40" t="s">
        <v>46</v>
      </c>
      <c r="D2129" s="41">
        <v>2000</v>
      </c>
      <c r="E2129" s="43" t="str">
        <f>C2129</f>
        <v>Traspaso</v>
      </c>
      <c r="F2129" s="42" t="s">
        <v>0</v>
      </c>
    </row>
    <row r="2130" spans="1:6">
      <c r="A2130" s="39">
        <v>45953</v>
      </c>
      <c r="B2130" s="40" t="s">
        <v>454</v>
      </c>
      <c r="C2130" s="40" t="s">
        <v>52</v>
      </c>
      <c r="D2130" s="41">
        <v>-7.5</v>
      </c>
      <c r="E2130" s="43" t="s">
        <v>455</v>
      </c>
      <c r="F2130" s="42" t="s">
        <v>0</v>
      </c>
    </row>
    <row r="2131" spans="1:6">
      <c r="A2131" s="39">
        <f>A2129</f>
        <v>45953</v>
      </c>
      <c r="B2131" s="40" t="s">
        <v>452</v>
      </c>
      <c r="C2131" s="40" t="s">
        <v>54</v>
      </c>
      <c r="D2131" s="41">
        <v>-4.2300000000000004</v>
      </c>
      <c r="E2131" s="43" t="s">
        <v>634</v>
      </c>
      <c r="F2131" s="42" t="s">
        <v>1</v>
      </c>
    </row>
    <row r="2132" spans="1:6">
      <c r="A2132" s="39">
        <f>A2131</f>
        <v>45953</v>
      </c>
      <c r="B2132" s="40" t="s">
        <v>452</v>
      </c>
      <c r="C2132" s="40" t="s">
        <v>36</v>
      </c>
      <c r="D2132" s="41">
        <v>-1.75</v>
      </c>
      <c r="E2132" s="43" t="s">
        <v>635</v>
      </c>
      <c r="F2132" s="42" t="s">
        <v>1</v>
      </c>
    </row>
    <row r="2133" spans="1:6">
      <c r="A2133" s="39">
        <f>A2132</f>
        <v>45953</v>
      </c>
      <c r="B2133" s="40" t="s">
        <v>452</v>
      </c>
      <c r="C2133" s="40" t="s">
        <v>50</v>
      </c>
      <c r="D2133" s="41">
        <v>500</v>
      </c>
      <c r="E2133" s="43" t="s">
        <v>279</v>
      </c>
      <c r="F2133" s="42" t="s">
        <v>1</v>
      </c>
    </row>
    <row r="2134" spans="1:6">
      <c r="A2134" s="39">
        <v>45954</v>
      </c>
      <c r="B2134" s="40" t="s">
        <v>201</v>
      </c>
      <c r="C2134" s="40" t="s">
        <v>50</v>
      </c>
      <c r="D2134" s="41">
        <v>200</v>
      </c>
      <c r="E2134" s="43" t="s">
        <v>636</v>
      </c>
      <c r="F2134" s="42" t="s">
        <v>1</v>
      </c>
    </row>
    <row r="2135" spans="1:6">
      <c r="A2135" s="39">
        <v>45954</v>
      </c>
      <c r="B2135" s="40" t="s">
        <v>449</v>
      </c>
      <c r="C2135" s="40" t="s">
        <v>46</v>
      </c>
      <c r="D2135" s="41">
        <v>-74.319999999999993</v>
      </c>
      <c r="E2135" s="43" t="s">
        <v>46</v>
      </c>
      <c r="F2135" s="42" t="s">
        <v>0</v>
      </c>
    </row>
    <row r="2136" spans="1:6">
      <c r="A2136" s="39">
        <v>45954</v>
      </c>
      <c r="B2136" s="40" t="s">
        <v>471</v>
      </c>
      <c r="C2136" s="40" t="s">
        <v>46</v>
      </c>
      <c r="D2136" s="41">
        <v>74.319999999999993</v>
      </c>
      <c r="E2136" s="43" t="s">
        <v>46</v>
      </c>
      <c r="F2136" s="42" t="s">
        <v>0</v>
      </c>
    </row>
    <row r="2137" spans="1:6">
      <c r="A2137" s="39">
        <v>45955</v>
      </c>
      <c r="B2137" s="40" t="s">
        <v>116</v>
      </c>
      <c r="C2137" s="40" t="s">
        <v>50</v>
      </c>
      <c r="D2137" s="41">
        <v>-201</v>
      </c>
      <c r="E2137" s="43" t="s">
        <v>637</v>
      </c>
      <c r="F2137" s="42" t="s">
        <v>0</v>
      </c>
    </row>
    <row r="2138" spans="1:6">
      <c r="A2138" s="39">
        <v>45955</v>
      </c>
      <c r="B2138" s="40" t="s">
        <v>481</v>
      </c>
      <c r="C2138" s="40" t="s">
        <v>52</v>
      </c>
      <c r="D2138" s="41">
        <v>-10.72</v>
      </c>
      <c r="E2138" s="43" t="s">
        <v>638</v>
      </c>
      <c r="F2138" s="42" t="s">
        <v>0</v>
      </c>
    </row>
    <row r="2139" spans="1:6">
      <c r="A2139" s="39">
        <v>45955</v>
      </c>
      <c r="B2139" s="40" t="s">
        <v>481</v>
      </c>
      <c r="C2139" s="40" t="s">
        <v>62</v>
      </c>
      <c r="D2139" s="41">
        <v>-40</v>
      </c>
      <c r="E2139" s="43" t="s">
        <v>575</v>
      </c>
      <c r="F2139" s="42" t="s">
        <v>38</v>
      </c>
    </row>
    <row r="2140" spans="1:6">
      <c r="A2140" s="39">
        <v>45955</v>
      </c>
      <c r="B2140" s="40" t="s">
        <v>449</v>
      </c>
      <c r="C2140" s="40" t="s">
        <v>46</v>
      </c>
      <c r="D2140" s="41">
        <v>-1000</v>
      </c>
      <c r="E2140" s="43" t="s">
        <v>46</v>
      </c>
      <c r="F2140" s="42" t="s">
        <v>0</v>
      </c>
    </row>
    <row r="2141" spans="1:6">
      <c r="A2141" s="39">
        <v>45955</v>
      </c>
      <c r="B2141" s="40" t="s">
        <v>508</v>
      </c>
      <c r="C2141" s="40" t="s">
        <v>46</v>
      </c>
      <c r="D2141" s="41">
        <v>1000</v>
      </c>
      <c r="E2141" s="43" t="s">
        <v>46</v>
      </c>
      <c r="F2141" s="42" t="s">
        <v>0</v>
      </c>
    </row>
    <row r="2142" spans="1:6">
      <c r="A2142" s="39">
        <v>45955</v>
      </c>
      <c r="B2142" s="40" t="s">
        <v>449</v>
      </c>
      <c r="C2142" s="40" t="s">
        <v>46</v>
      </c>
      <c r="D2142" s="41">
        <v>-500</v>
      </c>
      <c r="E2142" s="43" t="s">
        <v>46</v>
      </c>
      <c r="F2142" s="42" t="s">
        <v>0</v>
      </c>
    </row>
    <row r="2143" spans="1:6">
      <c r="A2143" s="39">
        <v>45955</v>
      </c>
      <c r="B2143" s="40" t="s">
        <v>625</v>
      </c>
      <c r="C2143" s="40" t="s">
        <v>46</v>
      </c>
      <c r="D2143" s="41">
        <v>500</v>
      </c>
      <c r="E2143" s="43" t="s">
        <v>46</v>
      </c>
      <c r="F2143" s="42" t="s">
        <v>0</v>
      </c>
    </row>
    <row r="2144" spans="1:6">
      <c r="A2144" s="39">
        <v>45956</v>
      </c>
      <c r="B2144" s="40" t="s">
        <v>475</v>
      </c>
      <c r="C2144" s="40" t="s">
        <v>34</v>
      </c>
      <c r="D2144" s="41">
        <v>0.09</v>
      </c>
      <c r="E2144" s="43" t="str">
        <f>C2144</f>
        <v>Intereses</v>
      </c>
      <c r="F2144" s="42" t="s">
        <v>1</v>
      </c>
    </row>
    <row r="2145" spans="1:6">
      <c r="A2145" s="39">
        <f>A2144</f>
        <v>45956</v>
      </c>
      <c r="B2145" s="40" t="s">
        <v>452</v>
      </c>
      <c r="C2145" s="40" t="s">
        <v>41</v>
      </c>
      <c r="D2145" s="41">
        <v>-353.5</v>
      </c>
      <c r="E2145" s="43" t="s">
        <v>639</v>
      </c>
      <c r="F2145" s="42" t="s">
        <v>38</v>
      </c>
    </row>
    <row r="2146" spans="1:6">
      <c r="A2146" s="39">
        <f>A2145</f>
        <v>45956</v>
      </c>
      <c r="B2146" s="40" t="s">
        <v>448</v>
      </c>
      <c r="C2146" s="40" t="s">
        <v>46</v>
      </c>
      <c r="D2146" s="41">
        <v>-2000</v>
      </c>
      <c r="E2146" s="43" t="str">
        <f>C2146</f>
        <v>Traspaso</v>
      </c>
      <c r="F2146" s="42" t="s">
        <v>1</v>
      </c>
    </row>
    <row r="2147" spans="1:6">
      <c r="A2147" s="39">
        <f>A2146</f>
        <v>45956</v>
      </c>
      <c r="B2147" s="40" t="s">
        <v>640</v>
      </c>
      <c r="C2147" s="40" t="s">
        <v>46</v>
      </c>
      <c r="D2147" s="41">
        <v>2000</v>
      </c>
      <c r="E2147" s="43" t="s">
        <v>641</v>
      </c>
      <c r="F2147" s="42" t="s">
        <v>1</v>
      </c>
    </row>
    <row r="2148" spans="1:6">
      <c r="A2148" s="39">
        <v>45956</v>
      </c>
      <c r="B2148" s="40" t="s">
        <v>450</v>
      </c>
      <c r="C2148" s="40" t="s">
        <v>46</v>
      </c>
      <c r="D2148" s="41">
        <v>-500</v>
      </c>
      <c r="E2148" s="43" t="str">
        <f>C2148</f>
        <v>Traspaso</v>
      </c>
      <c r="F2148" s="42" t="s">
        <v>1</v>
      </c>
    </row>
    <row r="2149" spans="1:6">
      <c r="A2149" s="39">
        <f>A2148</f>
        <v>45956</v>
      </c>
      <c r="B2149" s="40" t="s">
        <v>448</v>
      </c>
      <c r="C2149" s="40" t="s">
        <v>46</v>
      </c>
      <c r="D2149" s="41">
        <v>500</v>
      </c>
      <c r="E2149" s="43" t="str">
        <f>C2149</f>
        <v>Traspaso</v>
      </c>
      <c r="F2149" s="42" t="s">
        <v>1</v>
      </c>
    </row>
    <row r="2150" spans="1:6">
      <c r="A2150" s="39">
        <f>A2149</f>
        <v>45956</v>
      </c>
      <c r="B2150" s="40" t="s">
        <v>454</v>
      </c>
      <c r="C2150" s="40" t="s">
        <v>52</v>
      </c>
      <c r="D2150" s="41">
        <v>-6</v>
      </c>
      <c r="E2150" s="43" t="s">
        <v>455</v>
      </c>
      <c r="F2150" s="42" t="s">
        <v>0</v>
      </c>
    </row>
    <row r="2151" spans="1:6">
      <c r="A2151" s="39">
        <v>45956</v>
      </c>
      <c r="B2151" s="40" t="s">
        <v>239</v>
      </c>
      <c r="C2151" s="40" t="s">
        <v>46</v>
      </c>
      <c r="D2151" s="41">
        <v>-1000</v>
      </c>
      <c r="E2151" s="43" t="str">
        <f>C2151</f>
        <v>Traspaso</v>
      </c>
      <c r="F2151" s="42" t="s">
        <v>0</v>
      </c>
    </row>
    <row r="2152" spans="1:6">
      <c r="A2152" s="39">
        <v>45956</v>
      </c>
      <c r="B2152" s="40" t="s">
        <v>553</v>
      </c>
      <c r="C2152" s="40" t="s">
        <v>46</v>
      </c>
      <c r="D2152" s="41">
        <v>1000</v>
      </c>
      <c r="E2152" s="43" t="str">
        <f>C2152</f>
        <v>Traspaso</v>
      </c>
      <c r="F2152" s="42" t="s">
        <v>0</v>
      </c>
    </row>
    <row r="2153" spans="1:6">
      <c r="A2153" s="39">
        <v>45957</v>
      </c>
      <c r="B2153" s="40" t="s">
        <v>454</v>
      </c>
      <c r="C2153" s="40" t="s">
        <v>41</v>
      </c>
      <c r="D2153" s="41">
        <v>-1.3</v>
      </c>
      <c r="E2153" s="43" t="s">
        <v>467</v>
      </c>
      <c r="F2153" s="42" t="s">
        <v>0</v>
      </c>
    </row>
    <row r="2154" spans="1:6">
      <c r="A2154" s="39">
        <f>A2153</f>
        <v>45957</v>
      </c>
      <c r="B2154" s="40" t="s">
        <v>454</v>
      </c>
      <c r="C2154" s="40" t="s">
        <v>36</v>
      </c>
      <c r="D2154" s="41">
        <v>-99.48</v>
      </c>
      <c r="E2154" s="43" t="s">
        <v>295</v>
      </c>
      <c r="F2154" s="42" t="s">
        <v>38</v>
      </c>
    </row>
    <row r="2155" spans="1:6">
      <c r="A2155" s="39">
        <v>45957</v>
      </c>
      <c r="B2155" s="40" t="s">
        <v>445</v>
      </c>
      <c r="C2155" s="40" t="s">
        <v>36</v>
      </c>
      <c r="D2155" s="41">
        <v>-34.54</v>
      </c>
      <c r="E2155" s="43" t="s">
        <v>133</v>
      </c>
      <c r="F2155" s="42" t="s">
        <v>38</v>
      </c>
    </row>
    <row r="2156" spans="1:6">
      <c r="A2156" s="39">
        <v>45958</v>
      </c>
      <c r="B2156" s="40" t="s">
        <v>454</v>
      </c>
      <c r="C2156" s="40" t="s">
        <v>41</v>
      </c>
      <c r="D2156" s="41">
        <v>-1.3</v>
      </c>
      <c r="E2156" s="43" t="s">
        <v>467</v>
      </c>
      <c r="F2156" s="42" t="s">
        <v>0</v>
      </c>
    </row>
    <row r="2157" spans="1:6">
      <c r="A2157" s="39">
        <v>45958</v>
      </c>
      <c r="B2157" s="40" t="s">
        <v>454</v>
      </c>
      <c r="C2157" s="40" t="s">
        <v>62</v>
      </c>
      <c r="D2157" s="41">
        <v>-4</v>
      </c>
      <c r="E2157" s="43" t="s">
        <v>460</v>
      </c>
      <c r="F2157" s="42" t="s">
        <v>38</v>
      </c>
    </row>
    <row r="2158" spans="1:6">
      <c r="A2158" s="39">
        <v>45959</v>
      </c>
      <c r="B2158" s="40" t="s">
        <v>452</v>
      </c>
      <c r="C2158" s="40" t="s">
        <v>41</v>
      </c>
      <c r="D2158" s="41">
        <v>-3.9</v>
      </c>
      <c r="E2158" s="43" t="s">
        <v>84</v>
      </c>
      <c r="F2158" s="42" t="s">
        <v>1</v>
      </c>
    </row>
    <row r="2159" spans="1:6">
      <c r="A2159" s="39">
        <v>45959</v>
      </c>
      <c r="B2159" s="40" t="s">
        <v>452</v>
      </c>
      <c r="C2159" s="40" t="s">
        <v>54</v>
      </c>
      <c r="D2159" s="41">
        <v>-80</v>
      </c>
      <c r="E2159" s="43" t="s">
        <v>241</v>
      </c>
      <c r="F2159" s="42" t="s">
        <v>1</v>
      </c>
    </row>
    <row r="2160" spans="1:6">
      <c r="A2160" s="39">
        <v>45959</v>
      </c>
      <c r="B2160" s="40" t="s">
        <v>448</v>
      </c>
      <c r="C2160" s="40" t="s">
        <v>110</v>
      </c>
      <c r="D2160" s="41">
        <v>2501.64</v>
      </c>
      <c r="E2160" s="43" t="s">
        <v>110</v>
      </c>
      <c r="F2160" s="42" t="s">
        <v>1</v>
      </c>
    </row>
    <row r="2161" spans="1:6">
      <c r="A2161" s="39">
        <v>45959</v>
      </c>
      <c r="B2161" s="40" t="s">
        <v>471</v>
      </c>
      <c r="C2161" s="40" t="s">
        <v>110</v>
      </c>
      <c r="D2161" s="41">
        <v>1981.78</v>
      </c>
      <c r="E2161" s="43" t="str">
        <f>C2161</f>
        <v>Nómina</v>
      </c>
      <c r="F2161" s="42" t="s">
        <v>0</v>
      </c>
    </row>
    <row r="2162" spans="1:6">
      <c r="A2162" s="39">
        <f>A2161</f>
        <v>45959</v>
      </c>
      <c r="B2162" s="40" t="s">
        <v>471</v>
      </c>
      <c r="C2162" s="40" t="s">
        <v>110</v>
      </c>
      <c r="D2162" s="41">
        <v>240.22</v>
      </c>
      <c r="E2162" s="43" t="str">
        <f>C2162</f>
        <v>Nómina</v>
      </c>
      <c r="F2162" s="42" t="s">
        <v>0</v>
      </c>
    </row>
    <row r="2163" spans="1:6">
      <c r="A2163" s="39">
        <v>45959</v>
      </c>
      <c r="B2163" s="40" t="s">
        <v>454</v>
      </c>
      <c r="C2163" s="40" t="s">
        <v>41</v>
      </c>
      <c r="D2163" s="41">
        <v>-1.3</v>
      </c>
      <c r="E2163" s="43" t="s">
        <v>467</v>
      </c>
      <c r="F2163" s="42" t="s">
        <v>0</v>
      </c>
    </row>
    <row r="2164" spans="1:6">
      <c r="A2164" s="39">
        <v>45960</v>
      </c>
      <c r="B2164" s="40" t="s">
        <v>445</v>
      </c>
      <c r="C2164" s="40" t="s">
        <v>73</v>
      </c>
      <c r="D2164" s="41">
        <v>-40.799999999999997</v>
      </c>
      <c r="E2164" s="43" t="s">
        <v>74</v>
      </c>
      <c r="F2164" s="42" t="s">
        <v>38</v>
      </c>
    </row>
    <row r="2165" spans="1:6">
      <c r="A2165" s="39">
        <v>45960</v>
      </c>
      <c r="B2165" s="40" t="s">
        <v>445</v>
      </c>
      <c r="C2165" s="40" t="s">
        <v>36</v>
      </c>
      <c r="D2165" s="41">
        <v>-8.18</v>
      </c>
      <c r="E2165" s="43" t="s">
        <v>143</v>
      </c>
      <c r="F2165" s="42" t="s">
        <v>38</v>
      </c>
    </row>
    <row r="2166" spans="1:6">
      <c r="A2166" s="39">
        <v>45960</v>
      </c>
      <c r="B2166" s="40" t="s">
        <v>450</v>
      </c>
      <c r="C2166" s="40" t="s">
        <v>119</v>
      </c>
      <c r="D2166" s="41">
        <v>-52.6</v>
      </c>
      <c r="E2166" s="43" t="s">
        <v>642</v>
      </c>
      <c r="F2166" s="42" t="s">
        <v>1</v>
      </c>
    </row>
    <row r="2167" spans="1:6">
      <c r="A2167" s="39">
        <v>45960</v>
      </c>
      <c r="B2167" s="40" t="s">
        <v>454</v>
      </c>
      <c r="C2167" s="40" t="s">
        <v>41</v>
      </c>
      <c r="D2167" s="41">
        <v>-1.3</v>
      </c>
      <c r="E2167" s="43" t="s">
        <v>467</v>
      </c>
      <c r="F2167" s="42" t="s">
        <v>0</v>
      </c>
    </row>
    <row r="2168" spans="1:6">
      <c r="A2168" s="39">
        <f>A2167</f>
        <v>45960</v>
      </c>
      <c r="B2168" s="40" t="s">
        <v>454</v>
      </c>
      <c r="C2168" s="40" t="s">
        <v>43</v>
      </c>
      <c r="D2168" s="41">
        <v>-35.880000000000003</v>
      </c>
      <c r="E2168" s="43" t="s">
        <v>498</v>
      </c>
      <c r="F2168" s="42" t="s">
        <v>0</v>
      </c>
    </row>
    <row r="2169" spans="1:6">
      <c r="A2169" s="39">
        <f>A2168</f>
        <v>45960</v>
      </c>
      <c r="B2169" s="40" t="s">
        <v>471</v>
      </c>
      <c r="C2169" s="40" t="s">
        <v>46</v>
      </c>
      <c r="D2169" s="41">
        <v>-1000</v>
      </c>
      <c r="E2169" s="43" t="str">
        <f>C2169</f>
        <v>Traspaso</v>
      </c>
      <c r="F2169" s="42" t="s">
        <v>0</v>
      </c>
    </row>
    <row r="2170" spans="1:6">
      <c r="A2170" s="39">
        <f>A2169</f>
        <v>45960</v>
      </c>
      <c r="B2170" s="40" t="s">
        <v>454</v>
      </c>
      <c r="C2170" s="40" t="s">
        <v>46</v>
      </c>
      <c r="D2170" s="41">
        <v>1000</v>
      </c>
      <c r="E2170" s="43" t="str">
        <f>C2170</f>
        <v>Traspaso</v>
      </c>
      <c r="F2170" s="42" t="s">
        <v>0</v>
      </c>
    </row>
    <row r="2171" spans="1:6">
      <c r="A2171" s="39">
        <f>A2170</f>
        <v>45960</v>
      </c>
      <c r="B2171" s="40" t="s">
        <v>454</v>
      </c>
      <c r="C2171" s="40" t="s">
        <v>46</v>
      </c>
      <c r="D2171" s="41">
        <v>-300</v>
      </c>
      <c r="E2171" s="43" t="str">
        <f>C2171</f>
        <v>Traspaso</v>
      </c>
      <c r="F2171" s="42" t="s">
        <v>0</v>
      </c>
    </row>
    <row r="2172" spans="1:6">
      <c r="A2172" s="39">
        <f>A2171</f>
        <v>45960</v>
      </c>
      <c r="B2172" s="40" t="s">
        <v>472</v>
      </c>
      <c r="C2172" s="40" t="s">
        <v>46</v>
      </c>
      <c r="D2172" s="41">
        <v>300</v>
      </c>
      <c r="E2172" s="43" t="str">
        <f>C2172</f>
        <v>Traspaso</v>
      </c>
      <c r="F2172" s="42" t="s">
        <v>0</v>
      </c>
    </row>
    <row r="2173" spans="1:6">
      <c r="A2173" s="39">
        <f>A2172</f>
        <v>45960</v>
      </c>
      <c r="B2173" s="40" t="s">
        <v>449</v>
      </c>
      <c r="C2173" s="40" t="s">
        <v>46</v>
      </c>
      <c r="D2173" s="41">
        <v>-400</v>
      </c>
      <c r="E2173" s="43" t="str">
        <f>C2173</f>
        <v>Traspaso</v>
      </c>
      <c r="F2173" s="42" t="s">
        <v>0</v>
      </c>
    </row>
    <row r="2174" spans="1:6">
      <c r="A2174" s="39">
        <f>A2173</f>
        <v>45960</v>
      </c>
      <c r="B2174" s="40" t="s">
        <v>454</v>
      </c>
      <c r="C2174" s="40" t="s">
        <v>46</v>
      </c>
      <c r="D2174" s="41">
        <v>400</v>
      </c>
      <c r="E2174" s="43" t="str">
        <f>C2174</f>
        <v>Traspaso</v>
      </c>
      <c r="F2174" s="42" t="s">
        <v>0</v>
      </c>
    </row>
    <row r="2175" spans="1:6">
      <c r="A2175" s="39">
        <f>A2174</f>
        <v>45960</v>
      </c>
      <c r="B2175" s="40" t="s">
        <v>471</v>
      </c>
      <c r="C2175" s="40" t="s">
        <v>46</v>
      </c>
      <c r="D2175" s="41">
        <v>-828.1</v>
      </c>
      <c r="E2175" s="43" t="str">
        <f>C2175</f>
        <v>Traspaso</v>
      </c>
      <c r="F2175" s="42" t="s">
        <v>0</v>
      </c>
    </row>
    <row r="2176" spans="1:6">
      <c r="A2176" s="39">
        <f>A2175</f>
        <v>45960</v>
      </c>
      <c r="B2176" s="40" t="s">
        <v>454</v>
      </c>
      <c r="C2176" s="40" t="s">
        <v>46</v>
      </c>
      <c r="D2176" s="41">
        <v>828.1</v>
      </c>
      <c r="E2176" s="43" t="str">
        <f>C2176</f>
        <v>Traspaso</v>
      </c>
      <c r="F2176" s="42" t="s">
        <v>0</v>
      </c>
    </row>
    <row r="2177" spans="1:6">
      <c r="A2177" s="39">
        <f>A2176</f>
        <v>45960</v>
      </c>
      <c r="B2177" s="40" t="s">
        <v>454</v>
      </c>
      <c r="C2177" s="40" t="s">
        <v>73</v>
      </c>
      <c r="D2177" s="41">
        <v>-70</v>
      </c>
      <c r="E2177" s="43" t="s">
        <v>533</v>
      </c>
      <c r="F2177" s="42" t="s">
        <v>38</v>
      </c>
    </row>
    <row r="2178" spans="1:6">
      <c r="A2178" s="39">
        <v>45961</v>
      </c>
      <c r="B2178" s="40" t="s">
        <v>446</v>
      </c>
      <c r="C2178" s="40" t="s">
        <v>46</v>
      </c>
      <c r="D2178" s="41">
        <v>-190.34</v>
      </c>
      <c r="E2178" s="43" t="s">
        <v>375</v>
      </c>
      <c r="F2178" s="42" t="s">
        <v>1</v>
      </c>
    </row>
    <row r="2179" spans="1:6">
      <c r="A2179" s="39">
        <v>45961</v>
      </c>
      <c r="B2179" s="40" t="s">
        <v>445</v>
      </c>
      <c r="C2179" s="40" t="s">
        <v>46</v>
      </c>
      <c r="D2179" s="41">
        <v>190.34</v>
      </c>
      <c r="E2179" s="43"/>
      <c r="F2179" s="42" t="s">
        <v>1</v>
      </c>
    </row>
    <row r="2180" spans="1:6">
      <c r="A2180" s="39">
        <v>45961</v>
      </c>
      <c r="B2180" s="40" t="s">
        <v>448</v>
      </c>
      <c r="C2180" s="40" t="s">
        <v>46</v>
      </c>
      <c r="D2180" s="41">
        <v>-1000</v>
      </c>
      <c r="E2180" s="43"/>
      <c r="F2180" s="42" t="s">
        <v>1</v>
      </c>
    </row>
    <row r="2181" spans="1:6">
      <c r="A2181" s="39">
        <v>45961</v>
      </c>
      <c r="B2181" s="40" t="s">
        <v>446</v>
      </c>
      <c r="C2181" s="40" t="s">
        <v>46</v>
      </c>
      <c r="D2181" s="41">
        <v>1000</v>
      </c>
      <c r="E2181" s="43"/>
      <c r="F2181" s="42" t="s">
        <v>1</v>
      </c>
    </row>
    <row r="2182" spans="1:6">
      <c r="A2182" s="39">
        <v>45961</v>
      </c>
      <c r="B2182" s="40" t="s">
        <v>452</v>
      </c>
      <c r="C2182" s="40" t="s">
        <v>60</v>
      </c>
      <c r="D2182" s="41">
        <v>-2.75</v>
      </c>
      <c r="E2182" s="43" t="s">
        <v>627</v>
      </c>
      <c r="F2182" s="42" t="s">
        <v>1</v>
      </c>
    </row>
    <row r="2183" spans="1:6">
      <c r="A2183" s="39">
        <v>45961</v>
      </c>
      <c r="B2183" s="40" t="s">
        <v>450</v>
      </c>
      <c r="C2183" s="40" t="s">
        <v>463</v>
      </c>
      <c r="D2183" s="41">
        <v>8</v>
      </c>
      <c r="E2183" s="43" t="s">
        <v>643</v>
      </c>
      <c r="F2183" s="42" t="s">
        <v>38</v>
      </c>
    </row>
    <row r="2184" spans="1:6">
      <c r="A2184" s="39">
        <v>45961</v>
      </c>
      <c r="B2184" s="40" t="s">
        <v>445</v>
      </c>
      <c r="C2184" s="40" t="s">
        <v>36</v>
      </c>
      <c r="D2184" s="41">
        <v>-22.76</v>
      </c>
      <c r="E2184" s="43" t="s">
        <v>133</v>
      </c>
      <c r="F2184" s="42" t="s">
        <v>38</v>
      </c>
    </row>
    <row r="2185" spans="1:6">
      <c r="A2185" s="39">
        <v>45961</v>
      </c>
      <c r="B2185" s="40" t="s">
        <v>445</v>
      </c>
      <c r="C2185" s="40" t="s">
        <v>50</v>
      </c>
      <c r="D2185" s="41">
        <v>-45.73</v>
      </c>
      <c r="E2185" s="43" t="s">
        <v>644</v>
      </c>
      <c r="F2185" s="42" t="s">
        <v>1</v>
      </c>
    </row>
    <row r="2186" spans="1:6">
      <c r="A2186" s="39">
        <v>45961</v>
      </c>
      <c r="B2186" s="40" t="s">
        <v>454</v>
      </c>
      <c r="C2186" s="40" t="s">
        <v>46</v>
      </c>
      <c r="D2186" s="41">
        <v>-1300</v>
      </c>
      <c r="E2186" s="43" t="str">
        <f>C2186</f>
        <v>Traspaso</v>
      </c>
      <c r="F2186" s="42" t="s">
        <v>0</v>
      </c>
    </row>
    <row r="2187" spans="1:6">
      <c r="A2187" s="39">
        <f>A2186</f>
        <v>45961</v>
      </c>
      <c r="B2187" s="40" t="s">
        <v>437</v>
      </c>
      <c r="C2187" s="40" t="s">
        <v>46</v>
      </c>
      <c r="D2187" s="41">
        <v>1300</v>
      </c>
      <c r="E2187" s="43" t="str">
        <f>C2187</f>
        <v>Traspaso</v>
      </c>
      <c r="F2187" s="42" t="s">
        <v>0</v>
      </c>
    </row>
    <row r="2188" spans="1:6">
      <c r="A2188" s="39">
        <f>A2187</f>
        <v>45961</v>
      </c>
      <c r="B2188" s="40" t="s">
        <v>454</v>
      </c>
      <c r="C2188" s="40" t="s">
        <v>41</v>
      </c>
      <c r="D2188" s="41">
        <v>-1.3</v>
      </c>
      <c r="E2188" s="43" t="s">
        <v>467</v>
      </c>
      <c r="F2188" s="42" t="s">
        <v>0</v>
      </c>
    </row>
    <row r="2189" spans="1:6">
      <c r="A2189" s="39">
        <f>A2188</f>
        <v>45961</v>
      </c>
      <c r="B2189" s="40" t="s">
        <v>454</v>
      </c>
      <c r="C2189" s="40" t="s">
        <v>52</v>
      </c>
      <c r="D2189" s="41">
        <v>-7.5</v>
      </c>
      <c r="E2189" s="43" t="s">
        <v>455</v>
      </c>
      <c r="F2189" s="42" t="s">
        <v>0</v>
      </c>
    </row>
    <row r="2190" spans="1:6">
      <c r="A2190" s="39">
        <f>A2189</f>
        <v>45961</v>
      </c>
      <c r="B2190" s="40" t="s">
        <v>454</v>
      </c>
      <c r="C2190" s="40" t="s">
        <v>36</v>
      </c>
      <c r="D2190" s="41">
        <v>-50.59</v>
      </c>
      <c r="E2190" s="43" t="s">
        <v>295</v>
      </c>
      <c r="F2190" s="42" t="s">
        <v>38</v>
      </c>
    </row>
    <row r="2191" spans="1:6">
      <c r="A2191" s="39">
        <v>45961</v>
      </c>
      <c r="B2191" s="40" t="s">
        <v>446</v>
      </c>
      <c r="C2191" s="40" t="s">
        <v>463</v>
      </c>
      <c r="D2191" s="41">
        <v>100</v>
      </c>
      <c r="E2191" s="43" t="s">
        <v>126</v>
      </c>
      <c r="F2191" s="42" t="s">
        <v>38</v>
      </c>
    </row>
    <row r="2192" spans="1:6">
      <c r="A2192" s="39">
        <v>45962</v>
      </c>
      <c r="B2192" s="40" t="s">
        <v>454</v>
      </c>
      <c r="C2192" s="40" t="s">
        <v>52</v>
      </c>
      <c r="D2192" s="41">
        <v>-12</v>
      </c>
      <c r="E2192" s="43" t="s">
        <v>455</v>
      </c>
      <c r="F2192" s="42" t="s">
        <v>0</v>
      </c>
    </row>
    <row r="2193" spans="1:6">
      <c r="A2193" s="39">
        <f>A2192</f>
        <v>45962</v>
      </c>
      <c r="B2193" s="40" t="s">
        <v>239</v>
      </c>
      <c r="C2193" s="40" t="s">
        <v>34</v>
      </c>
      <c r="D2193" s="41">
        <v>0.15</v>
      </c>
      <c r="E2193" s="43" t="str">
        <f>C2193</f>
        <v>Intereses</v>
      </c>
      <c r="F2193" s="42" t="s">
        <v>0</v>
      </c>
    </row>
    <row r="2194" spans="1:6">
      <c r="A2194" s="39">
        <f>A2193</f>
        <v>45962</v>
      </c>
      <c r="B2194" s="40" t="s">
        <v>116</v>
      </c>
      <c r="C2194" s="40" t="s">
        <v>34</v>
      </c>
      <c r="D2194" s="41">
        <v>1.61</v>
      </c>
      <c r="E2194" s="43" t="str">
        <f>C2194</f>
        <v>Intereses</v>
      </c>
      <c r="F2194" s="42" t="s">
        <v>0</v>
      </c>
    </row>
    <row r="2195" spans="1:6">
      <c r="A2195" s="39">
        <v>45962</v>
      </c>
      <c r="B2195" s="40" t="s">
        <v>452</v>
      </c>
      <c r="C2195" s="40" t="s">
        <v>41</v>
      </c>
      <c r="D2195" s="41">
        <v>-43</v>
      </c>
      <c r="E2195" s="43" t="s">
        <v>645</v>
      </c>
      <c r="F2195" s="42" t="s">
        <v>38</v>
      </c>
    </row>
    <row r="2196" spans="1:6">
      <c r="A2196" s="39">
        <v>45962</v>
      </c>
      <c r="B2196" s="40" t="s">
        <v>450</v>
      </c>
      <c r="C2196" s="40" t="s">
        <v>34</v>
      </c>
      <c r="D2196" s="41">
        <v>0.25</v>
      </c>
      <c r="E2196" s="43" t="s">
        <v>49</v>
      </c>
      <c r="F2196" s="42" t="s">
        <v>1</v>
      </c>
    </row>
    <row r="2197" spans="1:6">
      <c r="A2197" s="39">
        <v>45962</v>
      </c>
      <c r="B2197" s="40" t="s">
        <v>504</v>
      </c>
      <c r="C2197" s="40" t="s">
        <v>34</v>
      </c>
      <c r="D2197" s="41">
        <v>51.24</v>
      </c>
      <c r="E2197" s="43" t="s">
        <v>49</v>
      </c>
      <c r="F2197" s="42" t="s">
        <v>1</v>
      </c>
    </row>
    <row r="2198" spans="1:6">
      <c r="A2198" s="39">
        <v>45962</v>
      </c>
      <c r="B2198" s="40" t="s">
        <v>256</v>
      </c>
      <c r="C2198" s="40" t="s">
        <v>34</v>
      </c>
      <c r="D2198" s="41">
        <v>44.56</v>
      </c>
      <c r="E2198" s="43" t="s">
        <v>49</v>
      </c>
      <c r="F2198" s="42" t="s">
        <v>1</v>
      </c>
    </row>
    <row r="2199" spans="1:6">
      <c r="A2199" s="39">
        <v>45963</v>
      </c>
      <c r="B2199" s="40" t="s">
        <v>454</v>
      </c>
      <c r="C2199" s="40" t="s">
        <v>39</v>
      </c>
      <c r="D2199" s="41">
        <v>800</v>
      </c>
      <c r="E2199" s="43" t="s">
        <v>646</v>
      </c>
      <c r="F2199" s="42" t="s">
        <v>0</v>
      </c>
    </row>
    <row r="2200" spans="1:6">
      <c r="A2200" s="39">
        <v>45964</v>
      </c>
      <c r="B2200" s="40" t="s">
        <v>454</v>
      </c>
      <c r="C2200" s="40" t="s">
        <v>43</v>
      </c>
      <c r="D2200" s="41">
        <v>-100</v>
      </c>
      <c r="E2200" s="43" t="s">
        <v>456</v>
      </c>
      <c r="F2200" s="42" t="s">
        <v>38</v>
      </c>
    </row>
    <row r="2201" spans="1:6">
      <c r="A2201" s="39">
        <f>A2200</f>
        <v>45964</v>
      </c>
      <c r="B2201" s="40" t="s">
        <v>454</v>
      </c>
      <c r="C2201" s="40" t="s">
        <v>41</v>
      </c>
      <c r="D2201" s="41">
        <v>-1.3</v>
      </c>
      <c r="E2201" s="43" t="s">
        <v>467</v>
      </c>
      <c r="F2201" s="42" t="s">
        <v>0</v>
      </c>
    </row>
    <row r="2202" spans="1:6">
      <c r="A2202" s="39">
        <f>A2201</f>
        <v>45964</v>
      </c>
      <c r="B2202" s="40" t="s">
        <v>446</v>
      </c>
      <c r="C2202" s="40" t="s">
        <v>461</v>
      </c>
      <c r="D2202" s="41">
        <v>-10.48</v>
      </c>
      <c r="E2202" s="43" t="s">
        <v>647</v>
      </c>
      <c r="F2202" s="42" t="s">
        <v>1</v>
      </c>
    </row>
    <row r="2203" spans="1:6">
      <c r="A2203" s="39">
        <f>A2202</f>
        <v>45964</v>
      </c>
      <c r="B2203" s="40" t="s">
        <v>446</v>
      </c>
      <c r="C2203" s="40" t="s">
        <v>54</v>
      </c>
      <c r="D2203" s="41">
        <v>-57.71</v>
      </c>
      <c r="E2203" s="43" t="s">
        <v>123</v>
      </c>
      <c r="F2203" s="42" t="s">
        <v>1</v>
      </c>
    </row>
    <row r="2204" spans="1:6">
      <c r="A2204" s="39">
        <f>A2203</f>
        <v>45964</v>
      </c>
      <c r="B2204" s="40" t="s">
        <v>446</v>
      </c>
      <c r="C2204" s="40" t="s">
        <v>46</v>
      </c>
      <c r="D2204" s="41">
        <v>-500</v>
      </c>
      <c r="E2204" s="43" t="str">
        <f>C2204</f>
        <v>Traspaso</v>
      </c>
      <c r="F2204" s="42" t="s">
        <v>1</v>
      </c>
    </row>
    <row r="2205" spans="1:6">
      <c r="A2205" s="39">
        <f>A2204</f>
        <v>45964</v>
      </c>
      <c r="B2205" s="40" t="s">
        <v>504</v>
      </c>
      <c r="C2205" s="40" t="s">
        <v>46</v>
      </c>
      <c r="D2205" s="41">
        <v>500</v>
      </c>
      <c r="E2205" s="43" t="str">
        <f>C2205</f>
        <v>Traspaso</v>
      </c>
      <c r="F2205" s="42" t="s">
        <v>1</v>
      </c>
    </row>
    <row r="2206" spans="1:6">
      <c r="A2206" s="39">
        <f>A2205</f>
        <v>45964</v>
      </c>
      <c r="B2206" s="40" t="s">
        <v>504</v>
      </c>
      <c r="C2206" s="40" t="s">
        <v>46</v>
      </c>
      <c r="D2206" s="41">
        <v>-70</v>
      </c>
      <c r="E2206" s="43" t="str">
        <f>C2206</f>
        <v>Traspaso</v>
      </c>
      <c r="F2206" s="42" t="s">
        <v>1</v>
      </c>
    </row>
    <row r="2207" spans="1:6">
      <c r="A2207" s="39">
        <f>A2206</f>
        <v>45964</v>
      </c>
      <c r="B2207" s="40" t="s">
        <v>201</v>
      </c>
      <c r="C2207" s="40" t="s">
        <v>46</v>
      </c>
      <c r="D2207" s="41">
        <v>70</v>
      </c>
      <c r="E2207" s="43" t="str">
        <f>C2207</f>
        <v>Traspaso</v>
      </c>
      <c r="F2207" s="42" t="s">
        <v>1</v>
      </c>
    </row>
    <row r="2208" spans="1:6">
      <c r="A2208" s="39">
        <f>A2207</f>
        <v>45964</v>
      </c>
      <c r="B2208" s="40" t="s">
        <v>504</v>
      </c>
      <c r="C2208" s="40" t="s">
        <v>463</v>
      </c>
      <c r="D2208" s="41">
        <v>0.12</v>
      </c>
      <c r="E2208" s="43" t="s">
        <v>258</v>
      </c>
      <c r="F2208" s="42" t="s">
        <v>1</v>
      </c>
    </row>
    <row r="2209" spans="1:6">
      <c r="A2209" s="39">
        <f>A2208</f>
        <v>45964</v>
      </c>
      <c r="B2209" s="40" t="s">
        <v>452</v>
      </c>
      <c r="C2209" s="40" t="s">
        <v>461</v>
      </c>
      <c r="D2209" s="41">
        <v>-36</v>
      </c>
      <c r="E2209" s="43" t="s">
        <v>528</v>
      </c>
      <c r="F2209" s="42" t="s">
        <v>38</v>
      </c>
    </row>
    <row r="2210" spans="1:6">
      <c r="A2210" s="39">
        <v>45964</v>
      </c>
      <c r="B2210" s="40" t="s">
        <v>446</v>
      </c>
      <c r="C2210" s="40" t="s">
        <v>47</v>
      </c>
      <c r="D2210" s="41">
        <v>-156.91</v>
      </c>
      <c r="E2210" s="43" t="s">
        <v>648</v>
      </c>
      <c r="F2210" s="42" t="s">
        <v>1</v>
      </c>
    </row>
    <row r="2211" spans="1:6">
      <c r="A2211" s="39">
        <f>A2209</f>
        <v>45964</v>
      </c>
      <c r="B2211" s="40" t="s">
        <v>454</v>
      </c>
      <c r="C2211" s="40" t="s">
        <v>46</v>
      </c>
      <c r="D2211" s="41">
        <v>-507</v>
      </c>
      <c r="E2211" s="43" t="str">
        <f>C2211</f>
        <v>Traspaso</v>
      </c>
      <c r="F2211" s="42" t="s">
        <v>0</v>
      </c>
    </row>
    <row r="2212" spans="1:6">
      <c r="A2212" s="39">
        <f>A2211</f>
        <v>45964</v>
      </c>
      <c r="B2212" s="40" t="s">
        <v>508</v>
      </c>
      <c r="C2212" s="40" t="s">
        <v>46</v>
      </c>
      <c r="D2212" s="41">
        <v>507</v>
      </c>
      <c r="E2212" s="43" t="str">
        <f>C2212</f>
        <v>Traspaso</v>
      </c>
      <c r="F2212" s="42" t="s">
        <v>0</v>
      </c>
    </row>
    <row r="2213" spans="1:6">
      <c r="A2213" s="39">
        <f>A2212</f>
        <v>45964</v>
      </c>
      <c r="B2213" s="40" t="s">
        <v>116</v>
      </c>
      <c r="C2213" s="40" t="s">
        <v>46</v>
      </c>
      <c r="D2213" s="41">
        <v>-400</v>
      </c>
      <c r="E2213" s="43" t="str">
        <f>C2213</f>
        <v>Traspaso</v>
      </c>
      <c r="F2213" s="42" t="s">
        <v>0</v>
      </c>
    </row>
    <row r="2214" spans="1:6">
      <c r="A2214" s="39">
        <f>A2213</f>
        <v>45964</v>
      </c>
      <c r="B2214" s="40" t="s">
        <v>485</v>
      </c>
      <c r="C2214" s="40" t="s">
        <v>46</v>
      </c>
      <c r="D2214" s="41">
        <v>400</v>
      </c>
      <c r="E2214" s="43" t="str">
        <f>C2214</f>
        <v>Traspaso</v>
      </c>
      <c r="F2214" s="42" t="s">
        <v>0</v>
      </c>
    </row>
    <row r="2215" spans="1:6">
      <c r="A2215" s="39">
        <f>A2214</f>
        <v>45964</v>
      </c>
      <c r="B2215" s="40" t="s">
        <v>116</v>
      </c>
      <c r="C2215" s="40" t="s">
        <v>46</v>
      </c>
      <c r="D2215" s="41">
        <v>-1154</v>
      </c>
      <c r="E2215" s="43" t="str">
        <f>C2215</f>
        <v>Traspaso</v>
      </c>
      <c r="F2215" s="42" t="s">
        <v>0</v>
      </c>
    </row>
    <row r="2216" spans="1:6">
      <c r="A2216" s="39">
        <f>A2215</f>
        <v>45964</v>
      </c>
      <c r="B2216" s="40" t="s">
        <v>457</v>
      </c>
      <c r="C2216" s="40" t="s">
        <v>46</v>
      </c>
      <c r="D2216" s="41">
        <v>1154</v>
      </c>
      <c r="E2216" s="43" t="str">
        <f>C2216</f>
        <v>Traspaso</v>
      </c>
      <c r="F2216" s="42" t="s">
        <v>0</v>
      </c>
    </row>
    <row r="2217" spans="1:6">
      <c r="A2217" s="39">
        <f>A2216</f>
        <v>45964</v>
      </c>
      <c r="B2217" s="40" t="s">
        <v>471</v>
      </c>
      <c r="C2217" s="40" t="s">
        <v>46</v>
      </c>
      <c r="D2217" s="41">
        <v>-400</v>
      </c>
      <c r="E2217" s="43" t="str">
        <f>C2217</f>
        <v>Traspaso</v>
      </c>
      <c r="F2217" s="42" t="s">
        <v>0</v>
      </c>
    </row>
    <row r="2218" spans="1:6">
      <c r="A2218" s="39">
        <f>A2217</f>
        <v>45964</v>
      </c>
      <c r="B2218" s="40" t="s">
        <v>449</v>
      </c>
      <c r="C2218" s="40" t="s">
        <v>46</v>
      </c>
      <c r="D2218" s="41">
        <v>400</v>
      </c>
      <c r="E2218" s="43" t="str">
        <f>C2218</f>
        <v>Traspaso</v>
      </c>
      <c r="F2218" s="42" t="s">
        <v>0</v>
      </c>
    </row>
    <row r="2219" spans="1:6">
      <c r="A2219" s="39">
        <f>A2218</f>
        <v>45964</v>
      </c>
      <c r="B2219" s="40" t="s">
        <v>481</v>
      </c>
      <c r="C2219" s="40" t="s">
        <v>47</v>
      </c>
      <c r="D2219" s="41">
        <v>156.91</v>
      </c>
      <c r="E2219" s="43" t="s">
        <v>609</v>
      </c>
      <c r="F2219" s="42" t="s">
        <v>0</v>
      </c>
    </row>
    <row r="2220" spans="1:6">
      <c r="A2220" s="39">
        <v>45965</v>
      </c>
      <c r="B2220" s="40" t="s">
        <v>116</v>
      </c>
      <c r="C2220" s="40" t="s">
        <v>34</v>
      </c>
      <c r="D2220" s="41">
        <v>5.7</v>
      </c>
      <c r="E2220" s="43" t="s">
        <v>34</v>
      </c>
      <c r="F2220" s="42" t="s">
        <v>0</v>
      </c>
    </row>
    <row r="2221" spans="1:6">
      <c r="A2221" s="39">
        <v>45965</v>
      </c>
      <c r="B2221" s="40" t="s">
        <v>454</v>
      </c>
      <c r="C2221" s="40" t="s">
        <v>62</v>
      </c>
      <c r="D2221" s="41">
        <v>-4</v>
      </c>
      <c r="E2221" s="43" t="s">
        <v>460</v>
      </c>
      <c r="F2221" s="42" t="s">
        <v>38</v>
      </c>
    </row>
    <row r="2222" spans="1:6">
      <c r="A2222" s="39">
        <f>A2221</f>
        <v>45965</v>
      </c>
      <c r="B2222" s="40" t="s">
        <v>574</v>
      </c>
      <c r="C2222" s="40" t="s">
        <v>62</v>
      </c>
      <c r="D2222" s="41">
        <v>-5</v>
      </c>
      <c r="E2222" s="43" t="s">
        <v>649</v>
      </c>
      <c r="F2222" s="42" t="s">
        <v>38</v>
      </c>
    </row>
    <row r="2223" spans="1:6">
      <c r="A2223" s="39">
        <v>45965</v>
      </c>
      <c r="B2223" s="40" t="s">
        <v>445</v>
      </c>
      <c r="C2223" s="40" t="s">
        <v>50</v>
      </c>
      <c r="D2223" s="41">
        <v>27.97</v>
      </c>
      <c r="E2223" s="43" t="s">
        <v>650</v>
      </c>
      <c r="F2223" s="42" t="s">
        <v>1</v>
      </c>
    </row>
    <row r="2224" spans="1:6">
      <c r="A2224" s="39">
        <v>45965</v>
      </c>
      <c r="B2224" s="40" t="s">
        <v>445</v>
      </c>
      <c r="C2224" s="40" t="s">
        <v>461</v>
      </c>
      <c r="D2224" s="41">
        <v>-8.99</v>
      </c>
      <c r="E2224" s="43" t="s">
        <v>651</v>
      </c>
      <c r="F2224" s="42" t="s">
        <v>1</v>
      </c>
    </row>
    <row r="2225" spans="1:6">
      <c r="A2225" s="39">
        <v>45965</v>
      </c>
      <c r="B2225" s="40" t="s">
        <v>445</v>
      </c>
      <c r="C2225" s="40" t="s">
        <v>76</v>
      </c>
      <c r="D2225" s="41">
        <v>-12.99</v>
      </c>
      <c r="E2225" s="43" t="s">
        <v>652</v>
      </c>
      <c r="F2225" s="42" t="s">
        <v>1</v>
      </c>
    </row>
    <row r="2226" spans="1:6">
      <c r="A2226" s="39">
        <v>45965</v>
      </c>
      <c r="B2226" s="40" t="s">
        <v>445</v>
      </c>
      <c r="C2226" s="40" t="s">
        <v>36</v>
      </c>
      <c r="D2226" s="41">
        <v>-14.53</v>
      </c>
      <c r="E2226" s="43" t="s">
        <v>133</v>
      </c>
      <c r="F2226" s="42" t="s">
        <v>38</v>
      </c>
    </row>
    <row r="2227" spans="1:6">
      <c r="A2227" s="39">
        <v>45966</v>
      </c>
      <c r="B2227" s="40" t="s">
        <v>446</v>
      </c>
      <c r="C2227" s="40" t="s">
        <v>60</v>
      </c>
      <c r="D2227" s="41">
        <v>-21</v>
      </c>
      <c r="E2227" s="43" t="s">
        <v>68</v>
      </c>
      <c r="F2227" s="42" t="s">
        <v>1</v>
      </c>
    </row>
    <row r="2228" spans="1:6">
      <c r="A2228" s="39">
        <v>45966</v>
      </c>
      <c r="B2228" s="40" t="s">
        <v>446</v>
      </c>
      <c r="C2228" s="40" t="s">
        <v>52</v>
      </c>
      <c r="D2228" s="41">
        <v>-74</v>
      </c>
      <c r="E2228" s="43" t="s">
        <v>130</v>
      </c>
      <c r="F2228" s="42" t="s">
        <v>38</v>
      </c>
    </row>
    <row r="2229" spans="1:6">
      <c r="A2229" s="39">
        <v>45966</v>
      </c>
      <c r="B2229" s="40" t="s">
        <v>448</v>
      </c>
      <c r="C2229" s="40" t="s">
        <v>319</v>
      </c>
      <c r="D2229" s="41">
        <v>-1066.7</v>
      </c>
      <c r="E2229" s="43" t="s">
        <v>653</v>
      </c>
      <c r="F2229" s="42" t="s">
        <v>1</v>
      </c>
    </row>
    <row r="2230" spans="1:6">
      <c r="A2230" s="39">
        <v>45966</v>
      </c>
      <c r="B2230" s="40" t="s">
        <v>452</v>
      </c>
      <c r="C2230" s="40" t="s">
        <v>36</v>
      </c>
      <c r="D2230" s="41">
        <v>-9.35</v>
      </c>
      <c r="E2230" s="43" t="s">
        <v>654</v>
      </c>
      <c r="F2230" s="42" t="s">
        <v>38</v>
      </c>
    </row>
    <row r="2231" spans="1:6">
      <c r="A2231" s="39">
        <v>45966</v>
      </c>
      <c r="B2231" s="40" t="s">
        <v>445</v>
      </c>
      <c r="C2231" s="40" t="s">
        <v>76</v>
      </c>
      <c r="D2231" s="41">
        <v>-63.98</v>
      </c>
      <c r="E2231" s="43" t="s">
        <v>655</v>
      </c>
      <c r="F2231" s="42" t="s">
        <v>1</v>
      </c>
    </row>
    <row r="2232" spans="1:6">
      <c r="A2232" s="39">
        <v>45966</v>
      </c>
      <c r="B2232" s="40" t="s">
        <v>445</v>
      </c>
      <c r="C2232" s="40" t="s">
        <v>76</v>
      </c>
      <c r="D2232" s="41">
        <v>-42.31</v>
      </c>
      <c r="E2232" s="43" t="s">
        <v>656</v>
      </c>
      <c r="F2232" s="42" t="s">
        <v>1</v>
      </c>
    </row>
    <row r="2233" spans="1:6">
      <c r="A2233" s="39">
        <v>45966</v>
      </c>
      <c r="B2233" s="40" t="s">
        <v>454</v>
      </c>
      <c r="C2233" s="40" t="s">
        <v>46</v>
      </c>
      <c r="D2233" s="41">
        <v>-200</v>
      </c>
      <c r="E2233" s="43" t="str">
        <f>C2233</f>
        <v>Traspaso</v>
      </c>
      <c r="F2233" s="42" t="s">
        <v>0</v>
      </c>
    </row>
    <row r="2234" spans="1:6">
      <c r="A2234" s="39">
        <f>A2233</f>
        <v>45966</v>
      </c>
      <c r="B2234" s="40" t="s">
        <v>472</v>
      </c>
      <c r="C2234" s="40" t="s">
        <v>46</v>
      </c>
      <c r="D2234" s="41">
        <v>200</v>
      </c>
      <c r="E2234" s="43" t="str">
        <f>C2234</f>
        <v>Traspaso</v>
      </c>
      <c r="F2234" s="42" t="s">
        <v>0</v>
      </c>
    </row>
    <row r="2235" spans="1:6">
      <c r="A2235" s="39">
        <f>A2234</f>
        <v>45966</v>
      </c>
      <c r="B2235" s="40" t="s">
        <v>454</v>
      </c>
      <c r="C2235" s="40" t="s">
        <v>41</v>
      </c>
      <c r="D2235" s="41">
        <v>-1.3</v>
      </c>
      <c r="E2235" s="43" t="s">
        <v>467</v>
      </c>
      <c r="F2235" s="42" t="s">
        <v>0</v>
      </c>
    </row>
    <row r="2236" spans="1:6">
      <c r="A2236" s="39">
        <f>A2235</f>
        <v>45966</v>
      </c>
      <c r="B2236" s="40" t="s">
        <v>454</v>
      </c>
      <c r="C2236" s="40" t="s">
        <v>277</v>
      </c>
      <c r="D2236" s="41">
        <v>-101.13</v>
      </c>
      <c r="E2236" s="43" t="s">
        <v>456</v>
      </c>
      <c r="F2236" s="42" t="s">
        <v>38</v>
      </c>
    </row>
    <row r="2237" spans="1:6">
      <c r="A2237" s="39">
        <v>45967</v>
      </c>
      <c r="B2237" s="40" t="s">
        <v>454</v>
      </c>
      <c r="C2237" s="40" t="s">
        <v>41</v>
      </c>
      <c r="D2237" s="41">
        <v>-1.3</v>
      </c>
      <c r="E2237" s="43" t="s">
        <v>467</v>
      </c>
      <c r="F2237" s="42" t="s">
        <v>0</v>
      </c>
    </row>
    <row r="2238" spans="1:6">
      <c r="A2238" s="39">
        <f>A2237</f>
        <v>45967</v>
      </c>
      <c r="B2238" s="40" t="s">
        <v>454</v>
      </c>
      <c r="C2238" s="40" t="s">
        <v>34</v>
      </c>
      <c r="D2238" s="41">
        <v>0.49</v>
      </c>
      <c r="E2238" s="43" t="str">
        <f>C2238</f>
        <v>Intereses</v>
      </c>
      <c r="F2238" s="42" t="s">
        <v>0</v>
      </c>
    </row>
    <row r="2239" spans="1:6">
      <c r="A2239" s="39">
        <f>A2238</f>
        <v>45967</v>
      </c>
      <c r="B2239" s="40" t="s">
        <v>454</v>
      </c>
      <c r="C2239" s="40" t="s">
        <v>52</v>
      </c>
      <c r="D2239" s="41">
        <v>-6</v>
      </c>
      <c r="E2239" s="43" t="s">
        <v>657</v>
      </c>
      <c r="F2239" s="42" t="s">
        <v>0</v>
      </c>
    </row>
    <row r="2240" spans="1:6">
      <c r="A2240" s="39">
        <f>A2239</f>
        <v>45967</v>
      </c>
      <c r="B2240" s="40" t="s">
        <v>452</v>
      </c>
      <c r="C2240" s="40" t="s">
        <v>105</v>
      </c>
      <c r="D2240" s="41">
        <v>-122</v>
      </c>
      <c r="E2240" s="43" t="s">
        <v>658</v>
      </c>
      <c r="F2240" s="42" t="s">
        <v>1</v>
      </c>
    </row>
    <row r="2241" spans="1:6">
      <c r="A2241" s="39">
        <f>A2240</f>
        <v>45967</v>
      </c>
      <c r="B2241" s="40" t="s">
        <v>452</v>
      </c>
      <c r="C2241" s="40" t="s">
        <v>50</v>
      </c>
      <c r="D2241" s="41">
        <v>300</v>
      </c>
      <c r="E2241" s="43" t="s">
        <v>302</v>
      </c>
      <c r="F2241" s="42" t="s">
        <v>1</v>
      </c>
    </row>
    <row r="2242" spans="1:6">
      <c r="A2242" s="39">
        <f>A2241</f>
        <v>45967</v>
      </c>
      <c r="B2242" s="40" t="s">
        <v>445</v>
      </c>
      <c r="C2242" s="40" t="s">
        <v>36</v>
      </c>
      <c r="D2242" s="41">
        <v>-12.34</v>
      </c>
      <c r="E2242" s="43" t="s">
        <v>143</v>
      </c>
      <c r="F2242" s="42" t="s">
        <v>38</v>
      </c>
    </row>
    <row r="2243" spans="1:6">
      <c r="A2243" s="39">
        <v>45968</v>
      </c>
      <c r="B2243" s="40" t="s">
        <v>446</v>
      </c>
      <c r="C2243" s="40" t="s">
        <v>34</v>
      </c>
      <c r="D2243" s="41">
        <v>787.79</v>
      </c>
      <c r="E2243" s="43" t="s">
        <v>659</v>
      </c>
      <c r="F2243" s="42" t="s">
        <v>1</v>
      </c>
    </row>
    <row r="2244" spans="1:6">
      <c r="A2244" s="39">
        <v>45968</v>
      </c>
      <c r="B2244" s="40" t="s">
        <v>446</v>
      </c>
      <c r="C2244" s="40" t="s">
        <v>46</v>
      </c>
      <c r="D2244" s="41">
        <v>-800</v>
      </c>
      <c r="E2244" s="43"/>
      <c r="F2244" s="42" t="s">
        <v>1</v>
      </c>
    </row>
    <row r="2245" spans="1:6">
      <c r="A2245" s="39">
        <v>45968</v>
      </c>
      <c r="B2245" s="40" t="s">
        <v>504</v>
      </c>
      <c r="C2245" s="40" t="s">
        <v>46</v>
      </c>
      <c r="D2245" s="41">
        <v>800</v>
      </c>
      <c r="E2245" s="43"/>
      <c r="F2245" s="42" t="s">
        <v>1</v>
      </c>
    </row>
    <row r="2246" spans="1:6">
      <c r="A2246" s="39">
        <v>45968</v>
      </c>
      <c r="B2246" s="40" t="s">
        <v>445</v>
      </c>
      <c r="C2246" s="40" t="s">
        <v>36</v>
      </c>
      <c r="D2246" s="41">
        <v>-2.4900000000000002</v>
      </c>
      <c r="E2246" s="43" t="s">
        <v>133</v>
      </c>
      <c r="F2246" s="42" t="s">
        <v>38</v>
      </c>
    </row>
    <row r="2247" spans="1:6">
      <c r="A2247" s="39">
        <v>45968</v>
      </c>
      <c r="B2247" s="40" t="s">
        <v>454</v>
      </c>
      <c r="C2247" s="40" t="s">
        <v>46</v>
      </c>
      <c r="D2247" s="41">
        <v>-200</v>
      </c>
      <c r="E2247" s="43" t="str">
        <f>C2247</f>
        <v>Traspaso</v>
      </c>
      <c r="F2247" s="42" t="s">
        <v>0</v>
      </c>
    </row>
    <row r="2248" spans="1:6">
      <c r="A2248" s="39">
        <f>A2247</f>
        <v>45968</v>
      </c>
      <c r="B2248" s="40" t="s">
        <v>472</v>
      </c>
      <c r="C2248" s="40" t="s">
        <v>46</v>
      </c>
      <c r="D2248" s="41">
        <v>200</v>
      </c>
      <c r="E2248" s="43" t="str">
        <f>C2248</f>
        <v>Traspaso</v>
      </c>
      <c r="F2248" s="42" t="s">
        <v>0</v>
      </c>
    </row>
    <row r="2249" spans="1:6">
      <c r="A2249" s="39">
        <f>A2248</f>
        <v>45968</v>
      </c>
      <c r="B2249" s="40" t="s">
        <v>454</v>
      </c>
      <c r="C2249" s="40" t="s">
        <v>41</v>
      </c>
      <c r="D2249" s="41">
        <v>-1.3</v>
      </c>
      <c r="E2249" s="43" t="s">
        <v>467</v>
      </c>
      <c r="F2249" s="42" t="s">
        <v>0</v>
      </c>
    </row>
    <row r="2250" spans="1:6">
      <c r="A2250" s="39">
        <f>A2249</f>
        <v>45968</v>
      </c>
      <c r="B2250" s="40" t="s">
        <v>626</v>
      </c>
      <c r="C2250" s="40" t="s">
        <v>34</v>
      </c>
      <c r="D2250" s="41">
        <v>-22.5</v>
      </c>
      <c r="E2250" s="43" t="s">
        <v>660</v>
      </c>
      <c r="F2250" s="42" t="s">
        <v>0</v>
      </c>
    </row>
    <row r="2251" spans="1:6">
      <c r="A2251" s="39">
        <f>A2249</f>
        <v>45968</v>
      </c>
      <c r="B2251" s="40" t="s">
        <v>626</v>
      </c>
      <c r="C2251" s="40" t="s">
        <v>46</v>
      </c>
      <c r="D2251" s="41">
        <v>-14977.5</v>
      </c>
      <c r="E2251" s="43" t="str">
        <f>C2251</f>
        <v>Traspaso</v>
      </c>
      <c r="F2251" s="42" t="s">
        <v>0</v>
      </c>
    </row>
    <row r="2252" spans="1:6">
      <c r="A2252" s="39">
        <f>A2251</f>
        <v>45968</v>
      </c>
      <c r="B2252" s="40" t="s">
        <v>502</v>
      </c>
      <c r="C2252" s="40" t="s">
        <v>46</v>
      </c>
      <c r="D2252" s="41">
        <v>14977.5</v>
      </c>
      <c r="E2252" s="43" t="str">
        <f>C2252</f>
        <v>Traspaso</v>
      </c>
      <c r="F2252" s="42" t="s">
        <v>0</v>
      </c>
    </row>
    <row r="2253" spans="1:6">
      <c r="A2253" s="39">
        <f>A2252</f>
        <v>45968</v>
      </c>
      <c r="B2253" s="40" t="s">
        <v>502</v>
      </c>
      <c r="C2253" s="40" t="s">
        <v>46</v>
      </c>
      <c r="D2253" s="41">
        <v>-6000</v>
      </c>
      <c r="E2253" s="43" t="str">
        <f>C2253</f>
        <v>Traspaso</v>
      </c>
      <c r="F2253" s="42" t="s">
        <v>0</v>
      </c>
    </row>
    <row r="2254" spans="1:6">
      <c r="A2254" s="39">
        <f>A2253</f>
        <v>45968</v>
      </c>
      <c r="B2254" s="40" t="s">
        <v>449</v>
      </c>
      <c r="C2254" s="40" t="s">
        <v>46</v>
      </c>
      <c r="D2254" s="41">
        <v>6000</v>
      </c>
      <c r="E2254" s="43" t="str">
        <f>C2254</f>
        <v>Traspaso</v>
      </c>
      <c r="F2254" s="42" t="s">
        <v>0</v>
      </c>
    </row>
    <row r="2255" spans="1:6">
      <c r="A2255" s="39">
        <f>A2254</f>
        <v>45968</v>
      </c>
      <c r="B2255" s="40" t="s">
        <v>502</v>
      </c>
      <c r="C2255" s="40" t="s">
        <v>46</v>
      </c>
      <c r="D2255" s="41">
        <v>-8977.5</v>
      </c>
      <c r="E2255" s="43" t="str">
        <f>C2255</f>
        <v>Traspaso</v>
      </c>
      <c r="F2255" s="42" t="s">
        <v>0</v>
      </c>
    </row>
    <row r="2256" spans="1:6">
      <c r="A2256" s="39">
        <f>A2255</f>
        <v>45968</v>
      </c>
      <c r="B2256" s="40" t="s">
        <v>116</v>
      </c>
      <c r="C2256" s="40" t="s">
        <v>46</v>
      </c>
      <c r="D2256" s="41">
        <v>8977.5</v>
      </c>
      <c r="E2256" s="43" t="str">
        <f>C2256</f>
        <v>Traspaso</v>
      </c>
      <c r="F2256" s="42" t="s">
        <v>0</v>
      </c>
    </row>
    <row r="2257" spans="1:6">
      <c r="A2257" s="39">
        <f>A2256</f>
        <v>45968</v>
      </c>
      <c r="B2257" s="40" t="s">
        <v>449</v>
      </c>
      <c r="C2257" s="40" t="s">
        <v>46</v>
      </c>
      <c r="D2257" s="41">
        <v>-500</v>
      </c>
      <c r="E2257" s="43" t="str">
        <f>C2257</f>
        <v>Traspaso</v>
      </c>
      <c r="F2257" s="42" t="s">
        <v>0</v>
      </c>
    </row>
    <row r="2258" spans="1:6">
      <c r="A2258" s="39">
        <f>A2257</f>
        <v>45968</v>
      </c>
      <c r="B2258" s="40" t="s">
        <v>454</v>
      </c>
      <c r="C2258" s="40" t="s">
        <v>46</v>
      </c>
      <c r="D2258" s="41">
        <v>500</v>
      </c>
      <c r="E2258" s="43" t="str">
        <f>C2258</f>
        <v>Traspaso</v>
      </c>
      <c r="F2258" s="42" t="s">
        <v>0</v>
      </c>
    </row>
    <row r="2259" spans="1:6">
      <c r="A2259" s="39">
        <v>45969</v>
      </c>
      <c r="B2259" s="40" t="s">
        <v>452</v>
      </c>
      <c r="C2259" s="40" t="s">
        <v>41</v>
      </c>
      <c r="D2259" s="41">
        <v>-29.5</v>
      </c>
      <c r="E2259" s="43" t="s">
        <v>661</v>
      </c>
      <c r="F2259" s="42" t="s">
        <v>1</v>
      </c>
    </row>
    <row r="2260" spans="1:6">
      <c r="A2260" s="39">
        <v>45969</v>
      </c>
      <c r="B2260" s="40" t="s">
        <v>454</v>
      </c>
      <c r="C2260" s="40" t="s">
        <v>36</v>
      </c>
      <c r="D2260" s="41">
        <v>-128.15</v>
      </c>
      <c r="E2260" s="43" t="s">
        <v>295</v>
      </c>
      <c r="F2260" s="42" t="s">
        <v>38</v>
      </c>
    </row>
    <row r="2261" spans="1:6">
      <c r="A2261" s="39">
        <v>45970</v>
      </c>
      <c r="B2261" s="40" t="s">
        <v>454</v>
      </c>
      <c r="C2261" s="40" t="s">
        <v>58</v>
      </c>
      <c r="D2261" s="41">
        <v>-8.7100000000000009</v>
      </c>
      <c r="E2261" s="43" t="s">
        <v>662</v>
      </c>
      <c r="F2261" s="42" t="s">
        <v>38</v>
      </c>
    </row>
    <row r="2262" spans="1:6">
      <c r="A2262" s="39">
        <v>45971</v>
      </c>
      <c r="B2262" s="40" t="s">
        <v>116</v>
      </c>
      <c r="C2262" s="40" t="s">
        <v>46</v>
      </c>
      <c r="D2262" s="41">
        <v>-1000</v>
      </c>
      <c r="E2262" s="43" t="str">
        <f>C2262</f>
        <v>Traspaso</v>
      </c>
      <c r="F2262" s="42" t="s">
        <v>0</v>
      </c>
    </row>
    <row r="2263" spans="1:6">
      <c r="A2263" s="39">
        <f>A2262</f>
        <v>45971</v>
      </c>
      <c r="B2263" s="40" t="s">
        <v>663</v>
      </c>
      <c r="C2263" s="40" t="s">
        <v>46</v>
      </c>
      <c r="D2263" s="41">
        <v>1000</v>
      </c>
      <c r="E2263" s="43" t="str">
        <f>C2263</f>
        <v>Traspaso</v>
      </c>
      <c r="F2263" s="42" t="s">
        <v>0</v>
      </c>
    </row>
    <row r="2264" spans="1:6">
      <c r="A2264" s="39">
        <f>A2263</f>
        <v>45971</v>
      </c>
      <c r="B2264" s="40" t="s">
        <v>454</v>
      </c>
      <c r="C2264" s="40" t="s">
        <v>41</v>
      </c>
      <c r="D2264" s="41">
        <v>-1.3</v>
      </c>
      <c r="E2264" s="43" t="s">
        <v>467</v>
      </c>
      <c r="F2264" s="42" t="s">
        <v>0</v>
      </c>
    </row>
    <row r="2265" spans="1:6">
      <c r="A2265" s="39">
        <f>A2264</f>
        <v>45971</v>
      </c>
      <c r="B2265" s="40" t="s">
        <v>481</v>
      </c>
      <c r="C2265" s="40" t="s">
        <v>319</v>
      </c>
      <c r="D2265" s="41">
        <v>-116</v>
      </c>
      <c r="E2265" s="43" t="s">
        <v>664</v>
      </c>
      <c r="F2265" s="42" t="s">
        <v>0</v>
      </c>
    </row>
    <row r="2266" spans="1:6">
      <c r="A2266" s="39">
        <f>A2265</f>
        <v>45971</v>
      </c>
      <c r="B2266" s="40" t="s">
        <v>452</v>
      </c>
      <c r="C2266" s="40" t="s">
        <v>41</v>
      </c>
      <c r="D2266" s="41">
        <v>-2.6</v>
      </c>
      <c r="E2266" s="43" t="s">
        <v>665</v>
      </c>
      <c r="F2266" s="42" t="s">
        <v>1</v>
      </c>
    </row>
    <row r="2267" spans="1:6">
      <c r="A2267" s="39">
        <f>A2266</f>
        <v>45971</v>
      </c>
      <c r="B2267" s="40" t="s">
        <v>256</v>
      </c>
      <c r="C2267" s="40" t="s">
        <v>62</v>
      </c>
      <c r="D2267" s="41">
        <v>-10</v>
      </c>
      <c r="E2267" s="43" t="s">
        <v>666</v>
      </c>
      <c r="F2267" s="42" t="s">
        <v>38</v>
      </c>
    </row>
    <row r="2268" spans="1:6">
      <c r="A2268" s="39">
        <f>A2267</f>
        <v>45971</v>
      </c>
      <c r="B2268" s="40" t="s">
        <v>452</v>
      </c>
      <c r="C2268" s="40" t="s">
        <v>461</v>
      </c>
      <c r="D2268" s="41">
        <v>-1.9</v>
      </c>
      <c r="E2268" s="43" t="s">
        <v>667</v>
      </c>
      <c r="F2268" s="42" t="s">
        <v>38</v>
      </c>
    </row>
    <row r="2269" spans="1:6">
      <c r="A2269" s="39">
        <v>45972</v>
      </c>
      <c r="B2269" s="40" t="s">
        <v>256</v>
      </c>
      <c r="C2269" s="40" t="s">
        <v>62</v>
      </c>
      <c r="D2269" s="41">
        <v>-20</v>
      </c>
      <c r="E2269" s="43" t="s">
        <v>668</v>
      </c>
      <c r="F2269" s="42" t="s">
        <v>1</v>
      </c>
    </row>
    <row r="2270" spans="1:6">
      <c r="A2270" s="39">
        <v>45972</v>
      </c>
      <c r="B2270" s="40" t="s">
        <v>452</v>
      </c>
      <c r="C2270" s="40" t="s">
        <v>461</v>
      </c>
      <c r="D2270" s="41">
        <v>-112.5</v>
      </c>
      <c r="E2270" s="43" t="s">
        <v>669</v>
      </c>
      <c r="F2270" s="42" t="s">
        <v>38</v>
      </c>
    </row>
    <row r="2271" spans="1:6">
      <c r="A2271" s="39">
        <v>45972</v>
      </c>
      <c r="B2271" s="40" t="s">
        <v>454</v>
      </c>
      <c r="C2271" s="40" t="s">
        <v>41</v>
      </c>
      <c r="D2271" s="41">
        <v>-1.3</v>
      </c>
      <c r="E2271" s="43" t="s">
        <v>467</v>
      </c>
      <c r="F2271" s="42" t="s">
        <v>0</v>
      </c>
    </row>
    <row r="2272" spans="1:6">
      <c r="A2272" s="39">
        <f>A2271</f>
        <v>45972</v>
      </c>
      <c r="B2272" s="40" t="s">
        <v>454</v>
      </c>
      <c r="C2272" s="40" t="s">
        <v>62</v>
      </c>
      <c r="D2272" s="41">
        <v>-4</v>
      </c>
      <c r="E2272" s="43" t="s">
        <v>460</v>
      </c>
      <c r="F2272" s="42" t="s">
        <v>38</v>
      </c>
    </row>
    <row r="2273" spans="1:6">
      <c r="A2273" s="39">
        <v>45973</v>
      </c>
      <c r="B2273" s="40" t="s">
        <v>446</v>
      </c>
      <c r="C2273" s="40" t="s">
        <v>81</v>
      </c>
      <c r="D2273" s="41">
        <v>-35</v>
      </c>
      <c r="E2273" s="43" t="s">
        <v>82</v>
      </c>
      <c r="F2273" s="42" t="s">
        <v>38</v>
      </c>
    </row>
    <row r="2274" spans="1:6">
      <c r="A2274" s="39">
        <v>45973</v>
      </c>
      <c r="B2274" s="40" t="s">
        <v>452</v>
      </c>
      <c r="C2274" s="40" t="s">
        <v>36</v>
      </c>
      <c r="D2274" s="41">
        <v>-10.199999999999999</v>
      </c>
      <c r="E2274" s="43" t="s">
        <v>654</v>
      </c>
      <c r="F2274" s="42" t="s">
        <v>38</v>
      </c>
    </row>
    <row r="2275" spans="1:6">
      <c r="A2275" s="39">
        <v>45973</v>
      </c>
      <c r="B2275" s="40" t="s">
        <v>452</v>
      </c>
      <c r="C2275" s="40" t="s">
        <v>54</v>
      </c>
      <c r="D2275" s="41">
        <v>-3.4</v>
      </c>
      <c r="E2275" s="43" t="s">
        <v>670</v>
      </c>
      <c r="F2275" s="42" t="s">
        <v>1</v>
      </c>
    </row>
    <row r="2276" spans="1:6">
      <c r="A2276" s="39">
        <v>45973</v>
      </c>
      <c r="B2276" s="40" t="s">
        <v>450</v>
      </c>
      <c r="C2276" s="40" t="s">
        <v>461</v>
      </c>
      <c r="D2276" s="41">
        <v>-150</v>
      </c>
      <c r="E2276" s="43" t="s">
        <v>671</v>
      </c>
      <c r="F2276" s="42" t="s">
        <v>1</v>
      </c>
    </row>
    <row r="2277" spans="1:6">
      <c r="A2277" s="39">
        <v>45973</v>
      </c>
      <c r="B2277" s="40" t="s">
        <v>454</v>
      </c>
      <c r="C2277" s="40" t="s">
        <v>41</v>
      </c>
      <c r="D2277" s="41">
        <v>-1.3</v>
      </c>
      <c r="E2277" s="43" t="s">
        <v>467</v>
      </c>
      <c r="F2277" s="42" t="s">
        <v>0</v>
      </c>
    </row>
    <row r="2278" spans="1:6">
      <c r="A2278" s="39">
        <f>A2277</f>
        <v>45973</v>
      </c>
      <c r="B2278" s="40" t="s">
        <v>454</v>
      </c>
      <c r="C2278" s="40" t="s">
        <v>54</v>
      </c>
      <c r="D2278" s="41">
        <v>-3.72</v>
      </c>
      <c r="E2278" s="43" t="s">
        <v>672</v>
      </c>
      <c r="F2278" s="42" t="s">
        <v>0</v>
      </c>
    </row>
    <row r="2279" spans="1:6">
      <c r="A2279" s="39">
        <f>A2278</f>
        <v>45973</v>
      </c>
      <c r="B2279" s="40" t="s">
        <v>449</v>
      </c>
      <c r="C2279" s="40" t="s">
        <v>46</v>
      </c>
      <c r="D2279" s="41">
        <v>-1000</v>
      </c>
      <c r="E2279" s="43" t="str">
        <f>C2279</f>
        <v>Traspaso</v>
      </c>
      <c r="F2279" s="42" t="s">
        <v>0</v>
      </c>
    </row>
    <row r="2280" spans="1:6">
      <c r="A2280" s="39">
        <f>A2279</f>
        <v>45973</v>
      </c>
      <c r="B2280" s="40" t="s">
        <v>481</v>
      </c>
      <c r="C2280" s="40" t="s">
        <v>46</v>
      </c>
      <c r="D2280" s="41">
        <v>1000</v>
      </c>
      <c r="E2280" s="43" t="str">
        <f>C2280</f>
        <v>Traspaso</v>
      </c>
      <c r="F2280" s="42" t="s">
        <v>0</v>
      </c>
    </row>
    <row r="2281" spans="1:6">
      <c r="A2281" s="39">
        <f>A2280</f>
        <v>45973</v>
      </c>
      <c r="B2281" s="40" t="s">
        <v>481</v>
      </c>
      <c r="C2281" s="40" t="s">
        <v>46</v>
      </c>
      <c r="D2281" s="41">
        <v>-995.78</v>
      </c>
      <c r="E2281" s="43" t="str">
        <f>C2281</f>
        <v>Traspaso</v>
      </c>
      <c r="F2281" s="42" t="s">
        <v>0</v>
      </c>
    </row>
    <row r="2282" spans="1:6">
      <c r="A2282" s="39">
        <f>A2281</f>
        <v>45973</v>
      </c>
      <c r="B2282" s="40" t="s">
        <v>673</v>
      </c>
      <c r="C2282" s="40" t="s">
        <v>46</v>
      </c>
      <c r="D2282" s="41">
        <v>995.78</v>
      </c>
      <c r="E2282" s="43" t="str">
        <f>C2282</f>
        <v>Traspaso</v>
      </c>
      <c r="F2282" s="42" t="s">
        <v>0</v>
      </c>
    </row>
    <row r="2283" spans="1:6">
      <c r="A2283" s="39">
        <f>A2282</f>
        <v>45973</v>
      </c>
      <c r="B2283" s="40" t="s">
        <v>116</v>
      </c>
      <c r="C2283" s="40" t="s">
        <v>46</v>
      </c>
      <c r="D2283" s="41">
        <v>-6000</v>
      </c>
      <c r="E2283" s="43" t="str">
        <f>C2283</f>
        <v>Traspaso</v>
      </c>
      <c r="F2283" s="42" t="s">
        <v>0</v>
      </c>
    </row>
    <row r="2284" spans="1:6">
      <c r="A2284" s="39">
        <f>A2283</f>
        <v>45973</v>
      </c>
      <c r="B2284" s="40" t="s">
        <v>673</v>
      </c>
      <c r="C2284" s="40" t="s">
        <v>46</v>
      </c>
      <c r="D2284" s="41">
        <v>6000</v>
      </c>
      <c r="E2284" s="43" t="str">
        <f>C2284</f>
        <v>Traspaso</v>
      </c>
      <c r="F2284" s="42" t="s">
        <v>0</v>
      </c>
    </row>
    <row r="2285" spans="1:6">
      <c r="A2285" s="39">
        <f>A2284</f>
        <v>45973</v>
      </c>
      <c r="B2285" s="40" t="s">
        <v>449</v>
      </c>
      <c r="C2285" s="40" t="s">
        <v>46</v>
      </c>
      <c r="D2285" s="41">
        <v>-3500</v>
      </c>
      <c r="E2285" s="43" t="str">
        <f>C2285</f>
        <v>Traspaso</v>
      </c>
      <c r="F2285" s="42" t="s">
        <v>0</v>
      </c>
    </row>
    <row r="2286" spans="1:6">
      <c r="A2286" s="39">
        <f>A2285</f>
        <v>45973</v>
      </c>
      <c r="B2286" s="40" t="s">
        <v>673</v>
      </c>
      <c r="C2286" s="40" t="s">
        <v>46</v>
      </c>
      <c r="D2286" s="41">
        <v>3500</v>
      </c>
      <c r="E2286" s="43" t="str">
        <f>C2286</f>
        <v>Traspaso</v>
      </c>
      <c r="F2286" s="42" t="s">
        <v>0</v>
      </c>
    </row>
    <row r="2287" spans="1:6">
      <c r="A2287" s="39">
        <v>45974</v>
      </c>
      <c r="B2287" s="40" t="s">
        <v>454</v>
      </c>
      <c r="C2287" s="40" t="s">
        <v>41</v>
      </c>
      <c r="D2287" s="41">
        <v>-1.3</v>
      </c>
      <c r="E2287" s="43" t="s">
        <v>467</v>
      </c>
      <c r="F2287" s="42" t="s">
        <v>0</v>
      </c>
    </row>
    <row r="2288" spans="1:6">
      <c r="A2288" s="39">
        <f>A2287</f>
        <v>45974</v>
      </c>
      <c r="B2288" s="40" t="s">
        <v>449</v>
      </c>
      <c r="C2288" s="40" t="s">
        <v>46</v>
      </c>
      <c r="D2288" s="41">
        <v>-1100</v>
      </c>
      <c r="E2288" s="43" t="str">
        <f>C2288</f>
        <v>Traspaso</v>
      </c>
      <c r="F2288" s="42" t="s">
        <v>0</v>
      </c>
    </row>
    <row r="2289" spans="1:6">
      <c r="A2289" s="39">
        <f>A2288</f>
        <v>45974</v>
      </c>
      <c r="B2289" s="40" t="s">
        <v>116</v>
      </c>
      <c r="C2289" s="40" t="s">
        <v>46</v>
      </c>
      <c r="D2289" s="41">
        <v>1100</v>
      </c>
      <c r="E2289" s="43" t="str">
        <f>C2289</f>
        <v>Traspaso</v>
      </c>
      <c r="F2289" s="42" t="s">
        <v>0</v>
      </c>
    </row>
    <row r="2290" spans="1:6">
      <c r="A2290" s="39">
        <f>A2289</f>
        <v>45974</v>
      </c>
      <c r="B2290" s="40" t="s">
        <v>116</v>
      </c>
      <c r="C2290" s="40" t="s">
        <v>46</v>
      </c>
      <c r="D2290" s="41">
        <v>-2001</v>
      </c>
      <c r="E2290" s="43" t="str">
        <f>C2290</f>
        <v>Traspaso</v>
      </c>
      <c r="F2290" s="42" t="s">
        <v>0</v>
      </c>
    </row>
    <row r="2291" spans="1:6" ht="15" customHeight="1">
      <c r="A2291" s="39">
        <f>A2290</f>
        <v>45974</v>
      </c>
      <c r="B2291" s="40" t="s">
        <v>674</v>
      </c>
      <c r="C2291" s="40" t="s">
        <v>46</v>
      </c>
      <c r="D2291" s="41">
        <v>2001</v>
      </c>
      <c r="E2291" s="43" t="str">
        <f>C2291</f>
        <v>Traspaso</v>
      </c>
      <c r="F2291" s="42" t="s">
        <v>0</v>
      </c>
    </row>
    <row r="2292" spans="1:6">
      <c r="A2292" s="39">
        <v>45974</v>
      </c>
      <c r="B2292" s="40" t="s">
        <v>454</v>
      </c>
      <c r="C2292" s="40" t="s">
        <v>52</v>
      </c>
      <c r="D2292" s="41">
        <v>-6</v>
      </c>
      <c r="E2292" s="43" t="s">
        <v>455</v>
      </c>
      <c r="F2292" s="42" t="s">
        <v>0</v>
      </c>
    </row>
    <row r="2293" spans="1:6">
      <c r="A2293" s="39">
        <v>45974</v>
      </c>
      <c r="B2293" s="40" t="s">
        <v>116</v>
      </c>
      <c r="C2293" s="40" t="s">
        <v>46</v>
      </c>
      <c r="D2293" s="41">
        <v>-1000</v>
      </c>
      <c r="E2293" s="43" t="str">
        <f>C2293</f>
        <v>Traspaso</v>
      </c>
      <c r="F2293" s="42" t="s">
        <v>0</v>
      </c>
    </row>
    <row r="2294" spans="1:6">
      <c r="A2294" s="39">
        <v>45974</v>
      </c>
      <c r="B2294" s="40" t="s">
        <v>508</v>
      </c>
      <c r="C2294" s="40" t="s">
        <v>46</v>
      </c>
      <c r="D2294" s="41">
        <v>1000</v>
      </c>
      <c r="E2294" s="43" t="str">
        <f>C2294</f>
        <v>Traspaso</v>
      </c>
      <c r="F2294" s="42" t="s">
        <v>0</v>
      </c>
    </row>
    <row r="2295" spans="1:6">
      <c r="A2295" s="39">
        <v>45975</v>
      </c>
      <c r="B2295" s="40" t="s">
        <v>454</v>
      </c>
      <c r="C2295" s="40" t="s">
        <v>41</v>
      </c>
      <c r="D2295" s="41">
        <v>-7.5</v>
      </c>
      <c r="E2295" s="43" t="s">
        <v>467</v>
      </c>
      <c r="F2295" s="42" t="s">
        <v>0</v>
      </c>
    </row>
    <row r="2296" spans="1:6">
      <c r="A2296" s="39">
        <f>A2295</f>
        <v>45975</v>
      </c>
      <c r="B2296" s="40" t="s">
        <v>454</v>
      </c>
      <c r="C2296" s="40" t="s">
        <v>52</v>
      </c>
      <c r="D2296" s="41">
        <v>-7.5</v>
      </c>
      <c r="E2296" s="43" t="s">
        <v>455</v>
      </c>
      <c r="F2296" s="42" t="s">
        <v>0</v>
      </c>
    </row>
    <row r="2297" spans="1:6">
      <c r="A2297" s="39">
        <v>45975</v>
      </c>
      <c r="B2297" s="40" t="s">
        <v>454</v>
      </c>
      <c r="C2297" s="40" t="s">
        <v>36</v>
      </c>
      <c r="D2297" s="41">
        <v>-116.68</v>
      </c>
      <c r="E2297" s="43" t="s">
        <v>295</v>
      </c>
      <c r="F2297" s="42" t="s">
        <v>38</v>
      </c>
    </row>
    <row r="2298" spans="1:6">
      <c r="A2298" s="39">
        <v>45975</v>
      </c>
      <c r="B2298" s="40" t="s">
        <v>449</v>
      </c>
      <c r="C2298" s="40" t="s">
        <v>34</v>
      </c>
      <c r="D2298" s="41">
        <v>0.72</v>
      </c>
      <c r="E2298" s="43" t="s">
        <v>34</v>
      </c>
      <c r="F2298" s="42" t="s">
        <v>0</v>
      </c>
    </row>
    <row r="2299" spans="1:6">
      <c r="A2299" s="39">
        <v>45975</v>
      </c>
      <c r="B2299" s="40" t="s">
        <v>448</v>
      </c>
      <c r="C2299" s="40" t="s">
        <v>34</v>
      </c>
      <c r="D2299" s="41">
        <v>24.47</v>
      </c>
      <c r="E2299" s="43" t="s">
        <v>34</v>
      </c>
      <c r="F2299" s="42" t="s">
        <v>1</v>
      </c>
    </row>
    <row r="2300" spans="1:6">
      <c r="A2300" s="39">
        <v>45975</v>
      </c>
      <c r="B2300" s="40" t="s">
        <v>452</v>
      </c>
      <c r="C2300" s="40" t="s">
        <v>60</v>
      </c>
      <c r="D2300" s="41">
        <v>-2.85</v>
      </c>
      <c r="E2300" s="43" t="s">
        <v>627</v>
      </c>
      <c r="F2300" s="42" t="s">
        <v>1</v>
      </c>
    </row>
    <row r="2301" spans="1:6">
      <c r="A2301" s="39">
        <v>45976</v>
      </c>
      <c r="B2301" s="40" t="s">
        <v>452</v>
      </c>
      <c r="C2301" s="40" t="s">
        <v>461</v>
      </c>
      <c r="D2301" s="41">
        <v>-17</v>
      </c>
      <c r="E2301" s="43" t="s">
        <v>675</v>
      </c>
      <c r="F2301" s="42" t="s">
        <v>38</v>
      </c>
    </row>
    <row r="2302" spans="1:6">
      <c r="A2302" s="39">
        <v>45977</v>
      </c>
      <c r="B2302" s="40" t="s">
        <v>454</v>
      </c>
      <c r="C2302" s="40" t="s">
        <v>52</v>
      </c>
      <c r="D2302" s="41">
        <v>-7.75</v>
      </c>
      <c r="E2302" s="43" t="s">
        <v>455</v>
      </c>
      <c r="F2302" s="42" t="s">
        <v>0</v>
      </c>
    </row>
    <row r="2303" spans="1:6">
      <c r="A2303" s="39">
        <v>45977</v>
      </c>
      <c r="B2303" s="40" t="s">
        <v>452</v>
      </c>
      <c r="C2303" s="40" t="s">
        <v>36</v>
      </c>
      <c r="D2303" s="41">
        <v>-12.5</v>
      </c>
      <c r="E2303" s="43" t="s">
        <v>676</v>
      </c>
      <c r="F2303" s="42" t="s">
        <v>38</v>
      </c>
    </row>
    <row r="2304" spans="1:6">
      <c r="A2304" s="39">
        <v>45978</v>
      </c>
      <c r="B2304" s="40" t="s">
        <v>452</v>
      </c>
      <c r="C2304" s="40" t="s">
        <v>461</v>
      </c>
      <c r="D2304" s="41">
        <v>-36</v>
      </c>
      <c r="E2304" s="43" t="s">
        <v>528</v>
      </c>
      <c r="F2304" s="42" t="s">
        <v>38</v>
      </c>
    </row>
    <row r="2305" spans="1:6">
      <c r="A2305" s="39">
        <v>45978</v>
      </c>
      <c r="B2305" s="40" t="s">
        <v>481</v>
      </c>
      <c r="C2305" s="40" t="s">
        <v>76</v>
      </c>
      <c r="D2305" s="41">
        <v>-20.71</v>
      </c>
      <c r="E2305" s="43" t="s">
        <v>677</v>
      </c>
      <c r="F2305" s="42" t="s">
        <v>0</v>
      </c>
    </row>
    <row r="2306" spans="1:6">
      <c r="A2306" s="39">
        <v>45979</v>
      </c>
      <c r="B2306" s="40" t="s">
        <v>454</v>
      </c>
      <c r="C2306" s="40" t="s">
        <v>41</v>
      </c>
      <c r="D2306" s="41">
        <v>-1.3</v>
      </c>
      <c r="E2306" s="43" t="s">
        <v>467</v>
      </c>
      <c r="F2306" s="42" t="s">
        <v>0</v>
      </c>
    </row>
    <row r="2307" spans="1:6">
      <c r="A2307" s="39">
        <f>A2306</f>
        <v>45979</v>
      </c>
      <c r="B2307" s="40" t="s">
        <v>454</v>
      </c>
      <c r="C2307" s="40" t="s">
        <v>62</v>
      </c>
      <c r="D2307" s="41">
        <v>-4</v>
      </c>
      <c r="E2307" s="43" t="s">
        <v>460</v>
      </c>
      <c r="F2307" s="42" t="s">
        <v>38</v>
      </c>
    </row>
    <row r="2308" spans="1:6">
      <c r="A2308" s="39">
        <f>A2307</f>
        <v>45979</v>
      </c>
      <c r="B2308" s="40" t="s">
        <v>481</v>
      </c>
      <c r="C2308" s="40" t="s">
        <v>46</v>
      </c>
      <c r="D2308" s="41">
        <v>-49</v>
      </c>
      <c r="E2308" s="43" t="str">
        <f>C2308</f>
        <v>Traspaso</v>
      </c>
      <c r="F2308" s="42" t="s">
        <v>0</v>
      </c>
    </row>
    <row r="2309" spans="1:6">
      <c r="A2309" s="39">
        <f>A2308</f>
        <v>45979</v>
      </c>
      <c r="B2309" s="40" t="s">
        <v>554</v>
      </c>
      <c r="C2309" s="40" t="s">
        <v>46</v>
      </c>
      <c r="D2309" s="41">
        <v>49</v>
      </c>
      <c r="E2309" s="43" t="str">
        <f>C2309</f>
        <v>Traspaso</v>
      </c>
      <c r="F2309" s="42" t="s">
        <v>0</v>
      </c>
    </row>
    <row r="2310" spans="1:6">
      <c r="A2310" s="39">
        <f>A2309</f>
        <v>45979</v>
      </c>
      <c r="B2310" s="40" t="s">
        <v>554</v>
      </c>
      <c r="C2310" s="40" t="s">
        <v>34</v>
      </c>
      <c r="D2310" s="41">
        <v>-49</v>
      </c>
      <c r="E2310" s="43" t="s">
        <v>678</v>
      </c>
      <c r="F2310" s="42" t="s">
        <v>0</v>
      </c>
    </row>
    <row r="2311" spans="1:6">
      <c r="A2311" s="39">
        <f>A2310</f>
        <v>45979</v>
      </c>
      <c r="B2311" s="40" t="s">
        <v>485</v>
      </c>
      <c r="C2311" s="40" t="s">
        <v>46</v>
      </c>
      <c r="D2311" s="41">
        <v>-6430</v>
      </c>
      <c r="E2311" s="43" t="str">
        <f>C2311</f>
        <v>Traspaso</v>
      </c>
      <c r="F2311" s="42" t="s">
        <v>0</v>
      </c>
    </row>
    <row r="2312" spans="1:6">
      <c r="A2312" s="39">
        <f>A2311</f>
        <v>45979</v>
      </c>
      <c r="B2312" s="40" t="s">
        <v>679</v>
      </c>
      <c r="C2312" s="40" t="s">
        <v>46</v>
      </c>
      <c r="D2312" s="41">
        <v>6430</v>
      </c>
      <c r="E2312" s="43" t="str">
        <f>C2312</f>
        <v>Traspaso</v>
      </c>
      <c r="F2312" s="42" t="s">
        <v>0</v>
      </c>
    </row>
    <row r="2313" spans="1:6">
      <c r="A2313" s="39">
        <f>A2312</f>
        <v>45979</v>
      </c>
      <c r="B2313" s="40" t="s">
        <v>452</v>
      </c>
      <c r="C2313" s="40" t="s">
        <v>50</v>
      </c>
      <c r="D2313" s="41">
        <v>-3.9</v>
      </c>
      <c r="E2313" s="43" t="s">
        <v>680</v>
      </c>
      <c r="F2313" s="42" t="s">
        <v>1</v>
      </c>
    </row>
    <row r="2314" spans="1:6">
      <c r="A2314" s="39">
        <f>A2313</f>
        <v>45979</v>
      </c>
      <c r="B2314" s="40" t="s">
        <v>452</v>
      </c>
      <c r="C2314" s="40" t="s">
        <v>36</v>
      </c>
      <c r="D2314" s="41">
        <v>-11</v>
      </c>
      <c r="E2314" s="43" t="s">
        <v>69</v>
      </c>
      <c r="F2314" s="42" t="s">
        <v>38</v>
      </c>
    </row>
    <row r="2315" spans="1:6">
      <c r="A2315" s="39">
        <f>A2314</f>
        <v>45979</v>
      </c>
      <c r="B2315" s="40" t="s">
        <v>445</v>
      </c>
      <c r="C2315" s="40" t="s">
        <v>36</v>
      </c>
      <c r="D2315" s="41">
        <v>-7.93</v>
      </c>
      <c r="E2315" s="43" t="s">
        <v>143</v>
      </c>
      <c r="F2315" s="42" t="s">
        <v>38</v>
      </c>
    </row>
    <row r="2316" spans="1:6">
      <c r="A2316" s="39">
        <f>A2315</f>
        <v>45979</v>
      </c>
      <c r="B2316" s="40" t="s">
        <v>445</v>
      </c>
      <c r="C2316" s="40" t="s">
        <v>119</v>
      </c>
      <c r="D2316" s="41">
        <v>-20.14</v>
      </c>
      <c r="E2316" s="43" t="s">
        <v>341</v>
      </c>
      <c r="F2316" s="42" t="s">
        <v>1</v>
      </c>
    </row>
    <row r="2317" spans="1:6">
      <c r="A2317" s="39">
        <v>45980</v>
      </c>
      <c r="B2317" s="40" t="s">
        <v>452</v>
      </c>
      <c r="C2317" s="40" t="s">
        <v>50</v>
      </c>
      <c r="D2317" s="41">
        <v>500</v>
      </c>
      <c r="E2317" s="43" t="s">
        <v>302</v>
      </c>
      <c r="F2317" s="42" t="s">
        <v>1</v>
      </c>
    </row>
    <row r="2318" spans="1:6">
      <c r="A2318" s="39">
        <v>45980</v>
      </c>
      <c r="B2318" s="40" t="s">
        <v>452</v>
      </c>
      <c r="C2318" s="40" t="s">
        <v>58</v>
      </c>
      <c r="D2318" s="41">
        <v>-50</v>
      </c>
      <c r="E2318" s="43" t="s">
        <v>681</v>
      </c>
      <c r="F2318" s="42" t="s">
        <v>38</v>
      </c>
    </row>
    <row r="2319" spans="1:6">
      <c r="A2319" s="39">
        <v>45980</v>
      </c>
      <c r="B2319" s="40" t="s">
        <v>673</v>
      </c>
      <c r="C2319" s="40" t="s">
        <v>41</v>
      </c>
      <c r="D2319" s="41">
        <v>-1.3</v>
      </c>
      <c r="E2319" s="43" t="s">
        <v>467</v>
      </c>
      <c r="F2319" s="42" t="s">
        <v>0</v>
      </c>
    </row>
    <row r="2320" spans="1:6">
      <c r="A2320" s="39">
        <v>45981</v>
      </c>
      <c r="B2320" s="40" t="s">
        <v>673</v>
      </c>
      <c r="C2320" s="40" t="s">
        <v>41</v>
      </c>
      <c r="D2320" s="41">
        <v>-1.3</v>
      </c>
      <c r="E2320" s="43" t="s">
        <v>467</v>
      </c>
      <c r="F2320" s="42" t="s">
        <v>0</v>
      </c>
    </row>
    <row r="2321" spans="1:6">
      <c r="A2321" s="39">
        <v>45981</v>
      </c>
      <c r="B2321" s="40" t="s">
        <v>673</v>
      </c>
      <c r="C2321" s="40" t="s">
        <v>52</v>
      </c>
      <c r="D2321" s="41">
        <v>-7.5</v>
      </c>
      <c r="E2321" s="43" t="s">
        <v>455</v>
      </c>
      <c r="F2321" s="42" t="s">
        <v>0</v>
      </c>
    </row>
    <row r="2322" spans="1:6">
      <c r="A2322" s="39">
        <v>45981</v>
      </c>
      <c r="B2322" s="40" t="s">
        <v>452</v>
      </c>
      <c r="C2322" s="40" t="s">
        <v>54</v>
      </c>
      <c r="D2322" s="41">
        <v>-80</v>
      </c>
      <c r="E2322" s="43" t="s">
        <v>619</v>
      </c>
      <c r="F2322" s="42" t="s">
        <v>1</v>
      </c>
    </row>
    <row r="2323" spans="1:6">
      <c r="A2323" s="39">
        <v>45981</v>
      </c>
      <c r="B2323" s="40" t="s">
        <v>256</v>
      </c>
      <c r="C2323" s="40" t="s">
        <v>41</v>
      </c>
      <c r="D2323" s="41">
        <v>-35</v>
      </c>
      <c r="E2323" s="43" t="s">
        <v>682</v>
      </c>
      <c r="F2323" s="42" t="s">
        <v>1</v>
      </c>
    </row>
    <row r="2324" spans="1:6">
      <c r="A2324" s="39">
        <v>45981</v>
      </c>
      <c r="B2324" s="40" t="s">
        <v>445</v>
      </c>
      <c r="C2324" s="40" t="s">
        <v>36</v>
      </c>
      <c r="D2324" s="41">
        <v>-6.07</v>
      </c>
      <c r="E2324" s="43" t="s">
        <v>133</v>
      </c>
      <c r="F2324" s="42" t="s">
        <v>38</v>
      </c>
    </row>
    <row r="2325" spans="1:6">
      <c r="A2325" s="39">
        <v>45981</v>
      </c>
      <c r="B2325" s="40" t="s">
        <v>445</v>
      </c>
      <c r="C2325" s="40" t="s">
        <v>461</v>
      </c>
      <c r="D2325" s="41">
        <v>8.99</v>
      </c>
      <c r="E2325" s="43" t="s">
        <v>683</v>
      </c>
      <c r="F2325" s="42" t="s">
        <v>1</v>
      </c>
    </row>
    <row r="2326" spans="1:6">
      <c r="A2326" s="39">
        <v>45982</v>
      </c>
      <c r="B2326" s="40" t="s">
        <v>256</v>
      </c>
      <c r="C2326" s="40" t="s">
        <v>36</v>
      </c>
      <c r="D2326" s="41">
        <v>-12.5</v>
      </c>
      <c r="E2326" s="43" t="s">
        <v>684</v>
      </c>
      <c r="F2326" s="42" t="s">
        <v>38</v>
      </c>
    </row>
    <row r="2327" spans="1:6">
      <c r="A2327" s="39">
        <v>45982</v>
      </c>
      <c r="B2327" s="40" t="s">
        <v>673</v>
      </c>
      <c r="C2327" s="40" t="s">
        <v>41</v>
      </c>
      <c r="D2327" s="41">
        <v>-1.3</v>
      </c>
      <c r="E2327" s="43" t="s">
        <v>467</v>
      </c>
      <c r="F2327" s="42" t="s">
        <v>0</v>
      </c>
    </row>
    <row r="2328" spans="1:6">
      <c r="A2328" s="39">
        <f>A2327</f>
        <v>45982</v>
      </c>
      <c r="B2328" s="40" t="s">
        <v>454</v>
      </c>
      <c r="C2328" s="40" t="s">
        <v>46</v>
      </c>
      <c r="D2328" s="41">
        <v>-472.52</v>
      </c>
      <c r="E2328" s="43" t="str">
        <f>C2328</f>
        <v>Traspaso</v>
      </c>
      <c r="F2328" s="42" t="s">
        <v>0</v>
      </c>
    </row>
    <row r="2329" spans="1:6">
      <c r="A2329" s="39">
        <f>A2328</f>
        <v>45982</v>
      </c>
      <c r="B2329" s="40" t="s">
        <v>472</v>
      </c>
      <c r="C2329" s="40" t="s">
        <v>46</v>
      </c>
      <c r="D2329" s="41">
        <v>472.52</v>
      </c>
      <c r="E2329" s="43" t="str">
        <f>C2329</f>
        <v>Traspaso</v>
      </c>
      <c r="F2329" s="42" t="s">
        <v>0</v>
      </c>
    </row>
    <row r="2330" spans="1:6">
      <c r="A2330" s="39">
        <f>A2329</f>
        <v>45982</v>
      </c>
      <c r="B2330" s="40" t="s">
        <v>663</v>
      </c>
      <c r="C2330" s="40" t="s">
        <v>46</v>
      </c>
      <c r="D2330" s="41">
        <v>-3916.38</v>
      </c>
      <c r="E2330" s="43" t="str">
        <f>C2330</f>
        <v>Traspaso</v>
      </c>
      <c r="F2330" s="42" t="s">
        <v>0</v>
      </c>
    </row>
    <row r="2331" spans="1:6">
      <c r="A2331" s="39">
        <f>A2330</f>
        <v>45982</v>
      </c>
      <c r="B2331" s="40" t="s">
        <v>481</v>
      </c>
      <c r="C2331" s="40" t="s">
        <v>46</v>
      </c>
      <c r="D2331" s="41">
        <v>3916.38</v>
      </c>
      <c r="E2331" s="43" t="str">
        <f>C2331</f>
        <v>Traspaso</v>
      </c>
      <c r="F2331" s="42" t="s">
        <v>0</v>
      </c>
    </row>
    <row r="2332" spans="1:6">
      <c r="A2332" s="39">
        <f>A2331</f>
        <v>45982</v>
      </c>
      <c r="B2332" s="40" t="s">
        <v>481</v>
      </c>
      <c r="C2332" s="40" t="s">
        <v>46</v>
      </c>
      <c r="D2332" s="41">
        <v>-2000</v>
      </c>
      <c r="E2332" s="43" t="str">
        <f>C2332</f>
        <v>Traspaso</v>
      </c>
      <c r="F2332" s="42" t="s">
        <v>0</v>
      </c>
    </row>
    <row r="2333" spans="1:6">
      <c r="A2333" s="39">
        <f>A2332</f>
        <v>45982</v>
      </c>
      <c r="B2333" s="40" t="s">
        <v>508</v>
      </c>
      <c r="C2333" s="40" t="s">
        <v>46</v>
      </c>
      <c r="D2333" s="41">
        <v>2000</v>
      </c>
      <c r="E2333" s="43" t="str">
        <f>C2333</f>
        <v>Traspaso</v>
      </c>
      <c r="F2333" s="42" t="s">
        <v>0</v>
      </c>
    </row>
    <row r="2334" spans="1:6">
      <c r="A2334" s="39">
        <f>A2333</f>
        <v>45982</v>
      </c>
      <c r="B2334" s="40" t="s">
        <v>481</v>
      </c>
      <c r="C2334" s="40" t="s">
        <v>46</v>
      </c>
      <c r="D2334" s="41">
        <v>-1800</v>
      </c>
      <c r="E2334" s="43" t="str">
        <f>C2334</f>
        <v>Traspaso</v>
      </c>
      <c r="F2334" s="42" t="s">
        <v>0</v>
      </c>
    </row>
    <row r="2335" spans="1:6">
      <c r="A2335" s="39">
        <f>A2334</f>
        <v>45982</v>
      </c>
      <c r="B2335" s="40" t="s">
        <v>457</v>
      </c>
      <c r="C2335" s="40" t="s">
        <v>46</v>
      </c>
      <c r="D2335" s="41">
        <v>1800</v>
      </c>
      <c r="E2335" s="43" t="str">
        <f>C2335</f>
        <v>Traspaso</v>
      </c>
      <c r="F2335" s="42" t="s">
        <v>0</v>
      </c>
    </row>
    <row r="2336" spans="1:6">
      <c r="A2336" s="39">
        <f>A2335</f>
        <v>45982</v>
      </c>
      <c r="B2336" s="40" t="s">
        <v>673</v>
      </c>
      <c r="C2336" s="40" t="s">
        <v>36</v>
      </c>
      <c r="D2336" s="41">
        <v>-101.3</v>
      </c>
      <c r="E2336" s="43" t="s">
        <v>295</v>
      </c>
      <c r="F2336" s="42" t="s">
        <v>38</v>
      </c>
    </row>
    <row r="2337" spans="1:6">
      <c r="A2337" s="39">
        <v>45983</v>
      </c>
      <c r="B2337" s="40" t="s">
        <v>445</v>
      </c>
      <c r="C2337" s="40" t="s">
        <v>73</v>
      </c>
      <c r="D2337" s="41">
        <v>-50.65</v>
      </c>
      <c r="E2337" s="43" t="s">
        <v>74</v>
      </c>
      <c r="F2337" s="42" t="s">
        <v>38</v>
      </c>
    </row>
    <row r="2338" spans="1:6">
      <c r="A2338" s="39">
        <v>45983</v>
      </c>
      <c r="B2338" s="40" t="s">
        <v>452</v>
      </c>
      <c r="C2338" s="40" t="s">
        <v>50</v>
      </c>
      <c r="D2338" s="41">
        <v>50</v>
      </c>
      <c r="E2338" s="43" t="s">
        <v>685</v>
      </c>
      <c r="F2338" s="42" t="s">
        <v>1</v>
      </c>
    </row>
    <row r="2339" spans="1:6">
      <c r="A2339" s="39">
        <v>45984</v>
      </c>
      <c r="B2339" s="40" t="s">
        <v>452</v>
      </c>
      <c r="C2339" s="40" t="s">
        <v>41</v>
      </c>
      <c r="D2339" s="41">
        <v>-37.5</v>
      </c>
      <c r="E2339" s="43" t="s">
        <v>686</v>
      </c>
      <c r="F2339" s="42" t="s">
        <v>38</v>
      </c>
    </row>
    <row r="2340" spans="1:6">
      <c r="A2340" s="39">
        <v>45985</v>
      </c>
      <c r="B2340" s="40" t="s">
        <v>445</v>
      </c>
      <c r="C2340" s="40" t="s">
        <v>36</v>
      </c>
      <c r="D2340" s="41">
        <v>-10.14</v>
      </c>
      <c r="E2340" s="43" t="s">
        <v>133</v>
      </c>
      <c r="F2340" s="42" t="s">
        <v>38</v>
      </c>
    </row>
    <row r="2341" spans="1:6">
      <c r="A2341" s="39">
        <v>45985</v>
      </c>
      <c r="B2341" s="40" t="s">
        <v>445</v>
      </c>
      <c r="C2341" s="40" t="s">
        <v>50</v>
      </c>
      <c r="D2341" s="41">
        <v>-3.49</v>
      </c>
      <c r="E2341" s="43" t="s">
        <v>687</v>
      </c>
      <c r="F2341" s="42" t="s">
        <v>1</v>
      </c>
    </row>
    <row r="2342" spans="1:6">
      <c r="A2342" s="39">
        <v>45985</v>
      </c>
      <c r="B2342" s="40" t="s">
        <v>452</v>
      </c>
      <c r="C2342" s="40" t="s">
        <v>461</v>
      </c>
      <c r="D2342" s="41">
        <v>-7.5</v>
      </c>
      <c r="E2342" s="43" t="s">
        <v>688</v>
      </c>
      <c r="F2342" s="42" t="s">
        <v>38</v>
      </c>
    </row>
    <row r="2343" spans="1:6">
      <c r="A2343" s="39">
        <v>45985</v>
      </c>
      <c r="B2343" s="40" t="s">
        <v>673</v>
      </c>
      <c r="C2343" s="40" t="s">
        <v>41</v>
      </c>
      <c r="D2343" s="41">
        <v>-1.3</v>
      </c>
      <c r="E2343" s="43" t="s">
        <v>467</v>
      </c>
      <c r="F2343" s="42" t="s">
        <v>0</v>
      </c>
    </row>
    <row r="2344" spans="1:6">
      <c r="A2344" s="39">
        <v>45986</v>
      </c>
      <c r="B2344" s="40" t="s">
        <v>673</v>
      </c>
      <c r="C2344" s="40" t="s">
        <v>73</v>
      </c>
      <c r="D2344" s="41">
        <v>-70.010000000000005</v>
      </c>
      <c r="E2344" s="43" t="str">
        <f>C2344</f>
        <v>Combustible</v>
      </c>
      <c r="F2344" s="42" t="s">
        <v>38</v>
      </c>
    </row>
    <row r="2345" spans="1:6">
      <c r="A2345" s="39">
        <f>A2344</f>
        <v>45986</v>
      </c>
      <c r="B2345" s="40" t="s">
        <v>673</v>
      </c>
      <c r="C2345" s="40" t="s">
        <v>41</v>
      </c>
      <c r="D2345" s="41">
        <v>-1.3</v>
      </c>
      <c r="E2345" s="43" t="s">
        <v>467</v>
      </c>
      <c r="F2345" s="42" t="s">
        <v>0</v>
      </c>
    </row>
    <row r="2346" spans="1:6">
      <c r="A2346" s="39">
        <f>A2345</f>
        <v>45986</v>
      </c>
      <c r="B2346" s="40" t="s">
        <v>673</v>
      </c>
      <c r="C2346" s="40" t="s">
        <v>62</v>
      </c>
      <c r="D2346" s="41">
        <v>-4</v>
      </c>
      <c r="E2346" s="43" t="s">
        <v>460</v>
      </c>
      <c r="F2346" s="42" t="s">
        <v>38</v>
      </c>
    </row>
    <row r="2347" spans="1:6">
      <c r="A2347" s="39">
        <f>A2346</f>
        <v>45986</v>
      </c>
      <c r="B2347" s="40" t="s">
        <v>452</v>
      </c>
      <c r="C2347" s="40" t="s">
        <v>105</v>
      </c>
      <c r="D2347" s="41">
        <v>-60</v>
      </c>
      <c r="E2347" s="43" t="s">
        <v>120</v>
      </c>
      <c r="F2347" s="42" t="s">
        <v>1</v>
      </c>
    </row>
    <row r="2348" spans="1:6">
      <c r="A2348" s="39">
        <v>45988</v>
      </c>
      <c r="B2348" s="40" t="s">
        <v>448</v>
      </c>
      <c r="C2348" s="40" t="s">
        <v>110</v>
      </c>
      <c r="D2348" s="41">
        <v>1936.61</v>
      </c>
      <c r="E2348" s="43" t="s">
        <v>110</v>
      </c>
      <c r="F2348" s="42" t="s">
        <v>1</v>
      </c>
    </row>
    <row r="2349" spans="1:6">
      <c r="A2349" s="39">
        <v>45988</v>
      </c>
      <c r="B2349" s="40" t="s">
        <v>452</v>
      </c>
      <c r="C2349" s="40" t="s">
        <v>461</v>
      </c>
      <c r="D2349" s="41">
        <v>-4.99</v>
      </c>
      <c r="E2349" s="43" t="s">
        <v>689</v>
      </c>
      <c r="F2349" s="42" t="s">
        <v>38</v>
      </c>
    </row>
    <row r="2350" spans="1:6">
      <c r="A2350" s="39">
        <v>45988</v>
      </c>
      <c r="B2350" s="40" t="s">
        <v>452</v>
      </c>
      <c r="C2350" s="40" t="s">
        <v>41</v>
      </c>
      <c r="D2350" s="41">
        <v>-8.2100000000000009</v>
      </c>
      <c r="E2350" s="43" t="s">
        <v>690</v>
      </c>
      <c r="F2350" s="42" t="s">
        <v>1</v>
      </c>
    </row>
    <row r="2351" spans="1:6">
      <c r="A2351" s="39">
        <v>45988</v>
      </c>
      <c r="B2351" s="40" t="s">
        <v>452</v>
      </c>
      <c r="C2351" s="40" t="s">
        <v>50</v>
      </c>
      <c r="D2351" s="41">
        <v>-4.99</v>
      </c>
      <c r="E2351" s="43" t="s">
        <v>691</v>
      </c>
      <c r="F2351" s="42" t="s">
        <v>1</v>
      </c>
    </row>
    <row r="2352" spans="1:6">
      <c r="A2352" s="39">
        <v>45988</v>
      </c>
      <c r="B2352" s="40" t="s">
        <v>481</v>
      </c>
      <c r="C2352" s="40" t="s">
        <v>46</v>
      </c>
      <c r="D2352" s="41">
        <v>-800.12</v>
      </c>
      <c r="E2352" s="43" t="str">
        <f>C2352</f>
        <v>Traspaso</v>
      </c>
      <c r="F2352" s="42" t="s">
        <v>0</v>
      </c>
    </row>
    <row r="2353" spans="1:6">
      <c r="A2353" s="39">
        <f>A2352</f>
        <v>45988</v>
      </c>
      <c r="B2353" s="40" t="s">
        <v>116</v>
      </c>
      <c r="C2353" s="40" t="s">
        <v>46</v>
      </c>
      <c r="D2353" s="41">
        <v>800.12</v>
      </c>
      <c r="E2353" s="43" t="str">
        <f>C2353</f>
        <v>Traspaso</v>
      </c>
      <c r="F2353" s="42" t="s">
        <v>0</v>
      </c>
    </row>
    <row r="2354" spans="1:6">
      <c r="A2354" s="39">
        <f>A2353</f>
        <v>45988</v>
      </c>
      <c r="B2354" s="40" t="s">
        <v>471</v>
      </c>
      <c r="C2354" s="40" t="s">
        <v>46</v>
      </c>
      <c r="D2354" s="41">
        <v>-832.2</v>
      </c>
      <c r="E2354" s="43" t="str">
        <f>C2354</f>
        <v>Traspaso</v>
      </c>
      <c r="F2354" s="42" t="s">
        <v>0</v>
      </c>
    </row>
    <row r="2355" spans="1:6">
      <c r="A2355" s="39">
        <f>A2354</f>
        <v>45988</v>
      </c>
      <c r="B2355" s="40" t="s">
        <v>454</v>
      </c>
      <c r="C2355" s="40" t="s">
        <v>46</v>
      </c>
      <c r="D2355" s="41">
        <v>832.2</v>
      </c>
      <c r="E2355" s="43" t="str">
        <f>C2355</f>
        <v>Traspaso</v>
      </c>
      <c r="F2355" s="42" t="s">
        <v>0</v>
      </c>
    </row>
    <row r="2356" spans="1:6">
      <c r="A2356" s="39">
        <f>A2355</f>
        <v>45988</v>
      </c>
      <c r="B2356" s="40" t="s">
        <v>481</v>
      </c>
      <c r="C2356" s="40" t="s">
        <v>46</v>
      </c>
      <c r="D2356" s="41">
        <v>-932.2</v>
      </c>
      <c r="E2356" s="43" t="str">
        <f>C2356</f>
        <v>Traspaso</v>
      </c>
      <c r="F2356" s="42" t="s">
        <v>0</v>
      </c>
    </row>
    <row r="2357" spans="1:6">
      <c r="A2357" s="39">
        <f>A2356</f>
        <v>45988</v>
      </c>
      <c r="B2357" s="40" t="s">
        <v>471</v>
      </c>
      <c r="C2357" s="40" t="s">
        <v>46</v>
      </c>
      <c r="D2357" s="41">
        <v>932.2</v>
      </c>
      <c r="E2357" s="43" t="str">
        <f>C2357</f>
        <v>Traspaso</v>
      </c>
      <c r="F2357" s="42" t="s">
        <v>0</v>
      </c>
    </row>
    <row r="2358" spans="1:6">
      <c r="A2358" s="39">
        <f>A2357</f>
        <v>45988</v>
      </c>
      <c r="B2358" s="40" t="s">
        <v>673</v>
      </c>
      <c r="C2358" s="40" t="s">
        <v>46</v>
      </c>
      <c r="D2358" s="41">
        <v>-1785.65</v>
      </c>
      <c r="E2358" s="43" t="str">
        <f>C2358</f>
        <v>Traspaso</v>
      </c>
      <c r="F2358" s="42" t="s">
        <v>0</v>
      </c>
    </row>
    <row r="2359" spans="1:6">
      <c r="A2359" s="39">
        <f>A2358</f>
        <v>45988</v>
      </c>
      <c r="B2359" s="40" t="s">
        <v>481</v>
      </c>
      <c r="C2359" s="40" t="s">
        <v>46</v>
      </c>
      <c r="D2359" s="41">
        <v>1785.65</v>
      </c>
      <c r="E2359" s="43" t="str">
        <f>C2359</f>
        <v>Traspaso</v>
      </c>
      <c r="F2359" s="42" t="s">
        <v>0</v>
      </c>
    </row>
    <row r="2360" spans="1:6">
      <c r="A2360" s="39">
        <f>A2359</f>
        <v>45988</v>
      </c>
      <c r="B2360" s="40" t="s">
        <v>673</v>
      </c>
      <c r="C2360" s="40" t="s">
        <v>110</v>
      </c>
      <c r="D2360" s="41">
        <v>1981.78</v>
      </c>
      <c r="E2360" s="43" t="str">
        <f>C2360</f>
        <v>Nómina</v>
      </c>
      <c r="F2360" s="42" t="s">
        <v>0</v>
      </c>
    </row>
    <row r="2361" spans="1:6">
      <c r="A2361" s="39">
        <f>A2360</f>
        <v>45988</v>
      </c>
      <c r="B2361" s="40" t="s">
        <v>673</v>
      </c>
      <c r="C2361" s="40" t="s">
        <v>41</v>
      </c>
      <c r="D2361" s="41">
        <v>-1.3</v>
      </c>
      <c r="E2361" s="43" t="s">
        <v>467</v>
      </c>
      <c r="F2361" s="42" t="s">
        <v>0</v>
      </c>
    </row>
    <row r="2362" spans="1:6">
      <c r="A2362" s="39">
        <f>A2361</f>
        <v>45988</v>
      </c>
      <c r="B2362" s="40" t="s">
        <v>454</v>
      </c>
      <c r="C2362" s="40" t="s">
        <v>46</v>
      </c>
      <c r="D2362" s="41">
        <v>-1000</v>
      </c>
      <c r="E2362" s="43" t="str">
        <f>C2362</f>
        <v>Traspaso</v>
      </c>
      <c r="F2362" s="42" t="s">
        <v>0</v>
      </c>
    </row>
    <row r="2363" spans="1:6">
      <c r="A2363" s="39">
        <f>A2362</f>
        <v>45988</v>
      </c>
      <c r="B2363" s="40" t="s">
        <v>472</v>
      </c>
      <c r="C2363" s="40" t="s">
        <v>46</v>
      </c>
      <c r="D2363" s="41">
        <v>1000</v>
      </c>
      <c r="E2363" s="43" t="str">
        <f>C2363</f>
        <v>Traspaso</v>
      </c>
      <c r="F2363" s="42" t="s">
        <v>0</v>
      </c>
    </row>
    <row r="2364" spans="1:6">
      <c r="A2364" s="39">
        <v>45989</v>
      </c>
      <c r="B2364" s="40" t="s">
        <v>673</v>
      </c>
      <c r="C2364" s="40" t="s">
        <v>41</v>
      </c>
      <c r="D2364" s="41">
        <v>-1.3</v>
      </c>
      <c r="E2364" s="43" t="s">
        <v>467</v>
      </c>
      <c r="F2364" s="42" t="s">
        <v>0</v>
      </c>
    </row>
    <row r="2365" spans="1:6">
      <c r="A2365" s="39">
        <f>A2364</f>
        <v>45989</v>
      </c>
      <c r="B2365" s="40" t="s">
        <v>673</v>
      </c>
      <c r="C2365" s="40" t="s">
        <v>52</v>
      </c>
      <c r="D2365" s="41">
        <v>-6</v>
      </c>
      <c r="E2365" s="43" t="s">
        <v>455</v>
      </c>
      <c r="F2365" s="42" t="s">
        <v>0</v>
      </c>
    </row>
    <row r="2366" spans="1:6">
      <c r="A2366" s="39">
        <f>A2365</f>
        <v>45989</v>
      </c>
      <c r="B2366" s="40" t="s">
        <v>446</v>
      </c>
      <c r="C2366" s="40" t="s">
        <v>46</v>
      </c>
      <c r="D2366" s="41">
        <v>-340.73</v>
      </c>
      <c r="E2366" s="43" t="s">
        <v>46</v>
      </c>
      <c r="F2366" s="42" t="s">
        <v>1</v>
      </c>
    </row>
    <row r="2367" spans="1:6">
      <c r="A2367" s="39">
        <f>A2366</f>
        <v>45989</v>
      </c>
      <c r="B2367" s="40" t="s">
        <v>445</v>
      </c>
      <c r="C2367" s="40" t="s">
        <v>46</v>
      </c>
      <c r="D2367" s="41">
        <v>340.73</v>
      </c>
      <c r="E2367" s="43" t="s">
        <v>46</v>
      </c>
      <c r="F2367" s="42" t="s">
        <v>1</v>
      </c>
    </row>
    <row r="2368" spans="1:6">
      <c r="A2368" s="39">
        <f>A2367</f>
        <v>45989</v>
      </c>
      <c r="B2368" s="40" t="s">
        <v>448</v>
      </c>
      <c r="C2368" s="40" t="s">
        <v>46</v>
      </c>
      <c r="D2368" s="41">
        <v>-1000</v>
      </c>
      <c r="E2368" s="43" t="s">
        <v>46</v>
      </c>
      <c r="F2368" s="42" t="s">
        <v>1</v>
      </c>
    </row>
    <row r="2369" spans="1:6">
      <c r="A2369" s="39">
        <f>A2368</f>
        <v>45989</v>
      </c>
      <c r="B2369" s="40" t="s">
        <v>446</v>
      </c>
      <c r="C2369" s="40" t="s">
        <v>46</v>
      </c>
      <c r="D2369" s="41">
        <v>1000</v>
      </c>
      <c r="E2369" s="43" t="s">
        <v>46</v>
      </c>
      <c r="F2369" s="42" t="s">
        <v>1</v>
      </c>
    </row>
    <row r="2370" spans="1:6">
      <c r="A2370" s="39">
        <f>A2369</f>
        <v>45989</v>
      </c>
      <c r="B2370" s="40" t="s">
        <v>445</v>
      </c>
      <c r="C2370" s="40" t="s">
        <v>36</v>
      </c>
      <c r="D2370" s="41">
        <v>-9.08</v>
      </c>
      <c r="E2370" s="43" t="s">
        <v>133</v>
      </c>
      <c r="F2370" s="42" t="s">
        <v>38</v>
      </c>
    </row>
    <row r="2371" spans="1:6">
      <c r="A2371" s="39">
        <v>45990</v>
      </c>
      <c r="B2371" s="40" t="s">
        <v>445</v>
      </c>
      <c r="C2371" s="40" t="s">
        <v>41</v>
      </c>
      <c r="D2371" s="41">
        <v>-33</v>
      </c>
      <c r="E2371" s="43" t="s">
        <v>692</v>
      </c>
      <c r="F2371" s="42" t="s">
        <v>38</v>
      </c>
    </row>
    <row r="2372" spans="1:6">
      <c r="A2372" s="39">
        <v>45990</v>
      </c>
      <c r="B2372" s="40" t="s">
        <v>445</v>
      </c>
      <c r="C2372" s="40" t="s">
        <v>73</v>
      </c>
      <c r="D2372" s="41">
        <v>-37.770000000000003</v>
      </c>
      <c r="E2372" s="43" t="s">
        <v>74</v>
      </c>
      <c r="F2372" s="42" t="s">
        <v>38</v>
      </c>
    </row>
    <row r="2373" spans="1:6">
      <c r="A2373" s="39">
        <v>45990</v>
      </c>
      <c r="B2373" s="40" t="s">
        <v>445</v>
      </c>
      <c r="C2373" s="40" t="s">
        <v>50</v>
      </c>
      <c r="D2373" s="41">
        <v>-139.1</v>
      </c>
      <c r="E2373" s="43" t="s">
        <v>693</v>
      </c>
      <c r="F2373" s="42" t="s">
        <v>1</v>
      </c>
    </row>
    <row r="2374" spans="1:6">
      <c r="A2374" s="39">
        <v>45990</v>
      </c>
      <c r="B2374" s="40" t="s">
        <v>445</v>
      </c>
      <c r="C2374" s="40" t="s">
        <v>41</v>
      </c>
      <c r="D2374" s="41">
        <v>-210.04</v>
      </c>
      <c r="E2374" s="43" t="s">
        <v>694</v>
      </c>
      <c r="F2374" s="42" t="s">
        <v>38</v>
      </c>
    </row>
    <row r="2375" spans="1:6">
      <c r="A2375" s="39">
        <v>45990</v>
      </c>
      <c r="B2375" s="40" t="s">
        <v>481</v>
      </c>
      <c r="C2375" s="40" t="s">
        <v>62</v>
      </c>
      <c r="D2375" s="41">
        <v>-60</v>
      </c>
      <c r="E2375" s="43" t="s">
        <v>482</v>
      </c>
      <c r="F2375" s="42" t="s">
        <v>38</v>
      </c>
    </row>
    <row r="2376" spans="1:6">
      <c r="A2376" s="39">
        <f>A2375</f>
        <v>45990</v>
      </c>
      <c r="B2376" s="40" t="s">
        <v>481</v>
      </c>
      <c r="C2376" s="40" t="s">
        <v>34</v>
      </c>
      <c r="D2376" s="41">
        <v>-20</v>
      </c>
      <c r="E2376" s="43" t="s">
        <v>695</v>
      </c>
      <c r="F2376" s="42" t="s">
        <v>0</v>
      </c>
    </row>
    <row r="2377" spans="1:6">
      <c r="A2377" s="39">
        <f>A2376</f>
        <v>45990</v>
      </c>
      <c r="B2377" s="40" t="s">
        <v>673</v>
      </c>
      <c r="C2377" s="40" t="s">
        <v>54</v>
      </c>
      <c r="D2377" s="41">
        <v>-8.34</v>
      </c>
      <c r="E2377" s="43" t="str">
        <f>C2377</f>
        <v>Medicamentos</v>
      </c>
      <c r="F2377" s="42" t="s">
        <v>0</v>
      </c>
    </row>
    <row r="2378" spans="1:6">
      <c r="A2378" s="39">
        <f>A2377</f>
        <v>45990</v>
      </c>
      <c r="B2378" s="40" t="s">
        <v>481</v>
      </c>
      <c r="C2378" s="40" t="s">
        <v>58</v>
      </c>
      <c r="D2378" s="41">
        <v>-14.44</v>
      </c>
      <c r="E2378" s="43" t="s">
        <v>696</v>
      </c>
      <c r="F2378" s="42" t="s">
        <v>38</v>
      </c>
    </row>
    <row r="2379" spans="1:6">
      <c r="A2379" s="39">
        <v>45991</v>
      </c>
      <c r="B2379" s="40" t="s">
        <v>446</v>
      </c>
      <c r="C2379" s="40" t="s">
        <v>463</v>
      </c>
      <c r="D2379" s="41">
        <v>100</v>
      </c>
      <c r="E2379" s="43" t="s">
        <v>126</v>
      </c>
      <c r="F2379" s="42" t="s">
        <v>38</v>
      </c>
    </row>
    <row r="2380" spans="1:6">
      <c r="A2380" s="39">
        <v>45991</v>
      </c>
      <c r="B2380" s="40" t="s">
        <v>452</v>
      </c>
      <c r="C2380" s="40" t="s">
        <v>41</v>
      </c>
      <c r="D2380" s="41">
        <v>-60</v>
      </c>
      <c r="E2380" s="43" t="s">
        <v>697</v>
      </c>
      <c r="F2380" s="42" t="s">
        <v>38</v>
      </c>
    </row>
    <row r="2381" spans="1:6">
      <c r="A2381" s="39">
        <v>45992</v>
      </c>
      <c r="B2381" s="40" t="s">
        <v>446</v>
      </c>
      <c r="C2381" s="40" t="s">
        <v>54</v>
      </c>
      <c r="D2381" s="41">
        <v>-57.71</v>
      </c>
      <c r="E2381" s="43" t="s">
        <v>123</v>
      </c>
      <c r="F2381" s="42" t="s">
        <v>1</v>
      </c>
    </row>
    <row r="2382" spans="1:6">
      <c r="A2382" s="39">
        <v>45992</v>
      </c>
      <c r="B2382" s="40" t="s">
        <v>452</v>
      </c>
      <c r="C2382" s="40" t="s">
        <v>41</v>
      </c>
      <c r="D2382" s="41">
        <v>-10.4</v>
      </c>
      <c r="E2382" s="43" t="s">
        <v>698</v>
      </c>
      <c r="F2382" s="42" t="s">
        <v>38</v>
      </c>
    </row>
    <row r="2383" spans="1:6">
      <c r="A2383" s="39">
        <v>45992</v>
      </c>
      <c r="B2383" s="40" t="s">
        <v>450</v>
      </c>
      <c r="C2383" s="40" t="s">
        <v>34</v>
      </c>
      <c r="D2383" s="41">
        <v>0.1</v>
      </c>
      <c r="E2383" s="43"/>
      <c r="F2383" s="42" t="s">
        <v>1</v>
      </c>
    </row>
    <row r="2384" spans="1:6">
      <c r="A2384" s="39">
        <v>45992</v>
      </c>
      <c r="B2384" s="40" t="s">
        <v>504</v>
      </c>
      <c r="C2384" s="40" t="s">
        <v>34</v>
      </c>
      <c r="D2384" s="41">
        <v>52.42</v>
      </c>
      <c r="E2384" s="43" t="s">
        <v>49</v>
      </c>
      <c r="F2384" s="42" t="s">
        <v>1</v>
      </c>
    </row>
    <row r="2385" spans="1:6">
      <c r="A2385" s="39">
        <v>45992</v>
      </c>
      <c r="B2385" s="40" t="s">
        <v>256</v>
      </c>
      <c r="C2385" s="40" t="s">
        <v>34</v>
      </c>
      <c r="D2385" s="41">
        <v>43.11</v>
      </c>
      <c r="E2385" s="43" t="s">
        <v>49</v>
      </c>
      <c r="F2385" s="42" t="s">
        <v>1</v>
      </c>
    </row>
    <row r="2386" spans="1:6">
      <c r="A2386" s="39">
        <v>45992</v>
      </c>
      <c r="B2386" s="40" t="s">
        <v>481</v>
      </c>
      <c r="C2386" s="40" t="s">
        <v>46</v>
      </c>
      <c r="D2386" s="41">
        <v>-205.56</v>
      </c>
      <c r="E2386" s="43" t="str">
        <f>C2386</f>
        <v>Traspaso</v>
      </c>
      <c r="F2386" s="42" t="s">
        <v>0</v>
      </c>
    </row>
    <row r="2387" spans="1:6">
      <c r="A2387" s="39">
        <f>A2386</f>
        <v>45992</v>
      </c>
      <c r="B2387" s="40" t="s">
        <v>116</v>
      </c>
      <c r="C2387" s="40" t="s">
        <v>46</v>
      </c>
      <c r="D2387" s="41">
        <v>205.56</v>
      </c>
      <c r="E2387" s="43" t="str">
        <f>C2387</f>
        <v>Traspaso</v>
      </c>
      <c r="F2387" s="42" t="s">
        <v>0</v>
      </c>
    </row>
    <row r="2388" spans="1:6">
      <c r="A2388" s="39">
        <f>A2387</f>
        <v>45992</v>
      </c>
      <c r="B2388" s="40" t="s">
        <v>239</v>
      </c>
      <c r="C2388" s="40" t="s">
        <v>34</v>
      </c>
      <c r="D2388" s="41">
        <v>0.06</v>
      </c>
      <c r="E2388" s="43" t="str">
        <f>C2388</f>
        <v>Intereses</v>
      </c>
      <c r="F2388" s="42" t="s">
        <v>0</v>
      </c>
    </row>
    <row r="2389" spans="1:6">
      <c r="A2389" s="39">
        <f>A2388</f>
        <v>45992</v>
      </c>
      <c r="B2389" s="40" t="s">
        <v>116</v>
      </c>
      <c r="C2389" s="40" t="s">
        <v>34</v>
      </c>
      <c r="D2389" s="41">
        <v>3.33</v>
      </c>
      <c r="E2389" s="43" t="str">
        <f>C2389</f>
        <v>Intereses</v>
      </c>
      <c r="F2389" s="42" t="s">
        <v>0</v>
      </c>
    </row>
    <row r="2390" spans="1:6">
      <c r="A2390" s="39">
        <f>A2389</f>
        <v>45992</v>
      </c>
      <c r="B2390" s="40" t="s">
        <v>673</v>
      </c>
      <c r="C2390" s="40" t="s">
        <v>36</v>
      </c>
      <c r="D2390" s="41">
        <v>-78.150000000000006</v>
      </c>
      <c r="E2390" s="43" t="str">
        <f>C2390</f>
        <v>Comida</v>
      </c>
      <c r="F2390" s="42" t="s">
        <v>38</v>
      </c>
    </row>
    <row r="2391" spans="1:6">
      <c r="A2391" s="39">
        <f>A2390</f>
        <v>45992</v>
      </c>
      <c r="B2391" s="40" t="s">
        <v>454</v>
      </c>
      <c r="C2391" s="40" t="s">
        <v>39</v>
      </c>
      <c r="D2391" s="41">
        <v>800</v>
      </c>
      <c r="E2391" s="43" t="s">
        <v>699</v>
      </c>
      <c r="F2391" s="42" t="s">
        <v>0</v>
      </c>
    </row>
    <row r="2392" spans="1:6">
      <c r="A2392" s="39">
        <f>A2391</f>
        <v>45992</v>
      </c>
      <c r="B2392" s="40" t="s">
        <v>673</v>
      </c>
      <c r="C2392" s="40" t="s">
        <v>43</v>
      </c>
      <c r="D2392" s="41">
        <v>-35.880000000000003</v>
      </c>
      <c r="E2392" s="43" t="s">
        <v>498</v>
      </c>
      <c r="F2392" s="42" t="s">
        <v>0</v>
      </c>
    </row>
    <row r="2393" spans="1:6">
      <c r="A2393" s="39">
        <v>45993</v>
      </c>
      <c r="B2393" s="40" t="s">
        <v>673</v>
      </c>
      <c r="C2393" s="40" t="s">
        <v>41</v>
      </c>
      <c r="D2393" s="41">
        <v>-1.3</v>
      </c>
      <c r="E2393" s="43" t="s">
        <v>467</v>
      </c>
      <c r="F2393" s="42" t="s">
        <v>0</v>
      </c>
    </row>
    <row r="2394" spans="1:6">
      <c r="A2394" s="39">
        <f>A2393</f>
        <v>45993</v>
      </c>
      <c r="B2394" s="40" t="s">
        <v>673</v>
      </c>
      <c r="C2394" s="40" t="s">
        <v>62</v>
      </c>
      <c r="D2394" s="41">
        <v>-4</v>
      </c>
      <c r="E2394" s="43" t="s">
        <v>460</v>
      </c>
      <c r="F2394" s="42" t="s">
        <v>38</v>
      </c>
    </row>
    <row r="2395" spans="1:6">
      <c r="A2395" s="39">
        <f>A2394</f>
        <v>45993</v>
      </c>
      <c r="B2395" s="40" t="s">
        <v>673</v>
      </c>
      <c r="C2395" s="40" t="s">
        <v>58</v>
      </c>
      <c r="D2395" s="41">
        <v>-10.039999999999999</v>
      </c>
      <c r="E2395" s="43" t="s">
        <v>700</v>
      </c>
      <c r="F2395" s="42" t="s">
        <v>0</v>
      </c>
    </row>
    <row r="2396" spans="1:6">
      <c r="A2396" s="39">
        <v>45993</v>
      </c>
      <c r="B2396" s="40" t="s">
        <v>116</v>
      </c>
      <c r="C2396" s="40" t="s">
        <v>46</v>
      </c>
      <c r="D2396" s="41">
        <v>-99.91</v>
      </c>
      <c r="E2396" s="43" t="str">
        <f>C2396</f>
        <v>Traspaso</v>
      </c>
      <c r="F2396" s="42" t="s">
        <v>0</v>
      </c>
    </row>
    <row r="2397" spans="1:6">
      <c r="A2397" s="39">
        <f>A2396</f>
        <v>45993</v>
      </c>
      <c r="B2397" s="40" t="s">
        <v>679</v>
      </c>
      <c r="C2397" s="40" t="s">
        <v>46</v>
      </c>
      <c r="D2397" s="41">
        <v>99.91</v>
      </c>
      <c r="E2397" s="43" t="str">
        <f>C2397</f>
        <v>Traspaso</v>
      </c>
      <c r="F2397" s="42" t="s">
        <v>0</v>
      </c>
    </row>
    <row r="2398" spans="1:6">
      <c r="A2398" s="39">
        <v>45993</v>
      </c>
      <c r="B2398" s="40" t="s">
        <v>116</v>
      </c>
      <c r="C2398" s="40" t="s">
        <v>46</v>
      </c>
      <c r="D2398" s="41">
        <v>-100</v>
      </c>
      <c r="E2398" s="43" t="str">
        <f>C2398</f>
        <v>Traspaso</v>
      </c>
      <c r="F2398" s="42" t="s">
        <v>0</v>
      </c>
    </row>
    <row r="2399" spans="1:6">
      <c r="A2399" s="39">
        <f>A2398</f>
        <v>45993</v>
      </c>
      <c r="B2399" s="40" t="s">
        <v>485</v>
      </c>
      <c r="C2399" s="40" t="s">
        <v>46</v>
      </c>
      <c r="D2399" s="41">
        <v>100</v>
      </c>
      <c r="E2399" s="43" t="str">
        <f>C2399</f>
        <v>Traspaso</v>
      </c>
      <c r="F2399" s="42" t="s">
        <v>0</v>
      </c>
    </row>
    <row r="2400" spans="1:6">
      <c r="A2400" s="39">
        <f>A2397</f>
        <v>45993</v>
      </c>
      <c r="B2400" s="40" t="s">
        <v>673</v>
      </c>
      <c r="C2400" s="40" t="s">
        <v>43</v>
      </c>
      <c r="D2400" s="41">
        <v>-100</v>
      </c>
      <c r="E2400" s="43" t="s">
        <v>456</v>
      </c>
      <c r="F2400" s="42" t="s">
        <v>38</v>
      </c>
    </row>
    <row r="2401" spans="1:6">
      <c r="A2401" s="39">
        <f>A2398</f>
        <v>45993</v>
      </c>
      <c r="B2401" s="40" t="s">
        <v>504</v>
      </c>
      <c r="C2401" s="40" t="s">
        <v>46</v>
      </c>
      <c r="D2401" s="41">
        <v>-70</v>
      </c>
      <c r="E2401" s="43" t="s">
        <v>46</v>
      </c>
      <c r="F2401" s="42" t="s">
        <v>1</v>
      </c>
    </row>
    <row r="2402" spans="1:6">
      <c r="A2402" s="39">
        <f>A2399</f>
        <v>45993</v>
      </c>
      <c r="B2402" s="40" t="s">
        <v>201</v>
      </c>
      <c r="C2402" s="40" t="s">
        <v>46</v>
      </c>
      <c r="D2402" s="41">
        <v>70</v>
      </c>
      <c r="E2402" s="43" t="s">
        <v>46</v>
      </c>
      <c r="F2402" s="42" t="s">
        <v>1</v>
      </c>
    </row>
    <row r="2403" spans="1:6">
      <c r="A2403" s="39">
        <f>A2400</f>
        <v>45993</v>
      </c>
      <c r="B2403" s="40" t="s">
        <v>446</v>
      </c>
      <c r="C2403" s="40" t="s">
        <v>461</v>
      </c>
      <c r="D2403" s="41">
        <v>-10.48</v>
      </c>
      <c r="E2403" s="43" t="s">
        <v>80</v>
      </c>
      <c r="F2403" s="42" t="s">
        <v>1</v>
      </c>
    </row>
    <row r="2404" spans="1:6">
      <c r="A2404" s="39">
        <f>A2403</f>
        <v>45993</v>
      </c>
      <c r="B2404" s="40" t="s">
        <v>452</v>
      </c>
      <c r="C2404" s="40" t="s">
        <v>461</v>
      </c>
      <c r="D2404" s="41">
        <v>-36</v>
      </c>
      <c r="E2404" s="43" t="s">
        <v>528</v>
      </c>
      <c r="F2404" s="42" t="s">
        <v>38</v>
      </c>
    </row>
    <row r="2405" spans="1:6">
      <c r="A2405" s="39">
        <f>A2404</f>
        <v>45993</v>
      </c>
      <c r="B2405" s="40" t="s">
        <v>450</v>
      </c>
      <c r="C2405" s="40" t="s">
        <v>463</v>
      </c>
      <c r="D2405" s="41">
        <v>2</v>
      </c>
      <c r="E2405" s="43" t="s">
        <v>701</v>
      </c>
      <c r="F2405" s="42" t="s">
        <v>1</v>
      </c>
    </row>
    <row r="2406" spans="1:6">
      <c r="A2406" s="39">
        <v>45994</v>
      </c>
      <c r="B2406" s="40" t="s">
        <v>446</v>
      </c>
      <c r="C2406" s="40" t="s">
        <v>52</v>
      </c>
      <c r="D2406" s="41">
        <v>-74</v>
      </c>
      <c r="E2406" s="43" t="s">
        <v>130</v>
      </c>
      <c r="F2406" s="42" t="s">
        <v>38</v>
      </c>
    </row>
    <row r="2407" spans="1:6">
      <c r="A2407" s="39">
        <v>45994</v>
      </c>
      <c r="B2407" s="40" t="s">
        <v>452</v>
      </c>
      <c r="C2407" s="40" t="s">
        <v>36</v>
      </c>
      <c r="D2407" s="41">
        <v>-6</v>
      </c>
      <c r="E2407" s="43" t="s">
        <v>69</v>
      </c>
      <c r="F2407" s="42" t="s">
        <v>38</v>
      </c>
    </row>
    <row r="2408" spans="1:6">
      <c r="A2408" s="39">
        <v>45994</v>
      </c>
      <c r="B2408" s="40" t="s">
        <v>452</v>
      </c>
      <c r="C2408" s="40" t="s">
        <v>36</v>
      </c>
      <c r="D2408" s="41">
        <v>-10.32</v>
      </c>
      <c r="E2408" s="43" t="s">
        <v>702</v>
      </c>
      <c r="F2408" s="42" t="s">
        <v>38</v>
      </c>
    </row>
    <row r="2409" spans="1:6">
      <c r="A2409" s="39">
        <v>45994</v>
      </c>
      <c r="B2409" s="40" t="s">
        <v>452</v>
      </c>
      <c r="C2409" s="40" t="s">
        <v>76</v>
      </c>
      <c r="D2409" s="41">
        <v>-14</v>
      </c>
      <c r="E2409" s="43" t="s">
        <v>703</v>
      </c>
      <c r="F2409" s="42" t="s">
        <v>1</v>
      </c>
    </row>
    <row r="2410" spans="1:6">
      <c r="A2410" s="39">
        <v>45994</v>
      </c>
      <c r="B2410" s="40" t="s">
        <v>452</v>
      </c>
      <c r="C2410" s="40" t="s">
        <v>50</v>
      </c>
      <c r="D2410" s="41">
        <v>500</v>
      </c>
      <c r="E2410" s="43" t="s">
        <v>302</v>
      </c>
      <c r="F2410" s="42" t="s">
        <v>1</v>
      </c>
    </row>
    <row r="2411" spans="1:6">
      <c r="A2411" s="39">
        <v>45994</v>
      </c>
      <c r="B2411" s="40" t="s">
        <v>448</v>
      </c>
      <c r="C2411" s="40" t="s">
        <v>41</v>
      </c>
      <c r="D2411" s="41">
        <v>-170</v>
      </c>
      <c r="E2411" s="43" t="s">
        <v>704</v>
      </c>
      <c r="F2411" s="42" t="s">
        <v>1</v>
      </c>
    </row>
    <row r="2412" spans="1:6">
      <c r="A2412" s="39">
        <v>45994</v>
      </c>
      <c r="B2412" s="40" t="s">
        <v>673</v>
      </c>
      <c r="C2412" s="40" t="s">
        <v>41</v>
      </c>
      <c r="D2412" s="41">
        <v>-1.3</v>
      </c>
      <c r="E2412" s="43" t="s">
        <v>467</v>
      </c>
      <c r="F2412" s="42" t="s">
        <v>0</v>
      </c>
    </row>
    <row r="2413" spans="1:6">
      <c r="A2413" s="39">
        <f>A2412</f>
        <v>45994</v>
      </c>
      <c r="B2413" s="40" t="s">
        <v>454</v>
      </c>
      <c r="C2413" s="40" t="s">
        <v>34</v>
      </c>
      <c r="D2413" s="41">
        <f>0.58-0.11</f>
        <v>0.47</v>
      </c>
      <c r="E2413" s="43" t="str">
        <f>C2413</f>
        <v>Intereses</v>
      </c>
      <c r="F2413" s="42" t="s">
        <v>0</v>
      </c>
    </row>
    <row r="2414" spans="1:6">
      <c r="A2414" s="39">
        <f>A2413</f>
        <v>45994</v>
      </c>
      <c r="B2414" s="40" t="s">
        <v>471</v>
      </c>
      <c r="C2414" s="40" t="s">
        <v>47</v>
      </c>
      <c r="D2414" s="41">
        <v>-76.78</v>
      </c>
      <c r="E2414" s="43" t="s">
        <v>646</v>
      </c>
      <c r="F2414" s="42" t="s">
        <v>0</v>
      </c>
    </row>
    <row r="2415" spans="1:6">
      <c r="A2415" s="39">
        <v>45995</v>
      </c>
      <c r="B2415" s="40" t="s">
        <v>673</v>
      </c>
      <c r="C2415" s="40" t="s">
        <v>41</v>
      </c>
      <c r="D2415" s="41">
        <v>-1.3</v>
      </c>
      <c r="E2415" s="43" t="s">
        <v>467</v>
      </c>
      <c r="F2415" s="42" t="s">
        <v>0</v>
      </c>
    </row>
    <row r="2416" spans="1:6">
      <c r="A2416" s="39">
        <f>A2415</f>
        <v>45995</v>
      </c>
      <c r="B2416" s="40" t="s">
        <v>454</v>
      </c>
      <c r="C2416" s="40" t="s">
        <v>46</v>
      </c>
      <c r="D2416" s="41">
        <v>-175</v>
      </c>
      <c r="E2416" s="43" t="str">
        <f>C2416</f>
        <v>Traspaso</v>
      </c>
      <c r="F2416" s="42" t="s">
        <v>0</v>
      </c>
    </row>
    <row r="2417" spans="1:6">
      <c r="A2417" s="39">
        <f>A2416</f>
        <v>45995</v>
      </c>
      <c r="B2417" s="40" t="s">
        <v>471</v>
      </c>
      <c r="C2417" s="40" t="s">
        <v>46</v>
      </c>
      <c r="D2417" s="41">
        <v>175</v>
      </c>
      <c r="E2417" s="43" t="str">
        <f>C2417</f>
        <v>Traspaso</v>
      </c>
      <c r="F2417" s="42" t="s">
        <v>0</v>
      </c>
    </row>
    <row r="2418" spans="1:6">
      <c r="A2418" s="39">
        <f>A2417</f>
        <v>45995</v>
      </c>
      <c r="B2418" s="40" t="s">
        <v>452</v>
      </c>
      <c r="C2418" s="40" t="s">
        <v>105</v>
      </c>
      <c r="D2418" s="41">
        <v>-25</v>
      </c>
      <c r="E2418" s="43" t="s">
        <v>705</v>
      </c>
      <c r="F2418" s="42" t="s">
        <v>1</v>
      </c>
    </row>
    <row r="2419" spans="1:6">
      <c r="A2419" s="39">
        <f>A2418</f>
        <v>45995</v>
      </c>
      <c r="B2419" s="40" t="s">
        <v>452</v>
      </c>
      <c r="C2419" s="40" t="s">
        <v>105</v>
      </c>
      <c r="D2419" s="41">
        <v>-280</v>
      </c>
      <c r="E2419" s="43" t="s">
        <v>706</v>
      </c>
      <c r="F2419" s="42" t="s">
        <v>1</v>
      </c>
    </row>
    <row r="2420" spans="1:6">
      <c r="A2420" s="39">
        <v>45996</v>
      </c>
      <c r="B2420" s="40" t="s">
        <v>504</v>
      </c>
      <c r="C2420" s="40" t="s">
        <v>47</v>
      </c>
      <c r="D2420" s="41">
        <v>76.78</v>
      </c>
      <c r="E2420" s="43" t="s">
        <v>707</v>
      </c>
      <c r="F2420" s="42" t="s">
        <v>1</v>
      </c>
    </row>
    <row r="2421" spans="1:6">
      <c r="A2421" s="39">
        <v>45996</v>
      </c>
      <c r="B2421" s="40" t="s">
        <v>446</v>
      </c>
      <c r="C2421" s="40" t="s">
        <v>60</v>
      </c>
      <c r="D2421" s="41">
        <v>-21</v>
      </c>
      <c r="E2421" s="43" t="s">
        <v>68</v>
      </c>
      <c r="F2421" s="42" t="s">
        <v>1</v>
      </c>
    </row>
    <row r="2422" spans="1:6">
      <c r="A2422" s="39">
        <v>45996</v>
      </c>
      <c r="B2422" s="40" t="s">
        <v>446</v>
      </c>
      <c r="C2422" s="40" t="s">
        <v>58</v>
      </c>
      <c r="D2422" s="41">
        <v>-246.52</v>
      </c>
      <c r="E2422" s="43" t="s">
        <v>708</v>
      </c>
      <c r="F2422" s="42" t="s">
        <v>38</v>
      </c>
    </row>
    <row r="2423" spans="1:6">
      <c r="A2423" s="39">
        <v>45996</v>
      </c>
      <c r="B2423" s="40" t="s">
        <v>445</v>
      </c>
      <c r="C2423" s="40" t="s">
        <v>36</v>
      </c>
      <c r="D2423" s="41">
        <v>-13.41</v>
      </c>
      <c r="E2423" s="43" t="s">
        <v>143</v>
      </c>
      <c r="F2423" s="42" t="s">
        <v>38</v>
      </c>
    </row>
    <row r="2424" spans="1:6">
      <c r="A2424" s="39">
        <v>45996</v>
      </c>
      <c r="B2424" s="40" t="s">
        <v>445</v>
      </c>
      <c r="C2424" s="40" t="s">
        <v>50</v>
      </c>
      <c r="D2424" s="41">
        <v>-29.99</v>
      </c>
      <c r="E2424" s="43" t="s">
        <v>709</v>
      </c>
      <c r="F2424" s="42" t="s">
        <v>1</v>
      </c>
    </row>
    <row r="2425" spans="1:6">
      <c r="A2425" s="39">
        <v>45996</v>
      </c>
      <c r="B2425" s="40" t="s">
        <v>445</v>
      </c>
      <c r="C2425" s="40" t="s">
        <v>60</v>
      </c>
      <c r="D2425" s="41">
        <v>-59.98</v>
      </c>
      <c r="E2425" s="43" t="s">
        <v>710</v>
      </c>
      <c r="F2425" s="42" t="s">
        <v>38</v>
      </c>
    </row>
    <row r="2426" spans="1:6">
      <c r="A2426" s="39">
        <v>45996</v>
      </c>
      <c r="B2426" s="40" t="s">
        <v>673</v>
      </c>
      <c r="C2426" s="40" t="s">
        <v>41</v>
      </c>
      <c r="D2426" s="41">
        <v>-1.3</v>
      </c>
      <c r="E2426" s="43" t="s">
        <v>467</v>
      </c>
      <c r="F2426" s="42" t="s">
        <v>0</v>
      </c>
    </row>
    <row r="2427" spans="1:6">
      <c r="A2427" s="39">
        <f>A2426</f>
        <v>45996</v>
      </c>
      <c r="B2427" s="40" t="s">
        <v>673</v>
      </c>
      <c r="C2427" s="40" t="s">
        <v>58</v>
      </c>
      <c r="D2427" s="41">
        <v>-11.62</v>
      </c>
      <c r="E2427" s="43" t="s">
        <v>711</v>
      </c>
      <c r="F2427" s="42" t="s">
        <v>38</v>
      </c>
    </row>
    <row r="2428" spans="1:6">
      <c r="A2428" s="39">
        <f>A2427</f>
        <v>45996</v>
      </c>
      <c r="B2428" s="40" t="s">
        <v>471</v>
      </c>
      <c r="C2428" s="40" t="s">
        <v>34</v>
      </c>
      <c r="D2428" s="41">
        <v>-2.67</v>
      </c>
      <c r="E2428" s="43" t="s">
        <v>712</v>
      </c>
      <c r="F2428" s="42" t="s">
        <v>0</v>
      </c>
    </row>
    <row r="2429" spans="1:6">
      <c r="A2429" s="39">
        <v>45997</v>
      </c>
      <c r="B2429" s="40" t="s">
        <v>256</v>
      </c>
      <c r="C2429" s="40" t="s">
        <v>461</v>
      </c>
      <c r="D2429" s="41">
        <v>-5</v>
      </c>
      <c r="E2429" s="43" t="s">
        <v>713</v>
      </c>
      <c r="F2429" s="42" t="s">
        <v>1</v>
      </c>
    </row>
    <row r="2430" spans="1:6">
      <c r="A2430" s="39">
        <f>A2429</f>
        <v>45997</v>
      </c>
      <c r="B2430" s="40" t="s">
        <v>452</v>
      </c>
      <c r="C2430" s="40" t="s">
        <v>41</v>
      </c>
      <c r="D2430" s="41">
        <v>-76.5</v>
      </c>
      <c r="E2430" s="43" t="s">
        <v>714</v>
      </c>
      <c r="F2430" s="42" t="s">
        <v>38</v>
      </c>
    </row>
    <row r="2431" spans="1:6">
      <c r="A2431" s="39">
        <v>45997</v>
      </c>
      <c r="B2431" s="40" t="s">
        <v>673</v>
      </c>
      <c r="C2431" s="40" t="s">
        <v>36</v>
      </c>
      <c r="D2431" s="41">
        <v>-102.28</v>
      </c>
      <c r="E2431" s="43" t="s">
        <v>295</v>
      </c>
      <c r="F2431" s="42" t="s">
        <v>38</v>
      </c>
    </row>
    <row r="2432" spans="1:6">
      <c r="A2432" s="39">
        <v>45998</v>
      </c>
      <c r="B2432" s="40" t="s">
        <v>116</v>
      </c>
      <c r="C2432" s="40" t="s">
        <v>46</v>
      </c>
      <c r="D2432" s="41">
        <v>-1000</v>
      </c>
      <c r="E2432" s="43" t="s">
        <v>46</v>
      </c>
      <c r="F2432" s="42" t="s">
        <v>0</v>
      </c>
    </row>
    <row r="2433" spans="1:6">
      <c r="A2433" s="39">
        <v>45998</v>
      </c>
      <c r="B2433" s="40" t="s">
        <v>663</v>
      </c>
      <c r="C2433" s="40" t="s">
        <v>46</v>
      </c>
      <c r="D2433" s="41">
        <v>1000</v>
      </c>
      <c r="E2433" s="43" t="s">
        <v>46</v>
      </c>
      <c r="F2433" s="42" t="s">
        <v>0</v>
      </c>
    </row>
    <row r="2434" spans="1:6">
      <c r="A2434" s="39">
        <v>45998</v>
      </c>
      <c r="B2434" s="40" t="s">
        <v>508</v>
      </c>
      <c r="C2434" s="40" t="s">
        <v>46</v>
      </c>
      <c r="D2434" s="41">
        <v>-14888</v>
      </c>
      <c r="E2434" s="43" t="s">
        <v>46</v>
      </c>
      <c r="F2434" s="42" t="s">
        <v>0</v>
      </c>
    </row>
    <row r="2435" spans="1:6">
      <c r="A2435" s="39">
        <v>45998</v>
      </c>
      <c r="B2435" s="40" t="s">
        <v>715</v>
      </c>
      <c r="C2435" s="40" t="s">
        <v>46</v>
      </c>
      <c r="D2435" s="41">
        <v>14888</v>
      </c>
      <c r="E2435" s="43" t="s">
        <v>46</v>
      </c>
      <c r="F2435" s="42" t="s">
        <v>0</v>
      </c>
    </row>
    <row r="2436" spans="1:6">
      <c r="A2436" s="39">
        <v>45998</v>
      </c>
      <c r="B2436" s="40" t="s">
        <v>673</v>
      </c>
      <c r="C2436" s="40" t="s">
        <v>58</v>
      </c>
      <c r="D2436" s="41">
        <v>-7.47</v>
      </c>
      <c r="E2436" s="43" t="s">
        <v>539</v>
      </c>
      <c r="F2436" s="42" t="s">
        <v>38</v>
      </c>
    </row>
    <row r="2437" spans="1:6">
      <c r="A2437" s="39">
        <v>45998</v>
      </c>
      <c r="B2437" s="40" t="s">
        <v>603</v>
      </c>
      <c r="C2437" s="40" t="s">
        <v>46</v>
      </c>
      <c r="D2437" s="41">
        <v>-2130</v>
      </c>
      <c r="E2437" s="43" t="s">
        <v>46</v>
      </c>
      <c r="F2437" s="42" t="s">
        <v>0</v>
      </c>
    </row>
    <row r="2438" spans="1:6">
      <c r="A2438" s="39">
        <v>45998</v>
      </c>
      <c r="B2438" s="40" t="s">
        <v>715</v>
      </c>
      <c r="C2438" s="40" t="s">
        <v>46</v>
      </c>
      <c r="D2438" s="41">
        <v>2130</v>
      </c>
      <c r="E2438" s="43" t="s">
        <v>46</v>
      </c>
      <c r="F2438" s="42" t="s">
        <v>0</v>
      </c>
    </row>
    <row r="2439" spans="1:6">
      <c r="A2439" s="39">
        <v>45999</v>
      </c>
      <c r="B2439" s="40" t="s">
        <v>445</v>
      </c>
      <c r="C2439" s="40" t="s">
        <v>36</v>
      </c>
      <c r="D2439" s="41">
        <v>-7.32</v>
      </c>
      <c r="E2439" s="43" t="s">
        <v>133</v>
      </c>
      <c r="F2439" s="42" t="s">
        <v>38</v>
      </c>
    </row>
    <row r="2440" spans="1:6">
      <c r="A2440" s="39">
        <f>A2439</f>
        <v>45999</v>
      </c>
      <c r="B2440" s="40" t="s">
        <v>452</v>
      </c>
      <c r="C2440" s="40" t="s">
        <v>50</v>
      </c>
      <c r="D2440" s="41">
        <v>-9.9499999999999993</v>
      </c>
      <c r="E2440" s="43" t="s">
        <v>716</v>
      </c>
      <c r="F2440" s="42" t="s">
        <v>1</v>
      </c>
    </row>
    <row r="2441" spans="1:6">
      <c r="A2441" s="39">
        <f>A2440</f>
        <v>45999</v>
      </c>
      <c r="B2441" s="40" t="s">
        <v>450</v>
      </c>
      <c r="C2441" s="40" t="s">
        <v>463</v>
      </c>
      <c r="D2441" s="41">
        <v>10</v>
      </c>
      <c r="E2441" s="43" t="s">
        <v>717</v>
      </c>
      <c r="F2441" s="42" t="s">
        <v>1</v>
      </c>
    </row>
    <row r="2442" spans="1:6">
      <c r="A2442" s="39">
        <v>46000</v>
      </c>
      <c r="B2442" s="40" t="s">
        <v>445</v>
      </c>
      <c r="C2442" s="40" t="s">
        <v>36</v>
      </c>
      <c r="D2442" s="41">
        <v>-5.81</v>
      </c>
      <c r="E2442" s="43" t="s">
        <v>143</v>
      </c>
      <c r="F2442" s="42" t="s">
        <v>38</v>
      </c>
    </row>
    <row r="2443" spans="1:6">
      <c r="A2443" s="39">
        <f>A2442</f>
        <v>46000</v>
      </c>
      <c r="B2443" s="40" t="s">
        <v>450</v>
      </c>
      <c r="C2443" s="40" t="s">
        <v>463</v>
      </c>
      <c r="D2443" s="41">
        <v>40</v>
      </c>
      <c r="E2443" s="43" t="s">
        <v>718</v>
      </c>
      <c r="F2443" s="42" t="s">
        <v>1</v>
      </c>
    </row>
    <row r="2444" spans="1:6">
      <c r="A2444" s="39">
        <f>A2443</f>
        <v>46000</v>
      </c>
      <c r="B2444" s="40" t="s">
        <v>116</v>
      </c>
      <c r="C2444" s="40" t="s">
        <v>46</v>
      </c>
      <c r="D2444" s="41">
        <v>-100</v>
      </c>
      <c r="E2444" s="43" t="str">
        <f>C2444</f>
        <v>Traspaso</v>
      </c>
      <c r="F2444" s="42" t="s">
        <v>0</v>
      </c>
    </row>
    <row r="2445" spans="1:6">
      <c r="A2445" s="39">
        <f>A2444</f>
        <v>46000</v>
      </c>
      <c r="B2445" s="40" t="s">
        <v>485</v>
      </c>
      <c r="C2445" s="40" t="s">
        <v>46</v>
      </c>
      <c r="D2445" s="41">
        <v>100</v>
      </c>
      <c r="E2445" s="43" t="str">
        <f>C2445</f>
        <v>Traspaso</v>
      </c>
      <c r="F2445" s="42" t="s">
        <v>0</v>
      </c>
    </row>
    <row r="2446" spans="1:6">
      <c r="A2446" s="39">
        <f>A2445</f>
        <v>46000</v>
      </c>
      <c r="B2446" s="40" t="s">
        <v>116</v>
      </c>
      <c r="C2446" s="40" t="s">
        <v>46</v>
      </c>
      <c r="D2446" s="41">
        <v>-100</v>
      </c>
      <c r="E2446" s="43" t="str">
        <f>C2446</f>
        <v>Traspaso</v>
      </c>
      <c r="F2446" s="42" t="s">
        <v>0</v>
      </c>
    </row>
    <row r="2447" spans="1:6">
      <c r="A2447" s="39">
        <f>A2446</f>
        <v>46000</v>
      </c>
      <c r="B2447" s="40" t="s">
        <v>679</v>
      </c>
      <c r="C2447" s="40" t="s">
        <v>46</v>
      </c>
      <c r="D2447" s="41">
        <v>100</v>
      </c>
      <c r="E2447" s="43" t="str">
        <f>C2447</f>
        <v>Traspaso</v>
      </c>
      <c r="F2447" s="42" t="s">
        <v>0</v>
      </c>
    </row>
    <row r="2448" spans="1:6">
      <c r="A2448" s="39">
        <f>A2447</f>
        <v>46000</v>
      </c>
      <c r="B2448" s="40" t="s">
        <v>454</v>
      </c>
      <c r="C2448" s="40" t="s">
        <v>46</v>
      </c>
      <c r="D2448" s="41">
        <v>-200</v>
      </c>
      <c r="E2448" s="43" t="str">
        <f>C2448</f>
        <v>Traspaso</v>
      </c>
      <c r="F2448" s="42" t="s">
        <v>0</v>
      </c>
    </row>
    <row r="2449" spans="1:6">
      <c r="A2449" s="39">
        <f>A2448</f>
        <v>46000</v>
      </c>
      <c r="B2449" s="40" t="s">
        <v>472</v>
      </c>
      <c r="C2449" s="40" t="s">
        <v>46</v>
      </c>
      <c r="D2449" s="41">
        <v>200</v>
      </c>
      <c r="E2449" s="43" t="str">
        <f>C2449</f>
        <v>Traspaso</v>
      </c>
      <c r="F2449" s="42" t="s">
        <v>0</v>
      </c>
    </row>
    <row r="2450" spans="1:6">
      <c r="A2450" s="39">
        <f>A2449</f>
        <v>46000</v>
      </c>
      <c r="B2450" s="40" t="s">
        <v>673</v>
      </c>
      <c r="C2450" s="40" t="s">
        <v>62</v>
      </c>
      <c r="D2450" s="41">
        <v>-4</v>
      </c>
      <c r="E2450" s="43" t="s">
        <v>460</v>
      </c>
      <c r="F2450" s="42" t="s">
        <v>38</v>
      </c>
    </row>
    <row r="2451" spans="1:6">
      <c r="A2451" s="39">
        <v>46001</v>
      </c>
      <c r="B2451" s="40" t="s">
        <v>673</v>
      </c>
      <c r="C2451" s="40" t="s">
        <v>43</v>
      </c>
      <c r="D2451" s="41">
        <v>-110.07</v>
      </c>
      <c r="E2451" s="43" t="s">
        <v>498</v>
      </c>
      <c r="F2451" s="42" t="s">
        <v>0</v>
      </c>
    </row>
    <row r="2452" spans="1:6">
      <c r="A2452" s="39">
        <f>A2451</f>
        <v>46001</v>
      </c>
      <c r="B2452" s="40" t="s">
        <v>673</v>
      </c>
      <c r="C2452" s="40" t="s">
        <v>58</v>
      </c>
      <c r="D2452" s="41">
        <v>-20.97</v>
      </c>
      <c r="E2452" s="43" t="s">
        <v>719</v>
      </c>
      <c r="F2452" s="42" t="s">
        <v>38</v>
      </c>
    </row>
    <row r="2453" spans="1:6">
      <c r="A2453" s="39">
        <f>A2452</f>
        <v>46001</v>
      </c>
      <c r="B2453" s="40" t="s">
        <v>449</v>
      </c>
      <c r="C2453" s="40" t="s">
        <v>46</v>
      </c>
      <c r="D2453" s="41">
        <v>-300.72000000000003</v>
      </c>
      <c r="E2453" s="43" t="str">
        <f>C2453</f>
        <v>Traspaso</v>
      </c>
      <c r="F2453" s="42" t="s">
        <v>0</v>
      </c>
    </row>
    <row r="2454" spans="1:6">
      <c r="A2454" s="39">
        <f>A2453</f>
        <v>46001</v>
      </c>
      <c r="B2454" s="40" t="s">
        <v>673</v>
      </c>
      <c r="C2454" s="40" t="s">
        <v>46</v>
      </c>
      <c r="D2454" s="41">
        <v>300.72000000000003</v>
      </c>
      <c r="E2454" s="43" t="str">
        <f>C2454</f>
        <v>Traspaso</v>
      </c>
      <c r="F2454" s="42" t="s">
        <v>0</v>
      </c>
    </row>
    <row r="2455" spans="1:6">
      <c r="A2455" s="39">
        <f>A2454</f>
        <v>46001</v>
      </c>
      <c r="B2455" s="40" t="s">
        <v>673</v>
      </c>
      <c r="C2455" s="40" t="s">
        <v>41</v>
      </c>
      <c r="D2455" s="41">
        <v>-1.3</v>
      </c>
      <c r="E2455" s="43" t="s">
        <v>467</v>
      </c>
      <c r="F2455" s="42" t="s">
        <v>0</v>
      </c>
    </row>
    <row r="2456" spans="1:6">
      <c r="A2456" s="39">
        <v>46002</v>
      </c>
      <c r="B2456" s="40" t="s">
        <v>673</v>
      </c>
      <c r="C2456" s="40" t="s">
        <v>41</v>
      </c>
      <c r="D2456" s="41">
        <v>-1.3</v>
      </c>
      <c r="E2456" s="43" t="s">
        <v>467</v>
      </c>
      <c r="F2456" s="42" t="s">
        <v>0</v>
      </c>
    </row>
    <row r="2457" spans="1:6">
      <c r="A2457" s="39">
        <f>A2456</f>
        <v>46002</v>
      </c>
      <c r="B2457" s="40" t="s">
        <v>673</v>
      </c>
      <c r="C2457" s="40" t="s">
        <v>52</v>
      </c>
      <c r="D2457" s="41">
        <v>-6</v>
      </c>
      <c r="E2457" s="43" t="s">
        <v>455</v>
      </c>
      <c r="F2457" s="42" t="s">
        <v>0</v>
      </c>
    </row>
    <row r="2458" spans="1:6">
      <c r="A2458" s="39">
        <f>A2457</f>
        <v>46002</v>
      </c>
      <c r="B2458" s="40" t="s">
        <v>452</v>
      </c>
      <c r="C2458" s="40" t="s">
        <v>119</v>
      </c>
      <c r="D2458" s="41">
        <v>-90</v>
      </c>
      <c r="E2458" s="43" t="s">
        <v>720</v>
      </c>
      <c r="F2458" s="42" t="s">
        <v>1</v>
      </c>
    </row>
    <row r="2459" spans="1:6">
      <c r="A2459" s="39">
        <f>A2458</f>
        <v>46002</v>
      </c>
      <c r="B2459" s="40" t="s">
        <v>446</v>
      </c>
      <c r="C2459" s="40" t="s">
        <v>461</v>
      </c>
      <c r="D2459" s="41">
        <v>-151.25</v>
      </c>
      <c r="E2459" s="43" t="s">
        <v>721</v>
      </c>
      <c r="F2459" s="42" t="s">
        <v>38</v>
      </c>
    </row>
    <row r="2460" spans="1:6">
      <c r="A2460" s="39">
        <v>46003</v>
      </c>
      <c r="B2460" s="40" t="s">
        <v>673</v>
      </c>
      <c r="C2460" s="40" t="s">
        <v>41</v>
      </c>
      <c r="D2460" s="41">
        <v>-1.3</v>
      </c>
      <c r="E2460" s="43" t="s">
        <v>467</v>
      </c>
      <c r="F2460" s="42" t="s">
        <v>0</v>
      </c>
    </row>
    <row r="2461" spans="1:6">
      <c r="A2461" s="39">
        <f>A2460</f>
        <v>46003</v>
      </c>
      <c r="B2461" s="40" t="s">
        <v>454</v>
      </c>
      <c r="C2461" s="40" t="s">
        <v>166</v>
      </c>
      <c r="D2461" s="41">
        <v>-76.5</v>
      </c>
      <c r="E2461" s="43" t="str">
        <f>C2461</f>
        <v>Gas</v>
      </c>
      <c r="F2461" s="42" t="s">
        <v>38</v>
      </c>
    </row>
    <row r="2462" spans="1:6">
      <c r="A2462" s="39">
        <v>46003</v>
      </c>
      <c r="B2462" s="40" t="s">
        <v>449</v>
      </c>
      <c r="C2462" s="40" t="s">
        <v>34</v>
      </c>
      <c r="D2462" s="41">
        <v>1.8</v>
      </c>
      <c r="E2462" s="43" t="s">
        <v>34</v>
      </c>
      <c r="F2462" s="42" t="s">
        <v>0</v>
      </c>
    </row>
    <row r="2463" spans="1:6">
      <c r="A2463" s="39">
        <f>A2461</f>
        <v>46003</v>
      </c>
      <c r="B2463" s="40" t="s">
        <v>454</v>
      </c>
      <c r="C2463" s="40" t="s">
        <v>46</v>
      </c>
      <c r="D2463" s="41">
        <v>-105</v>
      </c>
      <c r="E2463" s="43" t="str">
        <f>C2463</f>
        <v>Traspaso</v>
      </c>
      <c r="F2463" s="42" t="s">
        <v>0</v>
      </c>
    </row>
    <row r="2464" spans="1:6">
      <c r="A2464" s="39">
        <f>A2463</f>
        <v>46003</v>
      </c>
      <c r="B2464" s="40" t="s">
        <v>625</v>
      </c>
      <c r="C2464" s="40" t="s">
        <v>46</v>
      </c>
      <c r="D2464" s="41">
        <v>105</v>
      </c>
      <c r="E2464" s="43" t="str">
        <f>C2464</f>
        <v>Traspaso</v>
      </c>
      <c r="F2464" s="42" t="s">
        <v>0</v>
      </c>
    </row>
    <row r="2465" spans="1:6">
      <c r="A2465" s="39">
        <f>A2464</f>
        <v>46003</v>
      </c>
      <c r="B2465" s="40" t="s">
        <v>454</v>
      </c>
      <c r="C2465" s="40" t="s">
        <v>46</v>
      </c>
      <c r="D2465" s="41">
        <v>-100</v>
      </c>
      <c r="E2465" s="43" t="str">
        <f>C2465</f>
        <v>Traspaso</v>
      </c>
      <c r="F2465" s="42" t="s">
        <v>0</v>
      </c>
    </row>
    <row r="2466" spans="1:6">
      <c r="A2466" s="39">
        <f>A2465</f>
        <v>46003</v>
      </c>
      <c r="B2466" s="40" t="s">
        <v>625</v>
      </c>
      <c r="C2466" s="40" t="s">
        <v>46</v>
      </c>
      <c r="D2466" s="41">
        <v>100</v>
      </c>
      <c r="E2466" s="43" t="str">
        <f>C2466</f>
        <v>Traspaso</v>
      </c>
      <c r="F2466" s="42" t="s">
        <v>0</v>
      </c>
    </row>
    <row r="2467" spans="1:6">
      <c r="A2467" s="39">
        <f>A2466</f>
        <v>46003</v>
      </c>
      <c r="B2467" s="40" t="s">
        <v>448</v>
      </c>
      <c r="C2467" s="40" t="s">
        <v>34</v>
      </c>
      <c r="D2467" s="41">
        <v>21.79</v>
      </c>
      <c r="E2467" s="43" t="str">
        <f>C2467</f>
        <v>Intereses</v>
      </c>
      <c r="F2467" s="42" t="s">
        <v>1</v>
      </c>
    </row>
    <row r="2468" spans="1:6">
      <c r="A2468" s="39">
        <f>A2467</f>
        <v>46003</v>
      </c>
      <c r="B2468" s="40" t="s">
        <v>446</v>
      </c>
      <c r="C2468" s="40" t="s">
        <v>81</v>
      </c>
      <c r="D2468" s="41">
        <v>-35.1</v>
      </c>
      <c r="E2468" s="43" t="s">
        <v>82</v>
      </c>
      <c r="F2468" s="42" t="s">
        <v>38</v>
      </c>
    </row>
    <row r="2469" spans="1:6">
      <c r="A2469" s="39">
        <f>A2468</f>
        <v>46003</v>
      </c>
      <c r="B2469" s="40" t="s">
        <v>452</v>
      </c>
      <c r="C2469" s="40" t="s">
        <v>54</v>
      </c>
      <c r="D2469" s="41">
        <v>-3.41</v>
      </c>
      <c r="E2469" s="43" t="s">
        <v>670</v>
      </c>
      <c r="F2469" s="42" t="s">
        <v>1</v>
      </c>
    </row>
    <row r="2470" spans="1:6">
      <c r="A2470" s="39">
        <f>A2469</f>
        <v>46003</v>
      </c>
      <c r="B2470" s="40" t="s">
        <v>445</v>
      </c>
      <c r="C2470" s="40" t="s">
        <v>73</v>
      </c>
      <c r="D2470" s="41">
        <v>-33.549999999999997</v>
      </c>
      <c r="E2470" s="43" t="s">
        <v>74</v>
      </c>
      <c r="F2470" s="42" t="s">
        <v>38</v>
      </c>
    </row>
    <row r="2471" spans="1:6">
      <c r="A2471" s="39">
        <f>A2470</f>
        <v>46003</v>
      </c>
      <c r="B2471" s="40" t="s">
        <v>445</v>
      </c>
      <c r="C2471" s="40" t="s">
        <v>36</v>
      </c>
      <c r="D2471" s="41">
        <v>-13.04</v>
      </c>
      <c r="E2471" s="43" t="s">
        <v>133</v>
      </c>
      <c r="F2471" s="42" t="s">
        <v>38</v>
      </c>
    </row>
    <row r="2472" spans="1:6">
      <c r="A2472" s="39">
        <f>A2471</f>
        <v>46003</v>
      </c>
      <c r="B2472" s="40" t="s">
        <v>445</v>
      </c>
      <c r="C2472" s="40" t="s">
        <v>461</v>
      </c>
      <c r="D2472" s="41">
        <v>-19.98</v>
      </c>
      <c r="E2472" s="43" t="s">
        <v>722</v>
      </c>
      <c r="F2472" s="42" t="s">
        <v>38</v>
      </c>
    </row>
    <row r="2473" spans="1:6">
      <c r="A2473" s="39">
        <f>A2472</f>
        <v>46003</v>
      </c>
      <c r="B2473" s="40" t="s">
        <v>452</v>
      </c>
      <c r="C2473" s="40" t="s">
        <v>54</v>
      </c>
      <c r="D2473" s="41">
        <v>-70</v>
      </c>
      <c r="E2473" s="43" t="s">
        <v>580</v>
      </c>
      <c r="F2473" s="42" t="s">
        <v>1</v>
      </c>
    </row>
    <row r="2474" spans="1:6">
      <c r="A2474" s="39">
        <v>46004</v>
      </c>
      <c r="B2474" s="40" t="s">
        <v>673</v>
      </c>
      <c r="C2474" s="40" t="s">
        <v>36</v>
      </c>
      <c r="D2474" s="41">
        <v>-86.75</v>
      </c>
      <c r="E2474" s="43" t="s">
        <v>295</v>
      </c>
      <c r="F2474" s="42" t="s">
        <v>38</v>
      </c>
    </row>
    <row r="2475" spans="1:6">
      <c r="A2475" s="39">
        <v>46006</v>
      </c>
      <c r="B2475" s="40" t="s">
        <v>445</v>
      </c>
      <c r="C2475" s="40" t="s">
        <v>36</v>
      </c>
      <c r="D2475" s="41">
        <v>-6.69</v>
      </c>
      <c r="E2475" s="43" t="s">
        <v>133</v>
      </c>
      <c r="F2475" s="42" t="s">
        <v>38</v>
      </c>
    </row>
    <row r="2476" spans="1:6">
      <c r="A2476" s="39">
        <f>A2475</f>
        <v>46006</v>
      </c>
      <c r="B2476" s="40" t="s">
        <v>452</v>
      </c>
      <c r="C2476" s="40" t="s">
        <v>58</v>
      </c>
      <c r="D2476" s="41">
        <v>-150</v>
      </c>
      <c r="E2476" s="43" t="s">
        <v>723</v>
      </c>
      <c r="F2476" s="42" t="s">
        <v>38</v>
      </c>
    </row>
    <row r="2477" spans="1:6">
      <c r="A2477" s="39">
        <f>A2476</f>
        <v>46006</v>
      </c>
      <c r="B2477" s="40" t="s">
        <v>446</v>
      </c>
      <c r="C2477" s="40" t="s">
        <v>461</v>
      </c>
      <c r="D2477" s="41">
        <v>-347.94</v>
      </c>
      <c r="E2477" s="43" t="s">
        <v>724</v>
      </c>
      <c r="F2477" s="42" t="s">
        <v>38</v>
      </c>
    </row>
    <row r="2478" spans="1:6">
      <c r="A2478" s="39">
        <v>46006</v>
      </c>
      <c r="B2478" s="40" t="s">
        <v>454</v>
      </c>
      <c r="C2478" s="40" t="s">
        <v>46</v>
      </c>
      <c r="D2478" s="41">
        <v>-105</v>
      </c>
      <c r="E2478" s="43" t="str">
        <f>C2478</f>
        <v>Traspaso</v>
      </c>
      <c r="F2478" s="42" t="s">
        <v>0</v>
      </c>
    </row>
    <row r="2479" spans="1:6">
      <c r="A2479" s="39">
        <v>46006</v>
      </c>
      <c r="B2479" s="40" t="s">
        <v>542</v>
      </c>
      <c r="C2479" s="40" t="s">
        <v>46</v>
      </c>
      <c r="D2479" s="41">
        <v>105</v>
      </c>
      <c r="E2479" s="43" t="str">
        <f>C2479</f>
        <v>Traspaso</v>
      </c>
      <c r="F2479" s="42" t="s">
        <v>0</v>
      </c>
    </row>
    <row r="2480" spans="1:6">
      <c r="A2480" s="39">
        <v>46007</v>
      </c>
      <c r="B2480" s="40" t="s">
        <v>448</v>
      </c>
      <c r="C2480" s="40" t="s">
        <v>46</v>
      </c>
      <c r="D2480" s="41">
        <v>-800</v>
      </c>
      <c r="E2480" s="43" t="str">
        <f>C2480</f>
        <v>Traspaso</v>
      </c>
      <c r="F2480" s="42" t="s">
        <v>1</v>
      </c>
    </row>
    <row r="2481" spans="1:6">
      <c r="A2481" s="39">
        <f>A2480</f>
        <v>46007</v>
      </c>
      <c r="B2481" s="40" t="s">
        <v>446</v>
      </c>
      <c r="C2481" s="40" t="s">
        <v>46</v>
      </c>
      <c r="D2481" s="41">
        <v>800</v>
      </c>
      <c r="E2481" s="43" t="str">
        <f>C2481</f>
        <v>Traspaso</v>
      </c>
      <c r="F2481" s="42" t="s">
        <v>1</v>
      </c>
    </row>
    <row r="2482" spans="1:6">
      <c r="A2482" s="39">
        <f>A2481</f>
        <v>46007</v>
      </c>
      <c r="B2482" s="40" t="s">
        <v>452</v>
      </c>
      <c r="C2482" s="40" t="s">
        <v>461</v>
      </c>
      <c r="D2482" s="41">
        <v>-5</v>
      </c>
      <c r="E2482" s="43" t="s">
        <v>725</v>
      </c>
      <c r="F2482" s="42" t="s">
        <v>1</v>
      </c>
    </row>
    <row r="2483" spans="1:6">
      <c r="A2483" s="39">
        <f>A2482</f>
        <v>46007</v>
      </c>
      <c r="B2483" s="40" t="s">
        <v>256</v>
      </c>
      <c r="C2483" s="40" t="s">
        <v>54</v>
      </c>
      <c r="D2483" s="41">
        <v>-80</v>
      </c>
      <c r="E2483" s="43" t="s">
        <v>241</v>
      </c>
      <c r="F2483" s="42" t="s">
        <v>1</v>
      </c>
    </row>
    <row r="2484" spans="1:6">
      <c r="A2484" s="39">
        <f>A2483</f>
        <v>46007</v>
      </c>
      <c r="B2484" s="40" t="s">
        <v>452</v>
      </c>
      <c r="C2484" s="40" t="s">
        <v>36</v>
      </c>
      <c r="D2484" s="41">
        <v>-2.5</v>
      </c>
      <c r="E2484" s="43" t="s">
        <v>726</v>
      </c>
      <c r="F2484" s="42" t="s">
        <v>1</v>
      </c>
    </row>
    <row r="2485" spans="1:6">
      <c r="A2485" s="39">
        <v>46007</v>
      </c>
      <c r="B2485" s="40" t="s">
        <v>673</v>
      </c>
      <c r="C2485" s="40" t="s">
        <v>62</v>
      </c>
      <c r="D2485" s="41">
        <v>-4</v>
      </c>
      <c r="E2485" s="43" t="s">
        <v>460</v>
      </c>
      <c r="F2485" s="42" t="s">
        <v>0</v>
      </c>
    </row>
    <row r="2486" spans="1:6">
      <c r="A2486" s="39">
        <v>46007</v>
      </c>
      <c r="B2486" s="40" t="s">
        <v>673</v>
      </c>
      <c r="C2486" s="40" t="s">
        <v>41</v>
      </c>
      <c r="D2486" s="41">
        <v>-1.3</v>
      </c>
      <c r="E2486" s="43" t="s">
        <v>467</v>
      </c>
      <c r="F2486" s="42" t="s">
        <v>0</v>
      </c>
    </row>
    <row r="2487" spans="1:6">
      <c r="A2487" s="39">
        <v>46008</v>
      </c>
      <c r="B2487" s="40" t="s">
        <v>673</v>
      </c>
      <c r="C2487" s="40" t="s">
        <v>41</v>
      </c>
      <c r="D2487" s="41">
        <v>-1.3</v>
      </c>
      <c r="E2487" s="43" t="s">
        <v>467</v>
      </c>
      <c r="F2487" s="42" t="s">
        <v>0</v>
      </c>
    </row>
    <row r="2488" spans="1:6">
      <c r="A2488" s="39">
        <v>46008</v>
      </c>
      <c r="B2488" s="40" t="s">
        <v>452</v>
      </c>
      <c r="C2488" s="40" t="s">
        <v>461</v>
      </c>
      <c r="D2488" s="41">
        <v>-36</v>
      </c>
      <c r="E2488" s="43" t="s">
        <v>528</v>
      </c>
      <c r="F2488" s="42" t="s">
        <v>38</v>
      </c>
    </row>
    <row r="2489" spans="1:6">
      <c r="A2489" s="39">
        <f>A2488</f>
        <v>46008</v>
      </c>
      <c r="B2489" s="40" t="s">
        <v>256</v>
      </c>
      <c r="C2489" s="40" t="s">
        <v>50</v>
      </c>
      <c r="D2489" s="41">
        <v>-12</v>
      </c>
      <c r="E2489" s="43" t="s">
        <v>727</v>
      </c>
      <c r="F2489" s="42" t="s">
        <v>1</v>
      </c>
    </row>
    <row r="2490" spans="1:6">
      <c r="A2490" s="39">
        <f>A2489</f>
        <v>46008</v>
      </c>
      <c r="B2490" s="40" t="s">
        <v>256</v>
      </c>
      <c r="C2490" s="40" t="s">
        <v>62</v>
      </c>
      <c r="D2490" s="41">
        <v>-20</v>
      </c>
      <c r="E2490" s="43" t="s">
        <v>728</v>
      </c>
      <c r="F2490" s="42" t="s">
        <v>38</v>
      </c>
    </row>
    <row r="2491" spans="1:6">
      <c r="A2491" s="39">
        <v>46009</v>
      </c>
      <c r="B2491" s="40" t="s">
        <v>445</v>
      </c>
      <c r="C2491" s="40" t="s">
        <v>36</v>
      </c>
      <c r="D2491" s="41">
        <v>-12.78</v>
      </c>
      <c r="E2491" s="43" t="s">
        <v>133</v>
      </c>
      <c r="F2491" s="42" t="s">
        <v>38</v>
      </c>
    </row>
    <row r="2492" spans="1:6">
      <c r="A2492" s="39">
        <f>A2491</f>
        <v>46009</v>
      </c>
      <c r="B2492" s="40" t="s">
        <v>452</v>
      </c>
      <c r="C2492" s="40" t="s">
        <v>36</v>
      </c>
      <c r="D2492" s="41">
        <v>-6</v>
      </c>
      <c r="E2492" s="43" t="s">
        <v>69</v>
      </c>
      <c r="F2492" s="42" t="s">
        <v>38</v>
      </c>
    </row>
    <row r="2493" spans="1:6">
      <c r="A2493" s="39">
        <f>A2492</f>
        <v>46009</v>
      </c>
      <c r="B2493" s="40" t="s">
        <v>452</v>
      </c>
      <c r="C2493" s="40" t="s">
        <v>50</v>
      </c>
      <c r="D2493" s="41">
        <v>500</v>
      </c>
      <c r="E2493" s="43" t="s">
        <v>302</v>
      </c>
      <c r="F2493" s="42" t="s">
        <v>1</v>
      </c>
    </row>
    <row r="2494" spans="1:6">
      <c r="A2494" s="39">
        <f>A2493</f>
        <v>46009</v>
      </c>
      <c r="B2494" s="40" t="s">
        <v>452</v>
      </c>
      <c r="C2494" s="40" t="s">
        <v>41</v>
      </c>
      <c r="D2494" s="41">
        <v>-20</v>
      </c>
      <c r="E2494" s="43" t="s">
        <v>729</v>
      </c>
      <c r="F2494" s="42" t="s">
        <v>1</v>
      </c>
    </row>
    <row r="2495" spans="1:6">
      <c r="A2495" s="39">
        <v>46009</v>
      </c>
      <c r="B2495" s="40" t="s">
        <v>673</v>
      </c>
      <c r="C2495" s="40" t="s">
        <v>41</v>
      </c>
      <c r="D2495" s="41">
        <v>-1.3</v>
      </c>
      <c r="E2495" s="43" t="s">
        <v>467</v>
      </c>
      <c r="F2495" s="42" t="s">
        <v>0</v>
      </c>
    </row>
    <row r="2496" spans="1:6">
      <c r="A2496" s="39">
        <v>46009</v>
      </c>
      <c r="B2496" s="40" t="s">
        <v>673</v>
      </c>
      <c r="C2496" s="40" t="s">
        <v>52</v>
      </c>
      <c r="D2496" s="41">
        <v>-6</v>
      </c>
      <c r="E2496" s="43" t="s">
        <v>455</v>
      </c>
      <c r="F2496" s="42" t="s">
        <v>0</v>
      </c>
    </row>
    <row r="2497" spans="1:6">
      <c r="A2497" s="39">
        <v>46010</v>
      </c>
      <c r="B2497" s="40" t="s">
        <v>256</v>
      </c>
      <c r="C2497" s="40" t="s">
        <v>62</v>
      </c>
      <c r="D2497" s="41">
        <v>-5</v>
      </c>
      <c r="E2497" s="43" t="s">
        <v>730</v>
      </c>
      <c r="F2497" s="42" t="s">
        <v>1</v>
      </c>
    </row>
    <row r="2498" spans="1:6">
      <c r="A2498" s="39">
        <f>A2497</f>
        <v>46010</v>
      </c>
      <c r="B2498" s="40" t="s">
        <v>448</v>
      </c>
      <c r="C2498" s="40" t="s">
        <v>110</v>
      </c>
      <c r="D2498" s="41">
        <v>4053.26</v>
      </c>
      <c r="E2498" s="43" t="str">
        <f>C2498</f>
        <v>Nómina</v>
      </c>
      <c r="F2498" s="42" t="s">
        <v>1</v>
      </c>
    </row>
    <row r="2499" spans="1:6">
      <c r="A2499" s="39">
        <f>A2498</f>
        <v>46010</v>
      </c>
      <c r="B2499" s="40" t="s">
        <v>445</v>
      </c>
      <c r="C2499" s="40" t="s">
        <v>41</v>
      </c>
      <c r="D2499" s="41">
        <v>-6.99</v>
      </c>
      <c r="E2499" s="43" t="s">
        <v>731</v>
      </c>
      <c r="F2499" s="42" t="s">
        <v>1</v>
      </c>
    </row>
    <row r="2500" spans="1:6">
      <c r="A2500" s="39">
        <f>A2499</f>
        <v>46010</v>
      </c>
      <c r="B2500" s="40" t="s">
        <v>445</v>
      </c>
      <c r="C2500" s="40" t="s">
        <v>461</v>
      </c>
      <c r="D2500" s="41">
        <v>-8.98</v>
      </c>
      <c r="E2500" s="43" t="s">
        <v>133</v>
      </c>
      <c r="F2500" s="42" t="s">
        <v>38</v>
      </c>
    </row>
    <row r="2501" spans="1:6">
      <c r="A2501" s="39">
        <f>A2500</f>
        <v>46010</v>
      </c>
      <c r="B2501" s="40" t="s">
        <v>673</v>
      </c>
      <c r="C2501" s="40" t="s">
        <v>36</v>
      </c>
      <c r="D2501" s="41">
        <v>-83.44</v>
      </c>
      <c r="E2501" s="43" t="s">
        <v>295</v>
      </c>
      <c r="F2501" s="42" t="s">
        <v>38</v>
      </c>
    </row>
    <row r="2502" spans="1:6">
      <c r="A2502" s="39">
        <f>A2501</f>
        <v>46010</v>
      </c>
      <c r="B2502" s="40" t="s">
        <v>673</v>
      </c>
      <c r="C2502" s="40" t="s">
        <v>41</v>
      </c>
      <c r="D2502" s="41">
        <v>-1.3</v>
      </c>
      <c r="E2502" s="43" t="s">
        <v>467</v>
      </c>
      <c r="F2502" s="42" t="s">
        <v>0</v>
      </c>
    </row>
    <row r="2503" spans="1:6">
      <c r="A2503" s="39">
        <f>A2502</f>
        <v>46010</v>
      </c>
      <c r="B2503" s="40" t="s">
        <v>673</v>
      </c>
      <c r="C2503" s="40" t="s">
        <v>54</v>
      </c>
      <c r="D2503" s="41">
        <v>-2.0099999999999998</v>
      </c>
      <c r="E2503" s="43" t="s">
        <v>535</v>
      </c>
      <c r="F2503" s="42" t="s">
        <v>0</v>
      </c>
    </row>
    <row r="2504" spans="1:6">
      <c r="A2504" s="39">
        <f>A2503</f>
        <v>46010</v>
      </c>
      <c r="B2504" s="40" t="s">
        <v>673</v>
      </c>
      <c r="C2504" s="40" t="s">
        <v>50</v>
      </c>
      <c r="D2504" s="41">
        <v>-60</v>
      </c>
      <c r="E2504" s="43" t="s">
        <v>732</v>
      </c>
      <c r="F2504" s="42" t="s">
        <v>0</v>
      </c>
    </row>
    <row r="2505" spans="1:6">
      <c r="A2505" s="39">
        <f>A2504</f>
        <v>46010</v>
      </c>
      <c r="B2505" s="40" t="s">
        <v>239</v>
      </c>
      <c r="C2505" s="40" t="s">
        <v>46</v>
      </c>
      <c r="D2505" s="41">
        <v>-45</v>
      </c>
      <c r="E2505" s="43" t="s">
        <v>46</v>
      </c>
      <c r="F2505" s="42" t="s">
        <v>0</v>
      </c>
    </row>
    <row r="2506" spans="1:6">
      <c r="A2506" s="39">
        <f>A2505</f>
        <v>46010</v>
      </c>
      <c r="B2506" s="40" t="s">
        <v>673</v>
      </c>
      <c r="C2506" s="40" t="s">
        <v>46</v>
      </c>
      <c r="D2506" s="41">
        <v>45</v>
      </c>
      <c r="E2506" s="43" t="s">
        <v>46</v>
      </c>
      <c r="F2506" s="42" t="s">
        <v>0</v>
      </c>
    </row>
    <row r="2507" spans="1:6">
      <c r="A2507" s="39">
        <f>A2506</f>
        <v>46010</v>
      </c>
      <c r="B2507" s="40" t="s">
        <v>471</v>
      </c>
      <c r="C2507" s="40" t="s">
        <v>46</v>
      </c>
      <c r="D2507" s="41">
        <v>-200</v>
      </c>
      <c r="E2507" s="43" t="s">
        <v>46</v>
      </c>
      <c r="F2507" s="42" t="s">
        <v>0</v>
      </c>
    </row>
    <row r="2508" spans="1:6">
      <c r="A2508" s="39">
        <f>A2507</f>
        <v>46010</v>
      </c>
      <c r="B2508" s="40" t="s">
        <v>673</v>
      </c>
      <c r="C2508" s="40" t="s">
        <v>46</v>
      </c>
      <c r="D2508" s="41">
        <v>200</v>
      </c>
      <c r="E2508" s="43" t="s">
        <v>46</v>
      </c>
      <c r="F2508" s="42" t="s">
        <v>0</v>
      </c>
    </row>
    <row r="2509" spans="1:6">
      <c r="A2509" s="39">
        <v>46011</v>
      </c>
      <c r="B2509" s="40" t="s">
        <v>448</v>
      </c>
      <c r="C2509" s="40" t="s">
        <v>46</v>
      </c>
      <c r="D2509" s="41">
        <v>-2000</v>
      </c>
      <c r="E2509" s="43" t="str">
        <f>C2509</f>
        <v>Traspaso</v>
      </c>
      <c r="F2509" s="42" t="s">
        <v>1</v>
      </c>
    </row>
    <row r="2510" spans="1:6">
      <c r="A2510" s="39">
        <f>A2509</f>
        <v>46011</v>
      </c>
      <c r="B2510" s="40" t="s">
        <v>504</v>
      </c>
      <c r="C2510" s="40" t="s">
        <v>46</v>
      </c>
      <c r="D2510" s="41">
        <v>2000</v>
      </c>
      <c r="E2510" s="43" t="str">
        <f>C2510</f>
        <v>Traspaso</v>
      </c>
      <c r="F2510" s="42" t="s">
        <v>1</v>
      </c>
    </row>
    <row r="2511" spans="1:6">
      <c r="A2511" s="39">
        <f>A2510</f>
        <v>46011</v>
      </c>
      <c r="B2511" s="40" t="s">
        <v>452</v>
      </c>
      <c r="C2511" s="40" t="s">
        <v>54</v>
      </c>
      <c r="D2511" s="41">
        <v>-19</v>
      </c>
      <c r="E2511" s="43" t="s">
        <v>733</v>
      </c>
      <c r="F2511" s="42" t="s">
        <v>1</v>
      </c>
    </row>
    <row r="2512" spans="1:6">
      <c r="A2512" s="39">
        <v>46011</v>
      </c>
      <c r="B2512" s="40" t="s">
        <v>450</v>
      </c>
      <c r="C2512" s="40" t="s">
        <v>58</v>
      </c>
      <c r="D2512" s="41">
        <v>-19.989999999999998</v>
      </c>
      <c r="E2512" s="43" t="s">
        <v>734</v>
      </c>
      <c r="F2512" s="42" t="s">
        <v>38</v>
      </c>
    </row>
    <row r="2513" spans="1:8">
      <c r="A2513" s="39">
        <v>46013</v>
      </c>
      <c r="B2513" s="40" t="s">
        <v>452</v>
      </c>
      <c r="C2513" s="40" t="s">
        <v>41</v>
      </c>
      <c r="D2513" s="41">
        <v>-11</v>
      </c>
      <c r="E2513" s="43" t="s">
        <v>735</v>
      </c>
      <c r="F2513" s="42" t="s">
        <v>1</v>
      </c>
    </row>
    <row r="2514" spans="1:8">
      <c r="A2514" s="39">
        <v>46013</v>
      </c>
      <c r="B2514" s="40" t="s">
        <v>452</v>
      </c>
      <c r="C2514" s="40" t="s">
        <v>50</v>
      </c>
      <c r="D2514" s="41">
        <v>-53</v>
      </c>
      <c r="E2514" s="43" t="s">
        <v>736</v>
      </c>
      <c r="F2514" s="42" t="s">
        <v>1</v>
      </c>
    </row>
    <row r="2515" spans="1:8">
      <c r="A2515" s="39">
        <v>46013</v>
      </c>
      <c r="B2515" s="40" t="s">
        <v>673</v>
      </c>
      <c r="C2515" s="40" t="s">
        <v>41</v>
      </c>
      <c r="D2515" s="41">
        <v>-1.3</v>
      </c>
      <c r="E2515" s="43" t="s">
        <v>467</v>
      </c>
      <c r="F2515" s="42" t="s">
        <v>0</v>
      </c>
    </row>
    <row r="2516" spans="1:8">
      <c r="A2516" s="39">
        <f>A2515</f>
        <v>46013</v>
      </c>
      <c r="B2516" s="40" t="s">
        <v>673</v>
      </c>
      <c r="C2516" s="40" t="s">
        <v>461</v>
      </c>
      <c r="D2516" s="41">
        <v>-21.32</v>
      </c>
      <c r="E2516" s="43" t="s">
        <v>737</v>
      </c>
      <c r="F2516" s="42" t="s">
        <v>0</v>
      </c>
      <c r="H2516" s="49"/>
    </row>
    <row r="2517" spans="1:8">
      <c r="A2517" s="39">
        <v>46013</v>
      </c>
      <c r="B2517" s="40" t="s">
        <v>673</v>
      </c>
      <c r="C2517" s="40" t="s">
        <v>52</v>
      </c>
      <c r="D2517" s="41">
        <v>-7.5</v>
      </c>
      <c r="E2517" s="43" t="s">
        <v>455</v>
      </c>
      <c r="F2517" s="42" t="s">
        <v>0</v>
      </c>
      <c r="H2517" s="49"/>
    </row>
    <row r="2518" spans="1:8">
      <c r="A2518" s="39">
        <v>46014</v>
      </c>
      <c r="B2518" s="40" t="s">
        <v>673</v>
      </c>
      <c r="C2518" s="40" t="s">
        <v>41</v>
      </c>
      <c r="D2518" s="41">
        <v>-7.5</v>
      </c>
      <c r="E2518" s="43" t="s">
        <v>467</v>
      </c>
      <c r="F2518" s="42" t="s">
        <v>0</v>
      </c>
    </row>
    <row r="2519" spans="1:8">
      <c r="A2519" s="39">
        <f>A2518</f>
        <v>46014</v>
      </c>
      <c r="B2519" s="40" t="s">
        <v>673</v>
      </c>
      <c r="C2519" s="40" t="s">
        <v>62</v>
      </c>
      <c r="D2519" s="41">
        <v>-4</v>
      </c>
      <c r="E2519" s="43" t="s">
        <v>460</v>
      </c>
      <c r="F2519" s="42" t="s">
        <v>38</v>
      </c>
    </row>
    <row r="2520" spans="1:8">
      <c r="A2520" s="39">
        <f>A2519</f>
        <v>46014</v>
      </c>
      <c r="B2520" s="40" t="s">
        <v>673</v>
      </c>
      <c r="C2520" s="40" t="s">
        <v>110</v>
      </c>
      <c r="D2520" s="41">
        <v>4010.07</v>
      </c>
      <c r="E2520" s="43" t="s">
        <v>699</v>
      </c>
      <c r="F2520" s="42" t="s">
        <v>0</v>
      </c>
    </row>
    <row r="2521" spans="1:8">
      <c r="A2521" s="39">
        <f>A2520</f>
        <v>46014</v>
      </c>
      <c r="B2521" s="40" t="s">
        <v>673</v>
      </c>
      <c r="C2521" s="40" t="s">
        <v>46</v>
      </c>
      <c r="D2521" s="41">
        <v>-2825.85</v>
      </c>
      <c r="E2521" s="43" t="str">
        <f>C2521</f>
        <v>Traspaso</v>
      </c>
      <c r="F2521" s="42" t="s">
        <v>0</v>
      </c>
    </row>
    <row r="2522" spans="1:8">
      <c r="A2522" s="39">
        <f>A2521</f>
        <v>46014</v>
      </c>
      <c r="B2522" s="40" t="s">
        <v>471</v>
      </c>
      <c r="C2522" s="40" t="s">
        <v>46</v>
      </c>
      <c r="D2522" s="41">
        <v>2825.85</v>
      </c>
      <c r="E2522" s="43" t="str">
        <f>C2522</f>
        <v>Traspaso</v>
      </c>
      <c r="F2522" s="42" t="s">
        <v>0</v>
      </c>
    </row>
    <row r="2523" spans="1:8">
      <c r="A2523" s="39">
        <f>A2522</f>
        <v>46014</v>
      </c>
      <c r="B2523" s="40" t="s">
        <v>673</v>
      </c>
      <c r="C2523" s="40" t="s">
        <v>73</v>
      </c>
      <c r="D2523" s="41">
        <v>-72</v>
      </c>
      <c r="E2523" s="43" t="s">
        <v>533</v>
      </c>
      <c r="F2523" s="42" t="s">
        <v>38</v>
      </c>
    </row>
    <row r="2524" spans="1:8">
      <c r="A2524" s="39">
        <f>A2523</f>
        <v>46014</v>
      </c>
      <c r="B2524" s="40" t="s">
        <v>450</v>
      </c>
      <c r="C2524" s="40" t="s">
        <v>463</v>
      </c>
      <c r="D2524" s="41">
        <v>11</v>
      </c>
      <c r="E2524" s="43" t="s">
        <v>738</v>
      </c>
      <c r="F2524" s="42" t="s">
        <v>1</v>
      </c>
    </row>
    <row r="2525" spans="1:8">
      <c r="A2525" s="39">
        <v>46015</v>
      </c>
      <c r="B2525" s="40" t="s">
        <v>446</v>
      </c>
      <c r="C2525" s="40" t="s">
        <v>76</v>
      </c>
      <c r="D2525" s="41">
        <v>43.45</v>
      </c>
      <c r="E2525" s="43" t="s">
        <v>739</v>
      </c>
      <c r="F2525" s="42" t="s">
        <v>1</v>
      </c>
    </row>
    <row r="2526" spans="1:8">
      <c r="A2526" s="39">
        <v>46015</v>
      </c>
      <c r="B2526" s="40" t="s">
        <v>452</v>
      </c>
      <c r="C2526" s="40" t="s">
        <v>41</v>
      </c>
      <c r="D2526" s="41">
        <v>-7.5</v>
      </c>
      <c r="E2526" s="43" t="s">
        <v>740</v>
      </c>
      <c r="F2526" s="42" t="s">
        <v>1</v>
      </c>
    </row>
    <row r="2527" spans="1:8">
      <c r="A2527" s="39">
        <v>46015</v>
      </c>
      <c r="B2527" s="40" t="s">
        <v>673</v>
      </c>
      <c r="C2527" s="40" t="s">
        <v>50</v>
      </c>
      <c r="D2527" s="41">
        <v>-148.66</v>
      </c>
      <c r="E2527" s="43" t="s">
        <v>741</v>
      </c>
      <c r="F2527" s="42" t="s">
        <v>0</v>
      </c>
    </row>
    <row r="2528" spans="1:8">
      <c r="A2528" s="39">
        <v>46015</v>
      </c>
      <c r="B2528" s="40" t="s">
        <v>116</v>
      </c>
      <c r="C2528" s="40" t="s">
        <v>34</v>
      </c>
      <c r="D2528" s="41">
        <v>19.079999999999998</v>
      </c>
      <c r="E2528" s="43" t="s">
        <v>742</v>
      </c>
      <c r="F2528" s="42" t="s">
        <v>0</v>
      </c>
    </row>
    <row r="2529" spans="1:6">
      <c r="A2529" s="39">
        <v>46016</v>
      </c>
      <c r="B2529" s="40" t="s">
        <v>625</v>
      </c>
      <c r="C2529" s="40" t="s">
        <v>34</v>
      </c>
      <c r="D2529" s="41">
        <v>-445</v>
      </c>
      <c r="E2529" s="43" t="s">
        <v>743</v>
      </c>
      <c r="F2529" s="42" t="s">
        <v>0</v>
      </c>
    </row>
    <row r="2530" spans="1:6">
      <c r="A2530" s="39">
        <v>46016</v>
      </c>
      <c r="B2530" s="40" t="s">
        <v>480</v>
      </c>
      <c r="C2530" s="40" t="s">
        <v>34</v>
      </c>
      <c r="D2530" s="41">
        <v>-236.86</v>
      </c>
      <c r="E2530" s="43" t="s">
        <v>743</v>
      </c>
      <c r="F2530" s="42" t="s">
        <v>0</v>
      </c>
    </row>
    <row r="2531" spans="1:6">
      <c r="A2531" s="39">
        <v>46016</v>
      </c>
      <c r="B2531" s="40" t="s">
        <v>542</v>
      </c>
      <c r="C2531" s="40" t="s">
        <v>34</v>
      </c>
      <c r="D2531" s="41">
        <v>-626.76</v>
      </c>
      <c r="E2531" s="43" t="s">
        <v>743</v>
      </c>
      <c r="F2531" s="42" t="s">
        <v>0</v>
      </c>
    </row>
    <row r="2532" spans="1:6">
      <c r="A2532" s="39">
        <v>46016</v>
      </c>
      <c r="B2532" s="40" t="s">
        <v>603</v>
      </c>
      <c r="C2532" s="40" t="s">
        <v>34</v>
      </c>
      <c r="D2532" s="41">
        <v>-181.4</v>
      </c>
      <c r="E2532" s="43" t="s">
        <v>743</v>
      </c>
      <c r="F2532" s="42" t="s">
        <v>0</v>
      </c>
    </row>
    <row r="2533" spans="1:6">
      <c r="A2533" s="39">
        <v>46016</v>
      </c>
      <c r="B2533" s="40" t="s">
        <v>553</v>
      </c>
      <c r="C2533" s="40" t="s">
        <v>34</v>
      </c>
      <c r="D2533" s="41">
        <v>-1287.0899999999999</v>
      </c>
      <c r="E2533" s="43" t="s">
        <v>743</v>
      </c>
      <c r="F2533" s="42" t="s">
        <v>0</v>
      </c>
    </row>
    <row r="2534" spans="1:6">
      <c r="A2534" s="39">
        <v>46016</v>
      </c>
      <c r="B2534" s="40" t="s">
        <v>478</v>
      </c>
      <c r="C2534" s="40" t="s">
        <v>34</v>
      </c>
      <c r="D2534" s="41">
        <v>-847.85</v>
      </c>
      <c r="E2534" s="43" t="s">
        <v>743</v>
      </c>
      <c r="F2534" s="42" t="s">
        <v>0</v>
      </c>
    </row>
    <row r="2535" spans="1:6">
      <c r="A2535" s="39">
        <v>46016</v>
      </c>
      <c r="B2535" s="40" t="s">
        <v>744</v>
      </c>
      <c r="C2535" s="40" t="s">
        <v>34</v>
      </c>
      <c r="D2535" s="41">
        <v>-344.44</v>
      </c>
      <c r="E2535" s="43" t="s">
        <v>743</v>
      </c>
      <c r="F2535" s="42" t="s">
        <v>0</v>
      </c>
    </row>
    <row r="2536" spans="1:6">
      <c r="A2536" s="39">
        <v>46016</v>
      </c>
      <c r="B2536" s="40" t="s">
        <v>715</v>
      </c>
      <c r="C2536" s="40" t="s">
        <v>34</v>
      </c>
      <c r="D2536" s="41">
        <v>-513</v>
      </c>
      <c r="E2536" s="43" t="s">
        <v>743</v>
      </c>
      <c r="F2536" s="42" t="s">
        <v>0</v>
      </c>
    </row>
    <row r="2537" spans="1:6">
      <c r="A2537" s="39">
        <v>46016</v>
      </c>
      <c r="B2537" s="40" t="s">
        <v>86</v>
      </c>
      <c r="C2537" s="40" t="s">
        <v>34</v>
      </c>
      <c r="D2537" s="41">
        <v>90.52</v>
      </c>
      <c r="E2537" s="43" t="s">
        <v>743</v>
      </c>
      <c r="F2537" s="42" t="s">
        <v>0</v>
      </c>
    </row>
    <row r="2538" spans="1:6">
      <c r="A2538" s="39">
        <v>46016</v>
      </c>
      <c r="B2538" s="40" t="s">
        <v>457</v>
      </c>
      <c r="C2538" s="40" t="s">
        <v>34</v>
      </c>
      <c r="D2538" s="41">
        <v>554.19000000000005</v>
      </c>
      <c r="E2538" s="43" t="s">
        <v>743</v>
      </c>
      <c r="F2538" s="42" t="s">
        <v>0</v>
      </c>
    </row>
    <row r="2539" spans="1:6">
      <c r="A2539" s="39">
        <v>46016</v>
      </c>
      <c r="B2539" s="40" t="s">
        <v>328</v>
      </c>
      <c r="C2539" s="40" t="s">
        <v>34</v>
      </c>
      <c r="D2539" s="41">
        <v>99.87</v>
      </c>
      <c r="E2539" s="43" t="s">
        <v>743</v>
      </c>
      <c r="F2539" s="42" t="s">
        <v>0</v>
      </c>
    </row>
    <row r="2540" spans="1:6">
      <c r="A2540" s="39">
        <v>46016</v>
      </c>
      <c r="B2540" s="40" t="s">
        <v>663</v>
      </c>
      <c r="C2540" s="40" t="s">
        <v>34</v>
      </c>
      <c r="D2540" s="41">
        <v>549.39</v>
      </c>
      <c r="E2540" s="43" t="s">
        <v>743</v>
      </c>
      <c r="F2540" s="42" t="s">
        <v>0</v>
      </c>
    </row>
    <row r="2541" spans="1:6">
      <c r="A2541" s="39">
        <v>46016</v>
      </c>
      <c r="B2541" s="40" t="s">
        <v>508</v>
      </c>
      <c r="C2541" s="40" t="s">
        <v>34</v>
      </c>
      <c r="D2541" s="41">
        <v>-3257.62</v>
      </c>
      <c r="E2541" s="43" t="s">
        <v>743</v>
      </c>
      <c r="F2541" s="42" t="s">
        <v>0</v>
      </c>
    </row>
    <row r="2542" spans="1:6">
      <c r="A2542" s="39">
        <v>46016</v>
      </c>
      <c r="B2542" s="40" t="s">
        <v>745</v>
      </c>
      <c r="C2542" s="40" t="s">
        <v>34</v>
      </c>
      <c r="D2542" s="41">
        <v>236.27</v>
      </c>
      <c r="E2542" s="43" t="s">
        <v>743</v>
      </c>
      <c r="F2542" s="42" t="s">
        <v>0</v>
      </c>
    </row>
    <row r="2543" spans="1:6">
      <c r="A2543" s="39">
        <v>46016</v>
      </c>
      <c r="B2543" s="40" t="s">
        <v>472</v>
      </c>
      <c r="C2543" s="40" t="s">
        <v>34</v>
      </c>
      <c r="D2543" s="41">
        <v>304.3</v>
      </c>
      <c r="E2543" s="43" t="s">
        <v>743</v>
      </c>
      <c r="F2543" s="42" t="s">
        <v>0</v>
      </c>
    </row>
    <row r="2544" spans="1:6">
      <c r="A2544" s="39">
        <v>46016</v>
      </c>
      <c r="B2544" s="40" t="s">
        <v>534</v>
      </c>
      <c r="C2544" s="40" t="s">
        <v>34</v>
      </c>
      <c r="D2544" s="41">
        <v>8358.94</v>
      </c>
      <c r="E2544" s="43" t="s">
        <v>743</v>
      </c>
      <c r="F2544" s="42" t="s">
        <v>0</v>
      </c>
    </row>
    <row r="2545" spans="1:6">
      <c r="A2545" s="39">
        <v>46016</v>
      </c>
      <c r="B2545" s="40" t="s">
        <v>746</v>
      </c>
      <c r="C2545" s="40" t="s">
        <v>34</v>
      </c>
      <c r="D2545" s="41">
        <v>278.98</v>
      </c>
      <c r="E2545" s="43" t="s">
        <v>743</v>
      </c>
      <c r="F2545" s="42" t="s">
        <v>0</v>
      </c>
    </row>
    <row r="2546" spans="1:6">
      <c r="A2546" s="39">
        <v>46016</v>
      </c>
      <c r="B2546" s="40" t="s">
        <v>485</v>
      </c>
      <c r="C2546" s="40" t="s">
        <v>34</v>
      </c>
      <c r="D2546" s="41">
        <v>1013.17</v>
      </c>
      <c r="E2546" s="43" t="s">
        <v>743</v>
      </c>
      <c r="F2546" s="42" t="s">
        <v>0</v>
      </c>
    </row>
    <row r="2547" spans="1:6">
      <c r="A2547" s="39">
        <v>46016</v>
      </c>
      <c r="B2547" s="40" t="s">
        <v>679</v>
      </c>
      <c r="C2547" s="40" t="s">
        <v>34</v>
      </c>
      <c r="D2547" s="41">
        <v>-1698.91</v>
      </c>
      <c r="E2547" s="43" t="s">
        <v>743</v>
      </c>
      <c r="F2547" s="42" t="s">
        <v>0</v>
      </c>
    </row>
    <row r="2548" spans="1:6">
      <c r="A2548" s="39">
        <v>46016</v>
      </c>
      <c r="B2548" s="40" t="s">
        <v>585</v>
      </c>
      <c r="C2548" s="40" t="s">
        <v>34</v>
      </c>
      <c r="D2548" s="41">
        <v>23.96</v>
      </c>
      <c r="E2548" s="43" t="s">
        <v>743</v>
      </c>
      <c r="F2548" s="42" t="s">
        <v>0</v>
      </c>
    </row>
    <row r="2549" spans="1:6">
      <c r="A2549" s="39">
        <v>46016</v>
      </c>
      <c r="B2549" s="40" t="s">
        <v>747</v>
      </c>
      <c r="C2549" s="40" t="s">
        <v>34</v>
      </c>
      <c r="D2549" s="41">
        <v>65.45</v>
      </c>
      <c r="E2549" s="43" t="s">
        <v>743</v>
      </c>
      <c r="F2549" s="42" t="s">
        <v>0</v>
      </c>
    </row>
    <row r="2550" spans="1:6">
      <c r="A2550" s="39">
        <v>46016</v>
      </c>
      <c r="B2550" s="40" t="s">
        <v>674</v>
      </c>
      <c r="C2550" s="40" t="s">
        <v>34</v>
      </c>
      <c r="D2550" s="41">
        <v>12.47</v>
      </c>
      <c r="E2550" s="43" t="s">
        <v>743</v>
      </c>
      <c r="F2550" s="42" t="s">
        <v>0</v>
      </c>
    </row>
    <row r="2551" spans="1:6">
      <c r="A2551" s="39">
        <v>46016</v>
      </c>
      <c r="B2551" s="40" t="s">
        <v>499</v>
      </c>
      <c r="C2551" s="40" t="s">
        <v>34</v>
      </c>
      <c r="D2551" s="41">
        <v>-318</v>
      </c>
      <c r="E2551" s="43" t="s">
        <v>743</v>
      </c>
      <c r="F2551" s="42" t="s">
        <v>0</v>
      </c>
    </row>
    <row r="2552" spans="1:6">
      <c r="A2552" s="39">
        <v>46016</v>
      </c>
      <c r="B2552" s="40" t="s">
        <v>452</v>
      </c>
      <c r="C2552" s="40" t="s">
        <v>50</v>
      </c>
      <c r="D2552" s="41">
        <v>100</v>
      </c>
      <c r="E2552" s="43" t="s">
        <v>748</v>
      </c>
      <c r="F2552" s="42" t="s">
        <v>1</v>
      </c>
    </row>
    <row r="2553" spans="1:6">
      <c r="A2553" s="39">
        <v>46017</v>
      </c>
      <c r="B2553" s="40" t="s">
        <v>239</v>
      </c>
      <c r="C2553" s="40" t="s">
        <v>50</v>
      </c>
      <c r="D2553" s="41">
        <v>500</v>
      </c>
      <c r="E2553" s="43" t="str">
        <f>C2553</f>
        <v>Regalos</v>
      </c>
      <c r="F2553" s="42" t="s">
        <v>0</v>
      </c>
    </row>
    <row r="2554" spans="1:6">
      <c r="A2554" s="39">
        <f>A2553</f>
        <v>46017</v>
      </c>
      <c r="B2554" s="40" t="s">
        <v>574</v>
      </c>
      <c r="C2554" s="40" t="s">
        <v>50</v>
      </c>
      <c r="D2554" s="41">
        <v>50</v>
      </c>
      <c r="E2554" s="43" t="str">
        <f>C2554</f>
        <v>Regalos</v>
      </c>
      <c r="F2554" s="42" t="s">
        <v>0</v>
      </c>
    </row>
    <row r="2555" spans="1:6">
      <c r="A2555" s="39">
        <f>A2554</f>
        <v>46017</v>
      </c>
      <c r="B2555" s="40" t="s">
        <v>239</v>
      </c>
      <c r="C2555" s="40" t="s">
        <v>46</v>
      </c>
      <c r="D2555" s="41">
        <v>-500</v>
      </c>
      <c r="E2555" s="43" t="str">
        <f>C2555</f>
        <v>Traspaso</v>
      </c>
      <c r="F2555" s="42" t="s">
        <v>0</v>
      </c>
    </row>
    <row r="2556" spans="1:6">
      <c r="A2556" s="39">
        <f>A2555</f>
        <v>46017</v>
      </c>
      <c r="B2556" s="40" t="s">
        <v>542</v>
      </c>
      <c r="C2556" s="40" t="s">
        <v>46</v>
      </c>
      <c r="D2556" s="41">
        <v>500</v>
      </c>
      <c r="E2556" s="43" t="str">
        <f>C2556</f>
        <v>Traspaso</v>
      </c>
      <c r="F2556" s="42" t="s">
        <v>0</v>
      </c>
    </row>
    <row r="2557" spans="1:6">
      <c r="A2557" s="39">
        <v>46017</v>
      </c>
      <c r="B2557" s="40" t="s">
        <v>673</v>
      </c>
      <c r="C2557" s="40" t="s">
        <v>52</v>
      </c>
      <c r="D2557" s="41">
        <v>-7.5</v>
      </c>
      <c r="E2557" s="43" t="s">
        <v>455</v>
      </c>
      <c r="F2557" s="42" t="s">
        <v>0</v>
      </c>
    </row>
    <row r="2558" spans="1:6">
      <c r="A2558" s="39">
        <v>46017</v>
      </c>
      <c r="B2558" s="40" t="s">
        <v>673</v>
      </c>
      <c r="C2558" s="40" t="s">
        <v>46</v>
      </c>
      <c r="D2558" s="41">
        <v>-898.84</v>
      </c>
      <c r="E2558" s="43" t="str">
        <f>C2558</f>
        <v>Traspaso</v>
      </c>
      <c r="F2558" s="42" t="s">
        <v>0</v>
      </c>
    </row>
    <row r="2559" spans="1:6">
      <c r="A2559" s="39">
        <v>46017</v>
      </c>
      <c r="B2559" s="40" t="s">
        <v>449</v>
      </c>
      <c r="C2559" s="40" t="s">
        <v>46</v>
      </c>
      <c r="D2559" s="41">
        <v>898.84</v>
      </c>
      <c r="E2559" s="43" t="str">
        <f>C2559</f>
        <v>Traspaso</v>
      </c>
      <c r="F2559" s="42" t="s">
        <v>0</v>
      </c>
    </row>
    <row r="2560" spans="1:6">
      <c r="A2560" s="39">
        <v>46018</v>
      </c>
      <c r="B2560" s="40" t="s">
        <v>471</v>
      </c>
      <c r="C2560" s="40" t="s">
        <v>46</v>
      </c>
      <c r="D2560" s="41">
        <v>-921.4</v>
      </c>
      <c r="E2560" s="43" t="str">
        <f>C2560</f>
        <v>Traspaso</v>
      </c>
      <c r="F2560" s="42" t="s">
        <v>0</v>
      </c>
    </row>
    <row r="2561" spans="1:6">
      <c r="A2561" s="39">
        <f>A2560</f>
        <v>46018</v>
      </c>
      <c r="B2561" s="40" t="s">
        <v>454</v>
      </c>
      <c r="C2561" s="40" t="s">
        <v>46</v>
      </c>
      <c r="D2561" s="41">
        <v>921.4</v>
      </c>
      <c r="E2561" s="43" t="str">
        <f>C2561</f>
        <v>Traspaso</v>
      </c>
      <c r="F2561" s="42" t="s">
        <v>0</v>
      </c>
    </row>
    <row r="2562" spans="1:6">
      <c r="A2562" s="39">
        <f>A2561</f>
        <v>46018</v>
      </c>
      <c r="B2562" s="40" t="s">
        <v>471</v>
      </c>
      <c r="C2562" s="40" t="s">
        <v>46</v>
      </c>
      <c r="D2562" s="41">
        <v>-1000</v>
      </c>
      <c r="E2562" s="43" t="str">
        <f>C2562</f>
        <v>Traspaso</v>
      </c>
      <c r="F2562" s="42" t="s">
        <v>0</v>
      </c>
    </row>
    <row r="2563" spans="1:6">
      <c r="A2563" s="39">
        <f>A2562</f>
        <v>46018</v>
      </c>
      <c r="B2563" s="40" t="s">
        <v>116</v>
      </c>
      <c r="C2563" s="40" t="s">
        <v>46</v>
      </c>
      <c r="D2563" s="41">
        <v>1000</v>
      </c>
      <c r="E2563" s="43" t="str">
        <f>C2563</f>
        <v>Traspaso</v>
      </c>
      <c r="F2563" s="42" t="s">
        <v>0</v>
      </c>
    </row>
    <row r="2564" spans="1:6">
      <c r="A2564" s="39">
        <f>A2563</f>
        <v>46018</v>
      </c>
      <c r="B2564" s="40" t="s">
        <v>673</v>
      </c>
      <c r="C2564" s="40" t="s">
        <v>36</v>
      </c>
      <c r="D2564" s="41">
        <v>-129.61000000000001</v>
      </c>
      <c r="E2564" s="43" t="s">
        <v>295</v>
      </c>
      <c r="F2564" s="42" t="s">
        <v>38</v>
      </c>
    </row>
    <row r="2565" spans="1:6">
      <c r="A2565" s="39">
        <f>A2564</f>
        <v>46018</v>
      </c>
      <c r="B2565" s="40" t="s">
        <v>471</v>
      </c>
      <c r="C2565" s="40" t="s">
        <v>46</v>
      </c>
      <c r="D2565" s="41">
        <v>-500</v>
      </c>
      <c r="E2565" s="43" t="str">
        <f>C2565</f>
        <v>Traspaso</v>
      </c>
      <c r="F2565" s="42" t="s">
        <v>0</v>
      </c>
    </row>
    <row r="2566" spans="1:6">
      <c r="A2566" s="39">
        <f>A2565</f>
        <v>46018</v>
      </c>
      <c r="B2566" s="40" t="s">
        <v>673</v>
      </c>
      <c r="C2566" s="40" t="s">
        <v>46</v>
      </c>
      <c r="D2566" s="41">
        <v>500</v>
      </c>
      <c r="E2566" s="43" t="str">
        <f>C2566</f>
        <v>Traspaso</v>
      </c>
      <c r="F2566" s="42" t="s">
        <v>0</v>
      </c>
    </row>
    <row r="2567" spans="1:6">
      <c r="A2567" s="39">
        <v>46019</v>
      </c>
      <c r="B2567" s="40" t="s">
        <v>454</v>
      </c>
      <c r="C2567" s="40" t="s">
        <v>46</v>
      </c>
      <c r="D2567" s="41">
        <v>-300</v>
      </c>
      <c r="E2567" s="43" t="str">
        <f>C2567</f>
        <v>Traspaso</v>
      </c>
      <c r="F2567" s="42" t="s">
        <v>0</v>
      </c>
    </row>
    <row r="2568" spans="1:6">
      <c r="A2568" s="39">
        <f>A2567</f>
        <v>46019</v>
      </c>
      <c r="B2568" s="40" t="s">
        <v>625</v>
      </c>
      <c r="C2568" s="40" t="s">
        <v>46</v>
      </c>
      <c r="D2568" s="41">
        <v>300</v>
      </c>
      <c r="E2568" s="43" t="str">
        <f>C2568</f>
        <v>Traspaso</v>
      </c>
      <c r="F2568" s="42" t="s">
        <v>0</v>
      </c>
    </row>
    <row r="2569" spans="1:6">
      <c r="A2569" s="39">
        <f>A2568</f>
        <v>46019</v>
      </c>
      <c r="B2569" s="40" t="s">
        <v>454</v>
      </c>
      <c r="C2569" s="40" t="s">
        <v>46</v>
      </c>
      <c r="D2569" s="41">
        <v>-192.57</v>
      </c>
      <c r="E2569" s="43" t="str">
        <f>C2569</f>
        <v>Traspaso</v>
      </c>
      <c r="F2569" s="42" t="s">
        <v>0</v>
      </c>
    </row>
    <row r="2570" spans="1:6">
      <c r="A2570" s="39">
        <f>A2569</f>
        <v>46019</v>
      </c>
      <c r="B2570" s="40" t="s">
        <v>472</v>
      </c>
      <c r="C2570" s="40" t="s">
        <v>46</v>
      </c>
      <c r="D2570" s="41">
        <v>192.57</v>
      </c>
      <c r="E2570" s="43" t="str">
        <f>C2570</f>
        <v>Traspaso</v>
      </c>
      <c r="F2570" s="42" t="s">
        <v>0</v>
      </c>
    </row>
    <row r="2571" spans="1:6">
      <c r="A2571" s="39">
        <v>46019</v>
      </c>
      <c r="B2571" s="40" t="s">
        <v>673</v>
      </c>
      <c r="C2571" s="40" t="s">
        <v>461</v>
      </c>
      <c r="D2571" s="41">
        <v>-3.25</v>
      </c>
      <c r="E2571" s="43" t="s">
        <v>749</v>
      </c>
      <c r="F2571" s="42" t="s">
        <v>0</v>
      </c>
    </row>
    <row r="2572" spans="1:6">
      <c r="A2572" s="39">
        <v>46019</v>
      </c>
      <c r="B2572" s="40" t="s">
        <v>673</v>
      </c>
      <c r="C2572" s="40" t="s">
        <v>52</v>
      </c>
      <c r="D2572" s="41">
        <v>-6</v>
      </c>
      <c r="E2572" s="43" t="s">
        <v>455</v>
      </c>
      <c r="F2572" s="42" t="s">
        <v>0</v>
      </c>
    </row>
    <row r="2573" spans="1:6">
      <c r="A2573" s="39">
        <v>46019</v>
      </c>
      <c r="B2573" s="40" t="s">
        <v>452</v>
      </c>
      <c r="C2573" s="40" t="s">
        <v>36</v>
      </c>
      <c r="D2573" s="41">
        <v>-25</v>
      </c>
      <c r="E2573" s="43" t="s">
        <v>750</v>
      </c>
      <c r="F2573" s="42" t="s">
        <v>38</v>
      </c>
    </row>
    <row r="2574" spans="1:6">
      <c r="A2574" s="39">
        <v>46020</v>
      </c>
      <c r="B2574" s="40" t="s">
        <v>452</v>
      </c>
      <c r="C2574" s="40" t="s">
        <v>461</v>
      </c>
      <c r="D2574" s="41">
        <v>-36</v>
      </c>
      <c r="E2574" s="43" t="s">
        <v>528</v>
      </c>
      <c r="F2574" s="42" t="s">
        <v>38</v>
      </c>
    </row>
    <row r="2575" spans="1:6">
      <c r="A2575" s="39">
        <v>46020</v>
      </c>
      <c r="B2575" s="40" t="s">
        <v>454</v>
      </c>
      <c r="C2575" s="40" t="s">
        <v>34</v>
      </c>
      <c r="D2575" s="41">
        <v>20.25</v>
      </c>
      <c r="E2575" s="43" t="s">
        <v>751</v>
      </c>
      <c r="F2575" s="42" t="s">
        <v>0</v>
      </c>
    </row>
    <row r="2576" spans="1:6">
      <c r="A2576" s="39">
        <f>A2575</f>
        <v>46020</v>
      </c>
      <c r="B2576" s="40" t="s">
        <v>673</v>
      </c>
      <c r="C2576" s="40" t="s">
        <v>36</v>
      </c>
      <c r="D2576" s="41">
        <v>-60.93</v>
      </c>
      <c r="E2576" s="43" t="s">
        <v>143</v>
      </c>
      <c r="F2576" s="42" t="s">
        <v>38</v>
      </c>
    </row>
    <row r="2577" spans="1:6">
      <c r="A2577" s="39">
        <f>A2576</f>
        <v>46020</v>
      </c>
      <c r="B2577" s="40" t="s">
        <v>673</v>
      </c>
      <c r="C2577" s="40" t="s">
        <v>36</v>
      </c>
      <c r="D2577" s="41">
        <v>-18.489999999999998</v>
      </c>
      <c r="E2577" s="43" t="s">
        <v>295</v>
      </c>
      <c r="F2577" s="42" t="s">
        <v>38</v>
      </c>
    </row>
    <row r="2578" spans="1:6">
      <c r="A2578" s="39">
        <f>A2577</f>
        <v>46020</v>
      </c>
      <c r="B2578" s="40" t="s">
        <v>553</v>
      </c>
      <c r="C2578" s="40" t="s">
        <v>46</v>
      </c>
      <c r="D2578" s="41">
        <v>-685.9</v>
      </c>
      <c r="E2578" s="43" t="str">
        <f>C2578</f>
        <v>Traspaso</v>
      </c>
      <c r="F2578" s="42" t="s">
        <v>0</v>
      </c>
    </row>
    <row r="2579" spans="1:6">
      <c r="A2579" s="39">
        <f>A2578</f>
        <v>46020</v>
      </c>
      <c r="B2579" s="40" t="s">
        <v>116</v>
      </c>
      <c r="C2579" s="40" t="s">
        <v>46</v>
      </c>
      <c r="D2579" s="41">
        <v>685.9</v>
      </c>
      <c r="E2579" s="43" t="str">
        <f>C2579</f>
        <v>Traspaso</v>
      </c>
      <c r="F2579" s="42" t="s">
        <v>0</v>
      </c>
    </row>
    <row r="2580" spans="1:6">
      <c r="A2580" s="39">
        <v>46021</v>
      </c>
      <c r="B2580" s="40" t="s">
        <v>452</v>
      </c>
      <c r="C2580" s="40" t="s">
        <v>41</v>
      </c>
      <c r="D2580" s="41">
        <v>-14</v>
      </c>
      <c r="E2580" s="43" t="s">
        <v>752</v>
      </c>
      <c r="F2580" s="42" t="s">
        <v>38</v>
      </c>
    </row>
    <row r="2581" spans="1:6">
      <c r="A2581" s="39">
        <f>A2580</f>
        <v>46021</v>
      </c>
      <c r="B2581" s="40" t="s">
        <v>450</v>
      </c>
      <c r="C2581" s="40" t="s">
        <v>54</v>
      </c>
      <c r="D2581" s="41">
        <v>-55.6</v>
      </c>
      <c r="E2581" s="43" t="s">
        <v>753</v>
      </c>
      <c r="F2581" s="42" t="s">
        <v>1</v>
      </c>
    </row>
    <row r="2582" spans="1:6">
      <c r="A2582" s="39">
        <f>A2581</f>
        <v>46021</v>
      </c>
      <c r="B2582" s="40" t="s">
        <v>450</v>
      </c>
      <c r="C2582" s="40" t="s">
        <v>461</v>
      </c>
      <c r="D2582" s="41">
        <v>-3.99</v>
      </c>
      <c r="E2582" s="43" t="s">
        <v>754</v>
      </c>
      <c r="F2582" s="42" t="s">
        <v>1</v>
      </c>
    </row>
    <row r="2583" spans="1:6">
      <c r="A2583" s="39">
        <f>A2582</f>
        <v>46021</v>
      </c>
      <c r="B2583" s="40" t="s">
        <v>256</v>
      </c>
      <c r="C2583" s="40" t="s">
        <v>46</v>
      </c>
      <c r="D2583" s="41">
        <v>-500</v>
      </c>
      <c r="E2583" s="43" t="str">
        <f>C2583</f>
        <v>Traspaso</v>
      </c>
      <c r="F2583" s="42" t="s">
        <v>1</v>
      </c>
    </row>
    <row r="2584" spans="1:6">
      <c r="A2584" s="39">
        <f>A2583</f>
        <v>46021</v>
      </c>
      <c r="B2584" s="40" t="s">
        <v>475</v>
      </c>
      <c r="C2584" s="40" t="s">
        <v>46</v>
      </c>
      <c r="D2584" s="41">
        <v>500</v>
      </c>
      <c r="E2584" s="43" t="str">
        <f>C2584</f>
        <v>Traspaso</v>
      </c>
      <c r="F2584" s="42" t="s">
        <v>1</v>
      </c>
    </row>
    <row r="2585" spans="1:6">
      <c r="A2585" s="39">
        <f>A2584</f>
        <v>46021</v>
      </c>
      <c r="B2585" s="40" t="s">
        <v>475</v>
      </c>
      <c r="C2585" s="40" t="s">
        <v>46</v>
      </c>
      <c r="D2585" s="41">
        <v>-500.09</v>
      </c>
      <c r="E2585" s="43" t="str">
        <f>C2585</f>
        <v>Traspaso</v>
      </c>
      <c r="F2585" s="42" t="s">
        <v>1</v>
      </c>
    </row>
    <row r="2586" spans="1:6">
      <c r="A2586" s="39">
        <f>A2585</f>
        <v>46021</v>
      </c>
      <c r="B2586" s="40" t="s">
        <v>610</v>
      </c>
      <c r="C2586" s="40" t="s">
        <v>46</v>
      </c>
      <c r="D2586" s="41">
        <v>500.09</v>
      </c>
      <c r="E2586" s="43" t="str">
        <f>C2586</f>
        <v>Traspaso</v>
      </c>
      <c r="F2586" s="42" t="s">
        <v>1</v>
      </c>
    </row>
    <row r="2587" spans="1:6">
      <c r="A2587" s="39">
        <f>A2586</f>
        <v>46021</v>
      </c>
      <c r="B2587" s="40" t="s">
        <v>673</v>
      </c>
      <c r="C2587" s="40" t="s">
        <v>52</v>
      </c>
      <c r="D2587" s="41">
        <v>-7.5</v>
      </c>
      <c r="E2587" s="43" t="s">
        <v>455</v>
      </c>
      <c r="F2587" s="42" t="s">
        <v>0</v>
      </c>
    </row>
    <row r="2588" spans="1:6">
      <c r="A2588" s="39">
        <f>A2587</f>
        <v>46021</v>
      </c>
      <c r="B2588" s="40" t="s">
        <v>673</v>
      </c>
      <c r="C2588" s="40" t="s">
        <v>461</v>
      </c>
      <c r="D2588" s="41">
        <v>-77.67</v>
      </c>
      <c r="E2588" s="43" t="s">
        <v>749</v>
      </c>
      <c r="F2588" s="42" t="s">
        <v>0</v>
      </c>
    </row>
    <row r="2589" spans="1:6">
      <c r="A2589" s="39">
        <f>A2588</f>
        <v>46021</v>
      </c>
      <c r="B2589" s="40" t="s">
        <v>746</v>
      </c>
      <c r="C2589" s="40" t="s">
        <v>46</v>
      </c>
      <c r="D2589" s="41">
        <v>-2927.11</v>
      </c>
      <c r="E2589" s="43" t="str">
        <f>C2589</f>
        <v>Traspaso</v>
      </c>
      <c r="F2589" s="42" t="s">
        <v>0</v>
      </c>
    </row>
    <row r="2590" spans="1:6">
      <c r="A2590" s="39">
        <f>A2589</f>
        <v>46021</v>
      </c>
      <c r="B2590" s="40" t="s">
        <v>116</v>
      </c>
      <c r="C2590" s="40" t="s">
        <v>46</v>
      </c>
      <c r="D2590" s="41">
        <v>2927.11</v>
      </c>
      <c r="E2590" s="43" t="str">
        <f>C2590</f>
        <v>Traspaso</v>
      </c>
      <c r="F2590" s="42" t="s">
        <v>0</v>
      </c>
    </row>
    <row r="2591" spans="1:6">
      <c r="A2591" s="39">
        <v>46022</v>
      </c>
      <c r="B2591" s="40" t="s">
        <v>673</v>
      </c>
      <c r="C2591" s="40" t="s">
        <v>43</v>
      </c>
      <c r="D2591" s="41">
        <v>-39.47</v>
      </c>
      <c r="E2591" s="43" t="s">
        <v>498</v>
      </c>
      <c r="F2591" s="42" t="s">
        <v>0</v>
      </c>
    </row>
    <row r="2592" spans="1:6">
      <c r="A2592" s="39">
        <v>46022</v>
      </c>
      <c r="B2592" s="40" t="s">
        <v>478</v>
      </c>
      <c r="C2592" s="40" t="s">
        <v>46</v>
      </c>
      <c r="D2592" s="41">
        <v>-2796.51</v>
      </c>
      <c r="E2592" s="43" t="str">
        <f>C2592</f>
        <v>Traspaso</v>
      </c>
      <c r="F2592" s="42" t="s">
        <v>0</v>
      </c>
    </row>
    <row r="2593" spans="1:6">
      <c r="A2593" s="39">
        <f>A2592</f>
        <v>46022</v>
      </c>
      <c r="B2593" s="40" t="s">
        <v>715</v>
      </c>
      <c r="C2593" s="40" t="s">
        <v>46</v>
      </c>
      <c r="D2593" s="41">
        <v>2796.51</v>
      </c>
      <c r="E2593" s="43" t="str">
        <f>C2593</f>
        <v>Traspaso</v>
      </c>
      <c r="F2593" s="42" t="s">
        <v>0</v>
      </c>
    </row>
    <row r="2594" spans="1:6">
      <c r="A2594" s="39">
        <f>A2593</f>
        <v>46022</v>
      </c>
      <c r="B2594" s="40" t="s">
        <v>454</v>
      </c>
      <c r="C2594" s="40" t="s">
        <v>46</v>
      </c>
      <c r="D2594" s="41">
        <v>-120.25</v>
      </c>
      <c r="E2594" s="43" t="str">
        <f>C2594</f>
        <v>Traspaso</v>
      </c>
      <c r="F2594" s="42" t="s">
        <v>0</v>
      </c>
    </row>
    <row r="2595" spans="1:6">
      <c r="A2595" s="39">
        <f>A2594</f>
        <v>46022</v>
      </c>
      <c r="B2595" s="40" t="s">
        <v>472</v>
      </c>
      <c r="C2595" s="40" t="s">
        <v>46</v>
      </c>
      <c r="D2595" s="41">
        <v>120.25</v>
      </c>
      <c r="E2595" s="43" t="str">
        <f>C2595</f>
        <v>Traspaso</v>
      </c>
      <c r="F2595" s="42" t="s">
        <v>0</v>
      </c>
    </row>
    <row r="2596" spans="1:6">
      <c r="A2596" s="39">
        <f>A2595</f>
        <v>46022</v>
      </c>
      <c r="B2596" s="40" t="s">
        <v>446</v>
      </c>
      <c r="C2596" s="40" t="s">
        <v>46</v>
      </c>
      <c r="D2596" s="41">
        <v>-721.77</v>
      </c>
      <c r="E2596" s="43" t="str">
        <f>C2596</f>
        <v>Traspaso</v>
      </c>
      <c r="F2596" s="42" t="s">
        <v>1</v>
      </c>
    </row>
    <row r="2597" spans="1:6">
      <c r="A2597" s="39">
        <f>A2596</f>
        <v>46022</v>
      </c>
      <c r="B2597" s="40" t="s">
        <v>445</v>
      </c>
      <c r="C2597" s="40" t="s">
        <v>46</v>
      </c>
      <c r="D2597" s="41">
        <v>721.77</v>
      </c>
      <c r="E2597" s="43" t="str">
        <f>C2597</f>
        <v>Traspaso</v>
      </c>
      <c r="F2597" s="42" t="s">
        <v>1</v>
      </c>
    </row>
    <row r="2598" spans="1:6">
      <c r="A2598" s="39">
        <f>A2597</f>
        <v>46022</v>
      </c>
      <c r="B2598" s="40" t="s">
        <v>448</v>
      </c>
      <c r="C2598" s="40" t="s">
        <v>46</v>
      </c>
      <c r="D2598" s="41">
        <v>-1000</v>
      </c>
      <c r="E2598" s="43" t="str">
        <f>C2598</f>
        <v>Traspaso</v>
      </c>
      <c r="F2598" s="42" t="s">
        <v>1</v>
      </c>
    </row>
    <row r="2599" spans="1:6">
      <c r="A2599" s="39">
        <f>A2598</f>
        <v>46022</v>
      </c>
      <c r="B2599" s="40" t="s">
        <v>446</v>
      </c>
      <c r="C2599" s="40" t="s">
        <v>46</v>
      </c>
      <c r="D2599" s="41">
        <v>1000</v>
      </c>
      <c r="E2599" s="43" t="str">
        <f>C2599</f>
        <v>Traspaso</v>
      </c>
      <c r="F2599" s="42" t="s">
        <v>1</v>
      </c>
    </row>
    <row r="2600" spans="1:6">
      <c r="A2600" s="39">
        <f t="shared" ref="A2600:A2601" si="0">A2599</f>
        <v>46022</v>
      </c>
      <c r="B2600" s="40" t="s">
        <v>450</v>
      </c>
      <c r="C2600" s="40" t="s">
        <v>50</v>
      </c>
      <c r="D2600" s="41">
        <v>-14.29</v>
      </c>
      <c r="E2600" s="43" t="s">
        <v>755</v>
      </c>
      <c r="F2600" s="42" t="s">
        <v>1</v>
      </c>
    </row>
    <row r="2601" spans="1:6">
      <c r="A2601" s="39">
        <f t="shared" si="0"/>
        <v>46022</v>
      </c>
      <c r="B2601" s="40" t="s">
        <v>450</v>
      </c>
      <c r="C2601" s="40" t="s">
        <v>76</v>
      </c>
      <c r="D2601" s="41">
        <v>-26.76</v>
      </c>
      <c r="E2601" s="43" t="s">
        <v>756</v>
      </c>
      <c r="F2601" s="42" t="s">
        <v>1</v>
      </c>
    </row>
    <row r="2602" spans="1:6">
      <c r="A2602" s="39">
        <v>46023</v>
      </c>
      <c r="B2602" s="40" t="s">
        <v>446</v>
      </c>
      <c r="C2602" s="40" t="s">
        <v>46</v>
      </c>
      <c r="D2602" s="41">
        <v>-700</v>
      </c>
      <c r="E2602" s="43" t="str">
        <f>C2602</f>
        <v>Traspaso</v>
      </c>
      <c r="F2602" s="42" t="s">
        <v>1</v>
      </c>
    </row>
    <row r="2603" spans="1:6">
      <c r="A2603" s="39">
        <f>A2602</f>
        <v>46023</v>
      </c>
      <c r="B2603" s="40" t="s">
        <v>504</v>
      </c>
      <c r="C2603" s="40" t="s">
        <v>46</v>
      </c>
      <c r="D2603" s="41">
        <v>700</v>
      </c>
      <c r="E2603" s="43" t="str">
        <f>C2603</f>
        <v>Traspaso</v>
      </c>
      <c r="F2603" s="42" t="s">
        <v>1</v>
      </c>
    </row>
    <row r="2604" spans="1:6">
      <c r="A2604" s="39">
        <f>A2603</f>
        <v>46023</v>
      </c>
      <c r="B2604" s="40" t="s">
        <v>450</v>
      </c>
      <c r="C2604" s="40" t="s">
        <v>34</v>
      </c>
      <c r="D2604" s="41">
        <v>0.06</v>
      </c>
      <c r="E2604" s="43" t="str">
        <f>C2604</f>
        <v>Intereses</v>
      </c>
      <c r="F2604" s="42" t="s">
        <v>1</v>
      </c>
    </row>
    <row r="2605" spans="1:6">
      <c r="A2605" s="39">
        <f>A2604</f>
        <v>46023</v>
      </c>
      <c r="B2605" s="40" t="s">
        <v>256</v>
      </c>
      <c r="C2605" s="40" t="s">
        <v>34</v>
      </c>
      <c r="D2605" s="41">
        <v>44.44</v>
      </c>
      <c r="E2605" s="43" t="str">
        <f>C2605</f>
        <v>Intereses</v>
      </c>
      <c r="F2605" s="42" t="s">
        <v>1</v>
      </c>
    </row>
    <row r="2606" spans="1:6">
      <c r="A2606" s="39">
        <f>A2605</f>
        <v>46023</v>
      </c>
      <c r="B2606" s="40" t="s">
        <v>504</v>
      </c>
      <c r="C2606" s="40" t="s">
        <v>34</v>
      </c>
      <c r="D2606" s="41">
        <v>55.57</v>
      </c>
      <c r="E2606" s="43" t="s">
        <v>34</v>
      </c>
      <c r="F2606" s="42" t="s">
        <v>1</v>
      </c>
    </row>
    <row r="2607" spans="1:6">
      <c r="A2607" s="39">
        <f>A2606</f>
        <v>46023</v>
      </c>
      <c r="B2607" s="40" t="s">
        <v>452</v>
      </c>
      <c r="C2607" s="40" t="s">
        <v>62</v>
      </c>
      <c r="D2607" s="41">
        <v>10</v>
      </c>
      <c r="E2607" s="43" t="s">
        <v>757</v>
      </c>
      <c r="F2607" s="42" t="s">
        <v>1</v>
      </c>
    </row>
    <row r="2608" spans="1:6">
      <c r="A2608" s="39">
        <f>A2605</f>
        <v>46023</v>
      </c>
      <c r="B2608" s="40" t="s">
        <v>239</v>
      </c>
      <c r="C2608" s="40" t="s">
        <v>34</v>
      </c>
      <c r="D2608" s="41">
        <v>0.04</v>
      </c>
      <c r="E2608" s="43" t="str">
        <f>C2608</f>
        <v>Intereses</v>
      </c>
      <c r="F2608" s="42" t="s">
        <v>0</v>
      </c>
    </row>
    <row r="2609" spans="1:6">
      <c r="A2609" s="39">
        <f>A2608</f>
        <v>46023</v>
      </c>
      <c r="B2609" s="40" t="s">
        <v>116</v>
      </c>
      <c r="C2609" s="40" t="s">
        <v>34</v>
      </c>
      <c r="D2609" s="41">
        <v>1.56</v>
      </c>
      <c r="E2609" s="43" t="str">
        <f>C2609</f>
        <v>Intereses</v>
      </c>
      <c r="F2609" s="42" t="s">
        <v>0</v>
      </c>
    </row>
    <row r="2610" spans="1:6">
      <c r="A2610" s="39">
        <f>A2609</f>
        <v>46023</v>
      </c>
      <c r="B2610" s="40" t="s">
        <v>454</v>
      </c>
      <c r="C2610" s="40" t="s">
        <v>39</v>
      </c>
      <c r="D2610" s="41">
        <v>800</v>
      </c>
      <c r="E2610" s="43" t="s">
        <v>758</v>
      </c>
      <c r="F2610" s="42" t="s">
        <v>0</v>
      </c>
    </row>
    <row r="2611" spans="1:6">
      <c r="A2611" s="39">
        <f>A2610</f>
        <v>46023</v>
      </c>
      <c r="B2611" s="40" t="s">
        <v>759</v>
      </c>
      <c r="C2611" s="40" t="s">
        <v>34</v>
      </c>
      <c r="D2611" s="41">
        <v>22</v>
      </c>
      <c r="E2611" s="43" t="str">
        <f>C2611</f>
        <v>Intereses</v>
      </c>
      <c r="F2611" s="42" t="s">
        <v>0</v>
      </c>
    </row>
    <row r="2612" spans="1:6">
      <c r="A2612" s="39">
        <v>46024</v>
      </c>
      <c r="B2612" s="40" t="s">
        <v>471</v>
      </c>
      <c r="C2612" s="40" t="s">
        <v>62</v>
      </c>
      <c r="D2612" s="41">
        <v>-20</v>
      </c>
      <c r="E2612" s="43" t="s">
        <v>575</v>
      </c>
      <c r="F2612" s="42" t="s">
        <v>38</v>
      </c>
    </row>
    <row r="2613" spans="1:6">
      <c r="A2613" s="39">
        <f>A2612</f>
        <v>46024</v>
      </c>
      <c r="B2613" s="40" t="s">
        <v>454</v>
      </c>
      <c r="C2613" s="40" t="s">
        <v>46</v>
      </c>
      <c r="D2613" s="41">
        <v>-300</v>
      </c>
      <c r="E2613" s="43" t="str">
        <f>C2613</f>
        <v>Traspaso</v>
      </c>
      <c r="F2613" s="42" t="s">
        <v>0</v>
      </c>
    </row>
    <row r="2614" spans="1:6">
      <c r="A2614" s="39">
        <f>A2613</f>
        <v>46024</v>
      </c>
      <c r="B2614" s="40" t="s">
        <v>471</v>
      </c>
      <c r="C2614" s="40" t="s">
        <v>46</v>
      </c>
      <c r="D2614" s="41">
        <v>300</v>
      </c>
      <c r="E2614" s="43" t="str">
        <f>C2614</f>
        <v>Traspaso</v>
      </c>
      <c r="F2614" s="42" t="s">
        <v>0</v>
      </c>
    </row>
    <row r="2615" spans="1:6">
      <c r="A2615" s="39">
        <f>A2614</f>
        <v>46024</v>
      </c>
      <c r="B2615" s="40" t="s">
        <v>116</v>
      </c>
      <c r="C2615" s="40" t="s">
        <v>46</v>
      </c>
      <c r="D2615" s="41">
        <v>-3750</v>
      </c>
      <c r="E2615" s="43" t="str">
        <f>C2615</f>
        <v>Traspaso</v>
      </c>
      <c r="F2615" s="42" t="s">
        <v>0</v>
      </c>
    </row>
    <row r="2616" spans="1:6">
      <c r="A2616" s="39">
        <f>A2615</f>
        <v>46024</v>
      </c>
      <c r="B2616" s="40" t="s">
        <v>485</v>
      </c>
      <c r="C2616" s="40" t="s">
        <v>46</v>
      </c>
      <c r="D2616" s="41">
        <v>3750</v>
      </c>
      <c r="E2616" s="43" t="str">
        <f>C2616</f>
        <v>Traspaso</v>
      </c>
      <c r="F2616" s="42" t="s">
        <v>0</v>
      </c>
    </row>
    <row r="2617" spans="1:6">
      <c r="A2617" s="39">
        <f>A2616</f>
        <v>46024</v>
      </c>
      <c r="B2617" s="40" t="s">
        <v>116</v>
      </c>
      <c r="C2617" s="40" t="s">
        <v>47</v>
      </c>
      <c r="D2617" s="41">
        <v>-311.17</v>
      </c>
      <c r="E2617" s="43" t="s">
        <v>699</v>
      </c>
      <c r="F2617" s="42" t="s">
        <v>0</v>
      </c>
    </row>
    <row r="2618" spans="1:6">
      <c r="A2618" s="39">
        <f>A2617</f>
        <v>46024</v>
      </c>
      <c r="B2618" s="40" t="s">
        <v>553</v>
      </c>
      <c r="C2618" s="40" t="s">
        <v>46</v>
      </c>
      <c r="D2618" s="41">
        <v>-695</v>
      </c>
      <c r="E2618" s="43" t="str">
        <f>C2618</f>
        <v>Traspaso</v>
      </c>
      <c r="F2618" s="42" t="s">
        <v>0</v>
      </c>
    </row>
    <row r="2619" spans="1:6">
      <c r="A2619" s="39">
        <f>A2618</f>
        <v>46024</v>
      </c>
      <c r="B2619" s="40" t="s">
        <v>715</v>
      </c>
      <c r="C2619" s="40" t="s">
        <v>46</v>
      </c>
      <c r="D2619" s="41">
        <v>695</v>
      </c>
      <c r="E2619" s="43" t="str">
        <f>C2619</f>
        <v>Traspaso</v>
      </c>
      <c r="F2619" s="42" t="s">
        <v>0</v>
      </c>
    </row>
    <row r="2620" spans="1:6">
      <c r="A2620" s="39">
        <f>A2619</f>
        <v>46024</v>
      </c>
      <c r="B2620" s="40" t="s">
        <v>446</v>
      </c>
      <c r="C2620" s="40" t="s">
        <v>54</v>
      </c>
      <c r="D2620" s="41">
        <v>-65.75</v>
      </c>
      <c r="E2620" s="43" t="s">
        <v>123</v>
      </c>
      <c r="F2620" s="42" t="s">
        <v>1</v>
      </c>
    </row>
    <row r="2621" spans="1:6">
      <c r="A2621" s="39">
        <f>A2620</f>
        <v>46024</v>
      </c>
      <c r="B2621" s="40" t="s">
        <v>446</v>
      </c>
      <c r="C2621" s="40" t="s">
        <v>461</v>
      </c>
      <c r="D2621" s="41">
        <v>-11.29</v>
      </c>
      <c r="E2621" s="43" t="s">
        <v>80</v>
      </c>
      <c r="F2621" s="42" t="s">
        <v>1</v>
      </c>
    </row>
    <row r="2622" spans="1:6">
      <c r="A2622" s="39">
        <f>A2621</f>
        <v>46024</v>
      </c>
      <c r="B2622" s="40" t="s">
        <v>446</v>
      </c>
      <c r="C2622" s="40" t="s">
        <v>463</v>
      </c>
      <c r="D2622" s="41">
        <v>100</v>
      </c>
      <c r="E2622" s="43" t="s">
        <v>126</v>
      </c>
      <c r="F2622" s="42" t="s">
        <v>38</v>
      </c>
    </row>
    <row r="2623" spans="1:6">
      <c r="A2623" s="39">
        <f>A2622</f>
        <v>46024</v>
      </c>
      <c r="B2623" s="40" t="s">
        <v>504</v>
      </c>
      <c r="C2623" s="40" t="s">
        <v>47</v>
      </c>
      <c r="D2623" s="41">
        <v>311.17</v>
      </c>
      <c r="E2623" s="43" t="s">
        <v>57</v>
      </c>
      <c r="F2623" s="42" t="s">
        <v>1</v>
      </c>
    </row>
    <row r="2624" spans="1:6">
      <c r="A2624" s="39">
        <f>A2623</f>
        <v>46024</v>
      </c>
      <c r="B2624" s="40" t="s">
        <v>445</v>
      </c>
      <c r="C2624" s="40" t="s">
        <v>36</v>
      </c>
      <c r="D2624" s="41">
        <v>-3.15</v>
      </c>
      <c r="E2624" s="43" t="s">
        <v>133</v>
      </c>
      <c r="F2624" s="42" t="s">
        <v>38</v>
      </c>
    </row>
    <row r="2625" spans="1:6">
      <c r="A2625" s="39">
        <f>A2624</f>
        <v>46024</v>
      </c>
      <c r="B2625" s="40" t="s">
        <v>452</v>
      </c>
      <c r="C2625" s="40" t="s">
        <v>41</v>
      </c>
      <c r="D2625" s="41">
        <v>-5.7</v>
      </c>
      <c r="E2625" s="43" t="s">
        <v>752</v>
      </c>
      <c r="F2625" s="42" t="s">
        <v>1</v>
      </c>
    </row>
    <row r="2626" spans="1:6">
      <c r="A2626" s="39">
        <f>A2625</f>
        <v>46024</v>
      </c>
      <c r="B2626" s="40" t="s">
        <v>504</v>
      </c>
      <c r="C2626" s="40" t="s">
        <v>46</v>
      </c>
      <c r="D2626" s="41">
        <v>-70</v>
      </c>
      <c r="E2626" s="43"/>
      <c r="F2626" s="42" t="s">
        <v>1</v>
      </c>
    </row>
    <row r="2627" spans="1:6">
      <c r="A2627" s="39">
        <f>A2626</f>
        <v>46024</v>
      </c>
      <c r="B2627" s="40" t="s">
        <v>201</v>
      </c>
      <c r="C2627" s="40" t="s">
        <v>46</v>
      </c>
      <c r="D2627" s="41">
        <v>70</v>
      </c>
      <c r="E2627" s="43"/>
      <c r="F2627" s="42" t="s">
        <v>1</v>
      </c>
    </row>
    <row r="2628" spans="1:6">
      <c r="A2628" s="39">
        <v>46025</v>
      </c>
      <c r="B2628" s="40" t="s">
        <v>542</v>
      </c>
      <c r="C2628" s="40" t="s">
        <v>46</v>
      </c>
      <c r="D2628" s="41">
        <v>-293.66000000000003</v>
      </c>
      <c r="E2628" s="43" t="str">
        <f>C2628</f>
        <v>Traspaso</v>
      </c>
      <c r="F2628" s="42" t="s">
        <v>0</v>
      </c>
    </row>
    <row r="2629" spans="1:6">
      <c r="A2629" s="39">
        <f>A2628</f>
        <v>46025</v>
      </c>
      <c r="B2629" s="40" t="s">
        <v>759</v>
      </c>
      <c r="C2629" s="40" t="s">
        <v>46</v>
      </c>
      <c r="D2629" s="41">
        <v>293.66000000000003</v>
      </c>
      <c r="E2629" s="43" t="str">
        <f>C2629</f>
        <v>Traspaso</v>
      </c>
      <c r="F2629" s="42" t="s">
        <v>0</v>
      </c>
    </row>
    <row r="2630" spans="1:6">
      <c r="A2630" s="39">
        <f>A2629</f>
        <v>46025</v>
      </c>
      <c r="B2630" s="40" t="s">
        <v>759</v>
      </c>
      <c r="C2630" s="40" t="s">
        <v>46</v>
      </c>
      <c r="D2630" s="41">
        <v>-293.66000000000003</v>
      </c>
      <c r="E2630" s="43" t="str">
        <f>C2630</f>
        <v>Traspaso</v>
      </c>
      <c r="F2630" s="42" t="s">
        <v>0</v>
      </c>
    </row>
    <row r="2631" spans="1:6">
      <c r="A2631" s="39">
        <f>A2630</f>
        <v>46025</v>
      </c>
      <c r="B2631" s="40" t="s">
        <v>715</v>
      </c>
      <c r="C2631" s="40" t="s">
        <v>46</v>
      </c>
      <c r="D2631" s="41">
        <v>293.66000000000003</v>
      </c>
      <c r="E2631" s="43" t="str">
        <f>C2631</f>
        <v>Traspaso</v>
      </c>
      <c r="F2631" s="42" t="s">
        <v>0</v>
      </c>
    </row>
    <row r="2632" spans="1:6">
      <c r="A2632" s="39">
        <f>A2631</f>
        <v>46025</v>
      </c>
      <c r="B2632" s="40" t="s">
        <v>673</v>
      </c>
      <c r="C2632" s="40" t="s">
        <v>36</v>
      </c>
      <c r="D2632" s="41">
        <v>-69.11</v>
      </c>
      <c r="E2632" s="43" t="s">
        <v>295</v>
      </c>
      <c r="F2632" s="42" t="s">
        <v>38</v>
      </c>
    </row>
    <row r="2633" spans="1:6">
      <c r="A2633" s="39">
        <f>A2632</f>
        <v>46025</v>
      </c>
      <c r="B2633" s="40" t="s">
        <v>625</v>
      </c>
      <c r="C2633" s="40" t="s">
        <v>46</v>
      </c>
      <c r="D2633" s="41">
        <v>-519.24</v>
      </c>
      <c r="E2633" s="43" t="str">
        <f>C2633</f>
        <v>Traspaso</v>
      </c>
      <c r="F2633" s="42" t="s">
        <v>0</v>
      </c>
    </row>
    <row r="2634" spans="1:6">
      <c r="A2634" s="39">
        <f>A2633</f>
        <v>46025</v>
      </c>
      <c r="B2634" s="40" t="s">
        <v>715</v>
      </c>
      <c r="C2634" s="40" t="s">
        <v>46</v>
      </c>
      <c r="D2634" s="41">
        <v>519.24</v>
      </c>
      <c r="E2634" s="43" t="str">
        <f>C2634</f>
        <v>Traspaso</v>
      </c>
      <c r="F2634" s="42" t="s">
        <v>0</v>
      </c>
    </row>
    <row r="2635" spans="1:6">
      <c r="A2635" s="39">
        <v>46026</v>
      </c>
      <c r="B2635" s="40" t="s">
        <v>673</v>
      </c>
      <c r="C2635" s="40" t="s">
        <v>52</v>
      </c>
      <c r="D2635" s="41">
        <v>-6</v>
      </c>
      <c r="E2635" s="43" t="s">
        <v>455</v>
      </c>
      <c r="F2635" s="42" t="s">
        <v>0</v>
      </c>
    </row>
    <row r="2636" spans="1:6">
      <c r="A2636" s="39">
        <v>46026</v>
      </c>
      <c r="B2636" s="40" t="s">
        <v>452</v>
      </c>
      <c r="C2636" s="40" t="s">
        <v>41</v>
      </c>
      <c r="D2636" s="41">
        <v>-10.7</v>
      </c>
      <c r="E2636" s="43" t="s">
        <v>752</v>
      </c>
      <c r="F2636" s="42" t="s">
        <v>38</v>
      </c>
    </row>
    <row r="2637" spans="1:6">
      <c r="A2637" s="39">
        <v>46027</v>
      </c>
      <c r="B2637" s="40" t="s">
        <v>446</v>
      </c>
      <c r="C2637" s="40" t="s">
        <v>60</v>
      </c>
      <c r="D2637" s="41">
        <v>-21</v>
      </c>
      <c r="E2637" s="43" t="s">
        <v>68</v>
      </c>
      <c r="F2637" s="42" t="s">
        <v>1</v>
      </c>
    </row>
    <row r="2638" spans="1:6">
      <c r="A2638" s="39">
        <v>46027</v>
      </c>
      <c r="B2638" s="40" t="s">
        <v>446</v>
      </c>
      <c r="C2638" s="40" t="s">
        <v>43</v>
      </c>
      <c r="D2638" s="41">
        <v>-35</v>
      </c>
      <c r="E2638" s="43" t="s">
        <v>760</v>
      </c>
      <c r="F2638" s="42" t="s">
        <v>38</v>
      </c>
    </row>
    <row r="2639" spans="1:6">
      <c r="A2639" s="39">
        <v>46027</v>
      </c>
      <c r="B2639" s="40" t="s">
        <v>452</v>
      </c>
      <c r="C2639" s="40" t="s">
        <v>41</v>
      </c>
      <c r="D2639" s="41">
        <v>-13.3</v>
      </c>
      <c r="E2639" s="43" t="s">
        <v>761</v>
      </c>
      <c r="F2639" s="42" t="s">
        <v>1</v>
      </c>
    </row>
    <row r="2640" spans="1:6">
      <c r="A2640" s="39">
        <v>46027</v>
      </c>
      <c r="B2640" s="40" t="s">
        <v>446</v>
      </c>
      <c r="C2640" s="40" t="s">
        <v>52</v>
      </c>
      <c r="D2640" s="41">
        <v>-74</v>
      </c>
      <c r="E2640" s="43" t="s">
        <v>130</v>
      </c>
      <c r="F2640" s="42" t="s">
        <v>38</v>
      </c>
    </row>
    <row r="2641" spans="1:6">
      <c r="A2641" s="39">
        <v>46027</v>
      </c>
      <c r="B2641" s="40" t="s">
        <v>450</v>
      </c>
      <c r="C2641" s="40" t="s">
        <v>510</v>
      </c>
      <c r="D2641" s="41">
        <v>-56.15</v>
      </c>
      <c r="E2641" s="43" t="s">
        <v>762</v>
      </c>
      <c r="F2641" s="42" t="s">
        <v>38</v>
      </c>
    </row>
    <row r="2642" spans="1:6">
      <c r="A2642" s="39">
        <v>46027</v>
      </c>
      <c r="B2642" s="40" t="s">
        <v>673</v>
      </c>
      <c r="C2642" s="40" t="s">
        <v>43</v>
      </c>
      <c r="D2642" s="41">
        <v>-38.72</v>
      </c>
      <c r="E2642" s="43" t="s">
        <v>498</v>
      </c>
      <c r="F2642" s="42" t="s">
        <v>0</v>
      </c>
    </row>
    <row r="2643" spans="1:6">
      <c r="A2643" s="39">
        <f>A2642</f>
        <v>46027</v>
      </c>
      <c r="B2643" s="40" t="s">
        <v>673</v>
      </c>
      <c r="C2643" s="40" t="s">
        <v>43</v>
      </c>
      <c r="D2643" s="41">
        <v>-35</v>
      </c>
      <c r="E2643" s="43" t="s">
        <v>252</v>
      </c>
      <c r="F2643" s="42" t="s">
        <v>0</v>
      </c>
    </row>
    <row r="2644" spans="1:6">
      <c r="A2644" s="39">
        <f>A2643</f>
        <v>46027</v>
      </c>
      <c r="B2644" s="40" t="s">
        <v>471</v>
      </c>
      <c r="C2644" s="40" t="s">
        <v>46</v>
      </c>
      <c r="D2644" s="41">
        <v>-175</v>
      </c>
      <c r="E2644" s="43" t="str">
        <f>C2644</f>
        <v>Traspaso</v>
      </c>
      <c r="F2644" s="42" t="s">
        <v>0</v>
      </c>
    </row>
    <row r="2645" spans="1:6">
      <c r="A2645" s="39">
        <f>A2644</f>
        <v>46027</v>
      </c>
      <c r="B2645" s="40" t="s">
        <v>457</v>
      </c>
      <c r="C2645" s="40" t="s">
        <v>46</v>
      </c>
      <c r="D2645" s="41">
        <v>175</v>
      </c>
      <c r="E2645" s="43" t="str">
        <f>C2645</f>
        <v>Traspaso</v>
      </c>
      <c r="F2645" s="42" t="s">
        <v>0</v>
      </c>
    </row>
    <row r="2646" spans="1:6">
      <c r="A2646" s="39">
        <f>A2645</f>
        <v>46027</v>
      </c>
      <c r="B2646" s="40" t="s">
        <v>471</v>
      </c>
      <c r="C2646" s="40" t="s">
        <v>46</v>
      </c>
      <c r="D2646" s="41">
        <v>-125</v>
      </c>
      <c r="E2646" s="43" t="str">
        <f>C2646</f>
        <v>Traspaso</v>
      </c>
      <c r="F2646" s="42" t="s">
        <v>0</v>
      </c>
    </row>
    <row r="2647" spans="1:6">
      <c r="A2647" s="39">
        <f>A2646</f>
        <v>46027</v>
      </c>
      <c r="B2647" s="40" t="s">
        <v>328</v>
      </c>
      <c r="C2647" s="40" t="s">
        <v>46</v>
      </c>
      <c r="D2647" s="41">
        <v>125</v>
      </c>
      <c r="E2647" s="43" t="str">
        <f>C2647</f>
        <v>Traspaso</v>
      </c>
      <c r="F2647" s="42" t="s">
        <v>0</v>
      </c>
    </row>
    <row r="2648" spans="1:6">
      <c r="A2648" s="39">
        <f>A2647</f>
        <v>46027</v>
      </c>
      <c r="B2648" s="40" t="s">
        <v>471</v>
      </c>
      <c r="C2648" s="40" t="s">
        <v>46</v>
      </c>
      <c r="D2648" s="41">
        <v>-300</v>
      </c>
      <c r="E2648" s="43" t="str">
        <f>C2648</f>
        <v>Traspaso</v>
      </c>
      <c r="F2648" s="42" t="s">
        <v>0</v>
      </c>
    </row>
    <row r="2649" spans="1:6">
      <c r="A2649" s="39">
        <f>A2648</f>
        <v>46027</v>
      </c>
      <c r="B2649" s="40" t="s">
        <v>542</v>
      </c>
      <c r="C2649" s="40" t="s">
        <v>46</v>
      </c>
      <c r="D2649" s="41">
        <v>300</v>
      </c>
      <c r="E2649" s="43" t="str">
        <f>C2649</f>
        <v>Traspaso</v>
      </c>
      <c r="F2649" s="42" t="s">
        <v>0</v>
      </c>
    </row>
    <row r="2650" spans="1:6">
      <c r="A2650" s="39">
        <f>A2649</f>
        <v>46027</v>
      </c>
      <c r="B2650" s="40" t="s">
        <v>542</v>
      </c>
      <c r="C2650" s="40" t="s">
        <v>46</v>
      </c>
      <c r="D2650" s="41">
        <v>-400</v>
      </c>
      <c r="E2650" s="43" t="str">
        <f>C2650</f>
        <v>Traspaso</v>
      </c>
      <c r="F2650" s="42" t="s">
        <v>0</v>
      </c>
    </row>
    <row r="2651" spans="1:6">
      <c r="A2651" s="39">
        <f>A2650</f>
        <v>46027</v>
      </c>
      <c r="B2651" s="40" t="s">
        <v>715</v>
      </c>
      <c r="C2651" s="40" t="s">
        <v>46</v>
      </c>
      <c r="D2651" s="41">
        <v>400</v>
      </c>
      <c r="E2651" s="43" t="str">
        <f>C2651</f>
        <v>Traspaso</v>
      </c>
      <c r="F2651" s="42" t="s">
        <v>0</v>
      </c>
    </row>
    <row r="2652" spans="1:6">
      <c r="A2652" s="39">
        <f>A2651</f>
        <v>46027</v>
      </c>
      <c r="B2652" s="40" t="s">
        <v>673</v>
      </c>
      <c r="C2652" s="40" t="s">
        <v>62</v>
      </c>
      <c r="D2652" s="41">
        <v>-4</v>
      </c>
      <c r="E2652" s="43" t="s">
        <v>460</v>
      </c>
      <c r="F2652" s="42" t="s">
        <v>38</v>
      </c>
    </row>
    <row r="2653" spans="1:6">
      <c r="A2653" s="39">
        <f>A2652</f>
        <v>46027</v>
      </c>
      <c r="B2653" s="40" t="s">
        <v>625</v>
      </c>
      <c r="C2653" s="40" t="s">
        <v>46</v>
      </c>
      <c r="D2653" s="41">
        <v>-840.76</v>
      </c>
      <c r="E2653" s="43" t="str">
        <f>C2653</f>
        <v>Traspaso</v>
      </c>
      <c r="F2653" s="42" t="s">
        <v>0</v>
      </c>
    </row>
    <row r="2654" spans="1:6">
      <c r="A2654" s="39">
        <f>A2653</f>
        <v>46027</v>
      </c>
      <c r="B2654" s="40" t="s">
        <v>715</v>
      </c>
      <c r="C2654" s="40" t="s">
        <v>46</v>
      </c>
      <c r="D2654" s="41">
        <v>840.76</v>
      </c>
      <c r="E2654" s="43" t="str">
        <f>C2654</f>
        <v>Traspaso</v>
      </c>
      <c r="F2654" s="42" t="s">
        <v>0</v>
      </c>
    </row>
    <row r="2655" spans="1:6">
      <c r="A2655" s="39">
        <f>A2654</f>
        <v>46027</v>
      </c>
      <c r="B2655" s="40" t="s">
        <v>759</v>
      </c>
      <c r="C2655" s="40" t="s">
        <v>46</v>
      </c>
      <c r="D2655" s="41">
        <v>-21.7</v>
      </c>
      <c r="E2655" s="43" t="str">
        <f>C2655</f>
        <v>Traspaso</v>
      </c>
      <c r="F2655" s="42" t="s">
        <v>0</v>
      </c>
    </row>
    <row r="2656" spans="1:6">
      <c r="A2656" s="39">
        <f>A2655</f>
        <v>46027</v>
      </c>
      <c r="B2656" s="40" t="s">
        <v>715</v>
      </c>
      <c r="C2656" s="40" t="s">
        <v>46</v>
      </c>
      <c r="D2656" s="41">
        <v>21.7</v>
      </c>
      <c r="E2656" s="43" t="str">
        <f>C2656</f>
        <v>Traspaso</v>
      </c>
      <c r="F2656" s="42" t="s">
        <v>0</v>
      </c>
    </row>
    <row r="2657" spans="1:6">
      <c r="A2657" s="39">
        <f>A2656</f>
        <v>46027</v>
      </c>
      <c r="B2657" s="40" t="s">
        <v>480</v>
      </c>
      <c r="C2657" s="40" t="s">
        <v>46</v>
      </c>
      <c r="D2657" s="41">
        <v>-428.8</v>
      </c>
      <c r="E2657" s="43" t="str">
        <f>C2657</f>
        <v>Traspaso</v>
      </c>
      <c r="F2657" s="42" t="s">
        <v>0</v>
      </c>
    </row>
    <row r="2658" spans="1:6">
      <c r="A2658" s="39">
        <f>A2657</f>
        <v>46027</v>
      </c>
      <c r="B2658" s="40" t="s">
        <v>715</v>
      </c>
      <c r="C2658" s="40" t="s">
        <v>46</v>
      </c>
      <c r="D2658" s="41">
        <v>428.8</v>
      </c>
      <c r="E2658" s="43" t="str">
        <f>C2658</f>
        <v>Traspaso</v>
      </c>
      <c r="F2658" s="42" t="s">
        <v>0</v>
      </c>
    </row>
    <row r="2659" spans="1:6">
      <c r="A2659" s="39">
        <v>46028</v>
      </c>
      <c r="B2659" s="40" t="s">
        <v>746</v>
      </c>
      <c r="C2659" s="40" t="s">
        <v>34</v>
      </c>
      <c r="D2659" s="41">
        <v>1.1299999999999999</v>
      </c>
      <c r="E2659" s="43" t="s">
        <v>763</v>
      </c>
      <c r="F2659" s="42" t="s">
        <v>0</v>
      </c>
    </row>
    <row r="2660" spans="1:6">
      <c r="A2660" s="39">
        <f>A2659</f>
        <v>46028</v>
      </c>
      <c r="B2660" s="40" t="s">
        <v>746</v>
      </c>
      <c r="C2660" s="40" t="s">
        <v>46</v>
      </c>
      <c r="D2660" s="41">
        <v>-553</v>
      </c>
      <c r="E2660" s="43" t="str">
        <f>C2660</f>
        <v>Traspaso</v>
      </c>
      <c r="F2660" s="42" t="s">
        <v>0</v>
      </c>
    </row>
    <row r="2661" spans="1:6">
      <c r="A2661" s="39">
        <f>A2660</f>
        <v>46028</v>
      </c>
      <c r="B2661" s="40" t="s">
        <v>116</v>
      </c>
      <c r="C2661" s="40" t="s">
        <v>46</v>
      </c>
      <c r="D2661" s="41">
        <v>553</v>
      </c>
      <c r="E2661" s="43" t="str">
        <f>C2661</f>
        <v>Traspaso</v>
      </c>
      <c r="F2661" s="42" t="s">
        <v>0</v>
      </c>
    </row>
    <row r="2662" spans="1:6">
      <c r="A2662" s="39">
        <v>46028</v>
      </c>
      <c r="B2662" s="40" t="s">
        <v>116</v>
      </c>
      <c r="C2662" s="40" t="s">
        <v>46</v>
      </c>
      <c r="D2662" s="41">
        <v>-501</v>
      </c>
      <c r="E2662" s="43" t="str">
        <f>C2662</f>
        <v>Traspaso</v>
      </c>
      <c r="F2662" s="42" t="s">
        <v>0</v>
      </c>
    </row>
    <row r="2663" spans="1:6">
      <c r="A2663" s="39">
        <f>A2662</f>
        <v>46028</v>
      </c>
      <c r="B2663" s="40" t="s">
        <v>485</v>
      </c>
      <c r="C2663" s="40" t="s">
        <v>46</v>
      </c>
      <c r="D2663" s="41">
        <v>501</v>
      </c>
      <c r="E2663" s="43" t="str">
        <f>C2663</f>
        <v>Traspaso</v>
      </c>
      <c r="F2663" s="42" t="s">
        <v>0</v>
      </c>
    </row>
    <row r="2664" spans="1:6">
      <c r="A2664" s="39">
        <v>46028</v>
      </c>
      <c r="B2664" s="40" t="s">
        <v>454</v>
      </c>
      <c r="C2664" s="40" t="s">
        <v>34</v>
      </c>
      <c r="D2664" s="41">
        <v>0.34</v>
      </c>
      <c r="E2664" s="43" t="s">
        <v>34</v>
      </c>
      <c r="F2664" s="42" t="s">
        <v>0</v>
      </c>
    </row>
    <row r="2665" spans="1:6">
      <c r="A2665" s="39">
        <v>46028</v>
      </c>
      <c r="B2665" s="40" t="s">
        <v>452</v>
      </c>
      <c r="C2665" s="40" t="s">
        <v>36</v>
      </c>
      <c r="D2665" s="41">
        <v>-25</v>
      </c>
      <c r="E2665" s="43" t="s">
        <v>764</v>
      </c>
      <c r="F2665" s="42" t="s">
        <v>38</v>
      </c>
    </row>
    <row r="2666" spans="1:6">
      <c r="A2666" s="39">
        <v>46029</v>
      </c>
      <c r="B2666" s="40" t="s">
        <v>452</v>
      </c>
      <c r="C2666" s="40" t="s">
        <v>41</v>
      </c>
      <c r="D2666" s="41">
        <v>-3.45</v>
      </c>
      <c r="E2666" s="43" t="s">
        <v>84</v>
      </c>
      <c r="F2666" s="42" t="s">
        <v>1</v>
      </c>
    </row>
    <row r="2667" spans="1:6">
      <c r="A2667" s="39">
        <v>46029</v>
      </c>
      <c r="B2667" s="40" t="s">
        <v>445</v>
      </c>
      <c r="C2667" s="40" t="s">
        <v>510</v>
      </c>
      <c r="D2667" s="41">
        <v>-415.42</v>
      </c>
      <c r="E2667" s="43" t="s">
        <v>765</v>
      </c>
      <c r="F2667" s="42" t="s">
        <v>38</v>
      </c>
    </row>
    <row r="2668" spans="1:6">
      <c r="A2668" s="39">
        <v>46029</v>
      </c>
      <c r="B2668" s="40" t="s">
        <v>508</v>
      </c>
      <c r="C2668" s="40" t="s">
        <v>41</v>
      </c>
      <c r="D2668" s="41">
        <v>-1.3</v>
      </c>
      <c r="E2668" s="43" t="s">
        <v>467</v>
      </c>
      <c r="F2668" s="42" t="s">
        <v>0</v>
      </c>
    </row>
    <row r="2669" spans="1:6">
      <c r="A2669" s="39">
        <f>A2668</f>
        <v>46029</v>
      </c>
      <c r="B2669" s="40" t="s">
        <v>449</v>
      </c>
      <c r="C2669" s="40" t="s">
        <v>46</v>
      </c>
      <c r="D2669" s="41">
        <v>-100.64</v>
      </c>
      <c r="E2669" s="43" t="str">
        <f>C2669</f>
        <v>Traspaso</v>
      </c>
      <c r="F2669" s="42" t="s">
        <v>0</v>
      </c>
    </row>
    <row r="2670" spans="1:6">
      <c r="A2670" s="39">
        <f>A2669</f>
        <v>46029</v>
      </c>
      <c r="B2670" s="40" t="s">
        <v>508</v>
      </c>
      <c r="C2670" s="40" t="s">
        <v>46</v>
      </c>
      <c r="D2670" s="41">
        <v>100.64</v>
      </c>
      <c r="E2670" s="43" t="str">
        <f>C2670</f>
        <v>Traspaso</v>
      </c>
      <c r="F2670" s="42" t="s">
        <v>0</v>
      </c>
    </row>
    <row r="2671" spans="1:6">
      <c r="A2671" s="39">
        <f>A2670</f>
        <v>46029</v>
      </c>
      <c r="B2671" s="40" t="s">
        <v>673</v>
      </c>
      <c r="C2671" s="40" t="s">
        <v>43</v>
      </c>
      <c r="D2671" s="41">
        <v>-150</v>
      </c>
      <c r="E2671" s="43" t="s">
        <v>498</v>
      </c>
      <c r="F2671" s="42" t="s">
        <v>38</v>
      </c>
    </row>
    <row r="2672" spans="1:6">
      <c r="A2672" s="39">
        <f>A2671</f>
        <v>46029</v>
      </c>
      <c r="B2672" s="40" t="s">
        <v>603</v>
      </c>
      <c r="C2672" s="40" t="s">
        <v>46</v>
      </c>
      <c r="D2672" s="41">
        <v>-35</v>
      </c>
      <c r="E2672" s="43" t="str">
        <f>C2672</f>
        <v>Traspaso</v>
      </c>
      <c r="F2672" s="42" t="s">
        <v>38</v>
      </c>
    </row>
    <row r="2673" spans="1:6">
      <c r="A2673" s="39">
        <f>A2672</f>
        <v>46029</v>
      </c>
      <c r="B2673" s="40" t="s">
        <v>715</v>
      </c>
      <c r="C2673" s="40" t="s">
        <v>46</v>
      </c>
      <c r="D2673" s="41">
        <v>35</v>
      </c>
      <c r="E2673" s="43" t="str">
        <f>C2673</f>
        <v>Traspaso</v>
      </c>
      <c r="F2673" s="42" t="s">
        <v>38</v>
      </c>
    </row>
    <row r="2674" spans="1:6">
      <c r="A2674" s="39">
        <f>A2673</f>
        <v>46029</v>
      </c>
      <c r="B2674" s="40" t="s">
        <v>745</v>
      </c>
      <c r="C2674" s="40" t="s">
        <v>46</v>
      </c>
      <c r="D2674" s="41">
        <v>-57.53</v>
      </c>
      <c r="E2674" s="43" t="str">
        <f>C2674</f>
        <v>Traspaso</v>
      </c>
      <c r="F2674" s="42" t="s">
        <v>0</v>
      </c>
    </row>
    <row r="2675" spans="1:6">
      <c r="A2675" s="39">
        <f>A2674</f>
        <v>46029</v>
      </c>
      <c r="B2675" s="40" t="s">
        <v>239</v>
      </c>
      <c r="C2675" s="40" t="s">
        <v>46</v>
      </c>
      <c r="D2675" s="41">
        <v>57.53</v>
      </c>
      <c r="E2675" s="43" t="str">
        <f>C2675</f>
        <v>Traspaso</v>
      </c>
      <c r="F2675" s="42" t="s">
        <v>0</v>
      </c>
    </row>
    <row r="2676" spans="1:6">
      <c r="A2676" s="39">
        <f>A2675</f>
        <v>46029</v>
      </c>
      <c r="B2676" s="40" t="s">
        <v>508</v>
      </c>
      <c r="C2676" s="40" t="s">
        <v>46</v>
      </c>
      <c r="D2676" s="41">
        <v>-30.64</v>
      </c>
      <c r="E2676" s="43" t="str">
        <f>C2676</f>
        <v>Traspaso</v>
      </c>
      <c r="F2676" s="42" t="s">
        <v>0</v>
      </c>
    </row>
    <row r="2677" spans="1:6">
      <c r="A2677" s="39">
        <f>A2676</f>
        <v>46029</v>
      </c>
      <c r="B2677" s="40" t="s">
        <v>454</v>
      </c>
      <c r="C2677" s="40" t="s">
        <v>46</v>
      </c>
      <c r="D2677" s="41">
        <v>30.64</v>
      </c>
      <c r="E2677" s="43" t="str">
        <f>C2677</f>
        <v>Traspaso</v>
      </c>
      <c r="F2677" s="42" t="s">
        <v>0</v>
      </c>
    </row>
    <row r="2678" spans="1:6">
      <c r="A2678" s="39">
        <f>A2677</f>
        <v>46029</v>
      </c>
      <c r="B2678" s="40" t="s">
        <v>239</v>
      </c>
      <c r="C2678" s="40" t="s">
        <v>46</v>
      </c>
      <c r="D2678" s="41">
        <v>-61.42</v>
      </c>
      <c r="E2678" s="43" t="str">
        <f>C2678</f>
        <v>Traspaso</v>
      </c>
      <c r="F2678" s="42" t="s">
        <v>0</v>
      </c>
    </row>
    <row r="2679" spans="1:6">
      <c r="A2679" s="39">
        <f>A2678</f>
        <v>46029</v>
      </c>
      <c r="B2679" s="40" t="s">
        <v>508</v>
      </c>
      <c r="C2679" s="40" t="s">
        <v>46</v>
      </c>
      <c r="D2679" s="41">
        <v>61.42</v>
      </c>
      <c r="E2679" s="43" t="str">
        <f>C2679</f>
        <v>Traspaso</v>
      </c>
      <c r="F2679" s="42" t="s">
        <v>0</v>
      </c>
    </row>
    <row r="2680" spans="1:6">
      <c r="A2680" s="39">
        <v>46030</v>
      </c>
      <c r="B2680" s="40" t="s">
        <v>508</v>
      </c>
      <c r="C2680" s="40" t="s">
        <v>41</v>
      </c>
      <c r="D2680" s="41">
        <v>-1.4</v>
      </c>
      <c r="E2680" s="43" t="s">
        <v>467</v>
      </c>
      <c r="F2680" s="42" t="s">
        <v>0</v>
      </c>
    </row>
    <row r="2681" spans="1:6">
      <c r="A2681" s="39">
        <f>A2680</f>
        <v>46030</v>
      </c>
      <c r="B2681" s="40" t="s">
        <v>454</v>
      </c>
      <c r="C2681" s="40" t="s">
        <v>46</v>
      </c>
      <c r="D2681" s="41">
        <v>-700</v>
      </c>
      <c r="E2681" s="43" t="str">
        <f>C2681</f>
        <v>Traspaso</v>
      </c>
      <c r="F2681" s="42" t="s">
        <v>0</v>
      </c>
    </row>
    <row r="2682" spans="1:6">
      <c r="A2682" s="39">
        <f>A2681</f>
        <v>46030</v>
      </c>
      <c r="B2682" s="40" t="s">
        <v>542</v>
      </c>
      <c r="C2682" s="40" t="s">
        <v>46</v>
      </c>
      <c r="D2682" s="41">
        <v>700</v>
      </c>
      <c r="E2682" s="43" t="str">
        <f>C2682</f>
        <v>Traspaso</v>
      </c>
      <c r="F2682" s="42" t="s">
        <v>0</v>
      </c>
    </row>
    <row r="2683" spans="1:6">
      <c r="A2683" s="39">
        <f>A2682</f>
        <v>46030</v>
      </c>
      <c r="B2683" s="40" t="s">
        <v>449</v>
      </c>
      <c r="C2683" s="40" t="s">
        <v>46</v>
      </c>
      <c r="D2683" s="41">
        <v>-800</v>
      </c>
      <c r="E2683" s="43" t="str">
        <f>C2683</f>
        <v>Traspaso</v>
      </c>
      <c r="F2683" s="42" t="s">
        <v>0</v>
      </c>
    </row>
    <row r="2684" spans="1:6">
      <c r="A2684" s="39">
        <f>A2683</f>
        <v>46030</v>
      </c>
      <c r="B2684" s="40" t="s">
        <v>508</v>
      </c>
      <c r="C2684" s="40" t="s">
        <v>46</v>
      </c>
      <c r="D2684" s="41">
        <v>800</v>
      </c>
      <c r="E2684" s="43" t="str">
        <f>C2684</f>
        <v>Traspaso</v>
      </c>
      <c r="F2684" s="42" t="s">
        <v>0</v>
      </c>
    </row>
    <row r="2685" spans="1:6">
      <c r="A2685" s="39">
        <f t="shared" ref="A2685:A2689" si="1">A2684</f>
        <v>46030</v>
      </c>
      <c r="B2685" s="40" t="s">
        <v>452</v>
      </c>
      <c r="C2685" s="40" t="s">
        <v>36</v>
      </c>
      <c r="D2685" s="41">
        <v>-6</v>
      </c>
      <c r="E2685" s="43" t="s">
        <v>69</v>
      </c>
      <c r="F2685" s="42" t="s">
        <v>38</v>
      </c>
    </row>
    <row r="2686" spans="1:6">
      <c r="A2686" s="39">
        <f t="shared" si="1"/>
        <v>46030</v>
      </c>
      <c r="B2686" s="40" t="s">
        <v>448</v>
      </c>
      <c r="C2686" s="40" t="s">
        <v>46</v>
      </c>
      <c r="D2686" s="41">
        <v>-125</v>
      </c>
      <c r="E2686" s="43"/>
      <c r="F2686" s="42" t="s">
        <v>1</v>
      </c>
    </row>
    <row r="2687" spans="1:6">
      <c r="A2687" s="39">
        <f t="shared" si="1"/>
        <v>46030</v>
      </c>
      <c r="B2687" s="40" t="s">
        <v>622</v>
      </c>
      <c r="C2687" s="40" t="s">
        <v>46</v>
      </c>
      <c r="D2687" s="41">
        <v>125</v>
      </c>
      <c r="E2687" s="43"/>
      <c r="F2687" s="42" t="s">
        <v>1</v>
      </c>
    </row>
    <row r="2688" spans="1:6">
      <c r="A2688" s="39">
        <f t="shared" si="1"/>
        <v>46030</v>
      </c>
      <c r="B2688" s="40" t="s">
        <v>445</v>
      </c>
      <c r="C2688" s="40" t="s">
        <v>73</v>
      </c>
      <c r="D2688" s="41">
        <v>-47.8</v>
      </c>
      <c r="E2688" s="43" t="s">
        <v>107</v>
      </c>
      <c r="F2688" s="42" t="s">
        <v>38</v>
      </c>
    </row>
    <row r="2689" spans="1:6">
      <c r="A2689" s="39">
        <f t="shared" si="1"/>
        <v>46030</v>
      </c>
      <c r="B2689" s="40" t="s">
        <v>452</v>
      </c>
      <c r="C2689" s="40" t="s">
        <v>41</v>
      </c>
      <c r="D2689" s="41">
        <v>-20</v>
      </c>
      <c r="E2689" s="43" t="s">
        <v>766</v>
      </c>
      <c r="F2689" s="42" t="s">
        <v>1</v>
      </c>
    </row>
    <row r="2690" spans="1:6">
      <c r="A2690" s="39">
        <v>46031</v>
      </c>
      <c r="B2690" s="40" t="s">
        <v>452</v>
      </c>
      <c r="C2690" s="40" t="s">
        <v>62</v>
      </c>
      <c r="D2690" s="41">
        <v>40</v>
      </c>
      <c r="E2690" s="43" t="s">
        <v>767</v>
      </c>
      <c r="F2690" s="42" t="s">
        <v>38</v>
      </c>
    </row>
    <row r="2691" spans="1:6">
      <c r="A2691" s="39">
        <v>46031</v>
      </c>
      <c r="B2691" s="40" t="s">
        <v>452</v>
      </c>
      <c r="C2691" s="40" t="s">
        <v>50</v>
      </c>
      <c r="D2691" s="41">
        <v>105</v>
      </c>
      <c r="E2691" s="43" t="s">
        <v>232</v>
      </c>
      <c r="F2691" s="42" t="s">
        <v>1</v>
      </c>
    </row>
    <row r="2692" spans="1:6">
      <c r="A2692" s="39">
        <v>46031</v>
      </c>
      <c r="B2692" s="40" t="s">
        <v>452</v>
      </c>
      <c r="C2692" s="40" t="s">
        <v>50</v>
      </c>
      <c r="D2692" s="41">
        <v>250</v>
      </c>
      <c r="E2692" s="43" t="s">
        <v>232</v>
      </c>
      <c r="F2692" s="42" t="s">
        <v>1</v>
      </c>
    </row>
    <row r="2693" spans="1:6">
      <c r="A2693" s="39">
        <v>46031</v>
      </c>
      <c r="B2693" s="40" t="s">
        <v>450</v>
      </c>
      <c r="C2693" s="40" t="s">
        <v>76</v>
      </c>
      <c r="D2693" s="41">
        <v>-21.53</v>
      </c>
      <c r="E2693" s="43" t="s">
        <v>768</v>
      </c>
      <c r="F2693" s="42" t="s">
        <v>1</v>
      </c>
    </row>
    <row r="2694" spans="1:6">
      <c r="A2694" s="39">
        <v>46031</v>
      </c>
      <c r="B2694" s="40" t="s">
        <v>452</v>
      </c>
      <c r="C2694" s="40" t="s">
        <v>54</v>
      </c>
      <c r="D2694" s="41">
        <v>-7.1</v>
      </c>
      <c r="E2694" s="43" t="s">
        <v>769</v>
      </c>
      <c r="F2694" s="42" t="s">
        <v>1</v>
      </c>
    </row>
    <row r="2695" spans="1:6">
      <c r="A2695" s="39">
        <v>46031</v>
      </c>
      <c r="B2695" s="40" t="s">
        <v>508</v>
      </c>
      <c r="C2695" s="40" t="s">
        <v>41</v>
      </c>
      <c r="D2695" s="41">
        <v>-1.4</v>
      </c>
      <c r="E2695" s="43" t="s">
        <v>467</v>
      </c>
      <c r="F2695" s="42" t="s">
        <v>0</v>
      </c>
    </row>
    <row r="2696" spans="1:6">
      <c r="A2696" s="39">
        <f>A2695</f>
        <v>46031</v>
      </c>
      <c r="B2696" s="40" t="s">
        <v>454</v>
      </c>
      <c r="C2696" s="40" t="s">
        <v>46</v>
      </c>
      <c r="D2696" s="41">
        <v>-230.98</v>
      </c>
      <c r="E2696" s="43" t="str">
        <f>C2696</f>
        <v>Traspaso</v>
      </c>
      <c r="F2696" s="42" t="s">
        <v>0</v>
      </c>
    </row>
    <row r="2697" spans="1:6">
      <c r="A2697" s="39">
        <f>A2696</f>
        <v>46031</v>
      </c>
      <c r="B2697" s="40" t="s">
        <v>472</v>
      </c>
      <c r="C2697" s="40" t="s">
        <v>46</v>
      </c>
      <c r="D2697" s="41">
        <v>230.98</v>
      </c>
      <c r="E2697" s="43" t="str">
        <f>C2697</f>
        <v>Traspaso</v>
      </c>
      <c r="F2697" s="42" t="s">
        <v>0</v>
      </c>
    </row>
    <row r="2698" spans="1:6">
      <c r="A2698" s="39">
        <v>46032</v>
      </c>
      <c r="B2698" s="40" t="s">
        <v>508</v>
      </c>
      <c r="C2698" s="40" t="s">
        <v>36</v>
      </c>
      <c r="D2698" s="41">
        <v>-84.5</v>
      </c>
      <c r="E2698" s="43" t="str">
        <f>C2698</f>
        <v>Comida</v>
      </c>
      <c r="F2698" s="42" t="s">
        <v>38</v>
      </c>
    </row>
    <row r="2699" spans="1:6">
      <c r="A2699" s="39">
        <v>46032</v>
      </c>
      <c r="B2699" s="40" t="s">
        <v>452</v>
      </c>
      <c r="C2699" s="40" t="s">
        <v>36</v>
      </c>
      <c r="D2699" s="41">
        <v>-11.7</v>
      </c>
      <c r="E2699" s="43" t="s">
        <v>770</v>
      </c>
      <c r="F2699" s="42" t="s">
        <v>38</v>
      </c>
    </row>
    <row r="2700" spans="1:6">
      <c r="A2700" s="39">
        <v>46033</v>
      </c>
      <c r="B2700" s="40" t="s">
        <v>452</v>
      </c>
      <c r="C2700" s="40" t="s">
        <v>46</v>
      </c>
      <c r="D2700" s="41">
        <v>-39</v>
      </c>
      <c r="E2700" s="43"/>
      <c r="F2700" s="42" t="s">
        <v>1</v>
      </c>
    </row>
    <row r="2701" spans="1:6">
      <c r="A2701" s="39">
        <v>46033</v>
      </c>
      <c r="B2701" s="40" t="s">
        <v>446</v>
      </c>
      <c r="C2701" s="40" t="s">
        <v>46</v>
      </c>
      <c r="D2701" s="41">
        <v>39</v>
      </c>
      <c r="E2701" s="43"/>
      <c r="F2701" s="42" t="s">
        <v>1</v>
      </c>
    </row>
    <row r="2702" spans="1:6">
      <c r="A2702" s="39">
        <v>46033</v>
      </c>
      <c r="B2702" s="40" t="s">
        <v>452</v>
      </c>
      <c r="C2702" s="40" t="s">
        <v>41</v>
      </c>
      <c r="D2702" s="41">
        <v>-10.7</v>
      </c>
      <c r="E2702" s="43" t="s">
        <v>752</v>
      </c>
      <c r="F2702" s="42" t="s">
        <v>38</v>
      </c>
    </row>
    <row r="2703" spans="1:6">
      <c r="A2703" s="39">
        <v>46033</v>
      </c>
      <c r="B2703" s="40" t="s">
        <v>502</v>
      </c>
      <c r="C2703" s="40" t="s">
        <v>46</v>
      </c>
      <c r="D2703" s="41">
        <v>-2</v>
      </c>
      <c r="E2703" s="43" t="str">
        <f>C2703</f>
        <v>Traspaso</v>
      </c>
      <c r="F2703" s="42" t="s">
        <v>0</v>
      </c>
    </row>
    <row r="2704" spans="1:6">
      <c r="A2704" s="39">
        <f>A2703</f>
        <v>46033</v>
      </c>
      <c r="B2704" s="40" t="s">
        <v>554</v>
      </c>
      <c r="C2704" s="40" t="s">
        <v>46</v>
      </c>
      <c r="D2704" s="41">
        <v>2</v>
      </c>
      <c r="E2704" s="43" t="str">
        <f>C2704</f>
        <v>Traspaso</v>
      </c>
      <c r="F2704" s="42" t="s">
        <v>0</v>
      </c>
    </row>
    <row r="2705" spans="1:6">
      <c r="A2705" s="39">
        <f>A2704</f>
        <v>46033</v>
      </c>
      <c r="B2705" s="40" t="s">
        <v>554</v>
      </c>
      <c r="C2705" s="40" t="s">
        <v>46</v>
      </c>
      <c r="D2705" s="41">
        <v>-3</v>
      </c>
      <c r="E2705" s="43" t="str">
        <f>C2705</f>
        <v>Traspaso</v>
      </c>
      <c r="F2705" s="42" t="s">
        <v>0</v>
      </c>
    </row>
    <row r="2706" spans="1:6">
      <c r="A2706" s="39">
        <f>A2705</f>
        <v>46033</v>
      </c>
      <c r="B2706" s="40" t="s">
        <v>449</v>
      </c>
      <c r="C2706" s="40" t="s">
        <v>46</v>
      </c>
      <c r="D2706" s="41">
        <v>3</v>
      </c>
      <c r="E2706" s="43" t="str">
        <f>C2706</f>
        <v>Traspaso</v>
      </c>
      <c r="F2706" s="42" t="s">
        <v>0</v>
      </c>
    </row>
    <row r="2707" spans="1:6">
      <c r="A2707" s="39">
        <f>A2706</f>
        <v>46033</v>
      </c>
      <c r="B2707" s="40" t="s">
        <v>566</v>
      </c>
      <c r="C2707" s="40" t="s">
        <v>46</v>
      </c>
      <c r="D2707" s="41">
        <v>-300</v>
      </c>
      <c r="E2707" s="43" t="str">
        <f>C2707</f>
        <v>Traspaso</v>
      </c>
      <c r="F2707" s="42" t="s">
        <v>0</v>
      </c>
    </row>
    <row r="2708" spans="1:6">
      <c r="A2708" s="39">
        <f>A2707</f>
        <v>46033</v>
      </c>
      <c r="B2708" s="40" t="s">
        <v>449</v>
      </c>
      <c r="C2708" s="40" t="s">
        <v>46</v>
      </c>
      <c r="D2708" s="41">
        <v>300</v>
      </c>
      <c r="E2708" s="43" t="str">
        <f>C2708</f>
        <v>Traspaso</v>
      </c>
      <c r="F2708" s="42" t="s">
        <v>0</v>
      </c>
    </row>
    <row r="2709" spans="1:6">
      <c r="A2709" s="39">
        <f>A2708</f>
        <v>46033</v>
      </c>
      <c r="B2709" s="40" t="s">
        <v>508</v>
      </c>
      <c r="C2709" s="40" t="s">
        <v>46</v>
      </c>
      <c r="D2709" s="41">
        <v>-871.06</v>
      </c>
      <c r="E2709" s="43" t="str">
        <f>C2709</f>
        <v>Traspaso</v>
      </c>
      <c r="F2709" s="42" t="s">
        <v>0</v>
      </c>
    </row>
    <row r="2710" spans="1:6">
      <c r="A2710" s="39">
        <f>A2709</f>
        <v>46033</v>
      </c>
      <c r="B2710" s="40" t="s">
        <v>715</v>
      </c>
      <c r="C2710" s="40" t="s">
        <v>46</v>
      </c>
      <c r="D2710" s="41">
        <v>871.06</v>
      </c>
      <c r="E2710" s="43" t="str">
        <f>C2710</f>
        <v>Traspaso</v>
      </c>
      <c r="F2710" s="42" t="s">
        <v>0</v>
      </c>
    </row>
    <row r="2711" spans="1:6">
      <c r="A2711" s="39">
        <f>A2710</f>
        <v>46033</v>
      </c>
      <c r="B2711" s="40" t="s">
        <v>449</v>
      </c>
      <c r="C2711" s="40" t="s">
        <v>46</v>
      </c>
      <c r="D2711" s="41">
        <v>-303</v>
      </c>
      <c r="E2711" s="43" t="str">
        <f>C2711</f>
        <v>Traspaso</v>
      </c>
      <c r="F2711" s="42" t="s">
        <v>0</v>
      </c>
    </row>
    <row r="2712" spans="1:6">
      <c r="A2712" s="39">
        <f>A2711</f>
        <v>46033</v>
      </c>
      <c r="B2712" s="40" t="s">
        <v>508</v>
      </c>
      <c r="C2712" s="40" t="s">
        <v>46</v>
      </c>
      <c r="D2712" s="41">
        <v>303</v>
      </c>
      <c r="E2712" s="43" t="str">
        <f>C2712</f>
        <v>Traspaso</v>
      </c>
      <c r="F2712" s="42" t="s">
        <v>0</v>
      </c>
    </row>
    <row r="2713" spans="1:6">
      <c r="A2713" s="39">
        <f>A2712</f>
        <v>46033</v>
      </c>
      <c r="B2713" s="40" t="s">
        <v>480</v>
      </c>
      <c r="C2713" s="40" t="s">
        <v>46</v>
      </c>
      <c r="D2713" s="41">
        <v>-2.2000000000000002</v>
      </c>
      <c r="E2713" s="43" t="str">
        <f>C2713</f>
        <v>Traspaso</v>
      </c>
      <c r="F2713" s="42" t="s">
        <v>0</v>
      </c>
    </row>
    <row r="2714" spans="1:6">
      <c r="A2714" s="39">
        <f>A2713</f>
        <v>46033</v>
      </c>
      <c r="B2714" s="40" t="s">
        <v>759</v>
      </c>
      <c r="C2714" s="40" t="s">
        <v>46</v>
      </c>
      <c r="D2714" s="41">
        <v>2.2000000000000002</v>
      </c>
      <c r="E2714" s="43" t="str">
        <f>C2714</f>
        <v>Traspaso</v>
      </c>
      <c r="F2714" s="42" t="s">
        <v>0</v>
      </c>
    </row>
    <row r="2715" spans="1:6">
      <c r="A2715" s="39">
        <f>A2714</f>
        <v>46033</v>
      </c>
      <c r="B2715" s="40" t="s">
        <v>508</v>
      </c>
      <c r="C2715" s="40" t="s">
        <v>52</v>
      </c>
      <c r="D2715" s="41">
        <v>-6</v>
      </c>
      <c r="E2715" s="43" t="s">
        <v>455</v>
      </c>
      <c r="F2715" s="42" t="s">
        <v>0</v>
      </c>
    </row>
    <row r="2716" spans="1:6">
      <c r="A2716" s="39">
        <v>46034</v>
      </c>
      <c r="B2716" s="40" t="s">
        <v>508</v>
      </c>
      <c r="C2716" s="40" t="s">
        <v>41</v>
      </c>
      <c r="D2716" s="41">
        <v>-1.4</v>
      </c>
      <c r="E2716" s="43" t="s">
        <v>467</v>
      </c>
      <c r="F2716" s="42" t="s">
        <v>0</v>
      </c>
    </row>
    <row r="2717" spans="1:6">
      <c r="A2717" s="39">
        <f>A2716</f>
        <v>46034</v>
      </c>
      <c r="B2717" s="40" t="s">
        <v>663</v>
      </c>
      <c r="C2717" s="40" t="s">
        <v>46</v>
      </c>
      <c r="D2717" s="41">
        <v>-31.44</v>
      </c>
      <c r="E2717" s="43" t="str">
        <f>C2717</f>
        <v>Traspaso</v>
      </c>
      <c r="F2717" s="42" t="s">
        <v>0</v>
      </c>
    </row>
    <row r="2718" spans="1:6">
      <c r="A2718" s="39">
        <f>A2717</f>
        <v>46034</v>
      </c>
      <c r="B2718" s="40" t="s">
        <v>449</v>
      </c>
      <c r="C2718" s="40" t="s">
        <v>46</v>
      </c>
      <c r="D2718" s="41">
        <v>31.44</v>
      </c>
      <c r="E2718" s="43" t="str">
        <f>C2718</f>
        <v>Traspaso</v>
      </c>
      <c r="F2718" s="42" t="s">
        <v>0</v>
      </c>
    </row>
    <row r="2719" spans="1:6">
      <c r="A2719" s="39">
        <f>A2718</f>
        <v>46034</v>
      </c>
      <c r="B2719" s="40" t="s">
        <v>673</v>
      </c>
      <c r="C2719" s="40" t="s">
        <v>46</v>
      </c>
      <c r="D2719" s="41">
        <v>-2500</v>
      </c>
      <c r="E2719" s="43" t="str">
        <f>C2719</f>
        <v>Traspaso</v>
      </c>
      <c r="F2719" s="42" t="s">
        <v>0</v>
      </c>
    </row>
    <row r="2720" spans="1:6">
      <c r="A2720" s="39">
        <f>A2719</f>
        <v>46034</v>
      </c>
      <c r="B2720" s="40" t="s">
        <v>663</v>
      </c>
      <c r="C2720" s="40" t="s">
        <v>46</v>
      </c>
      <c r="D2720" s="41">
        <v>2500</v>
      </c>
      <c r="E2720" s="43" t="str">
        <f>C2720</f>
        <v>Traspaso</v>
      </c>
      <c r="F2720" s="42" t="s">
        <v>0</v>
      </c>
    </row>
    <row r="2721" spans="1:6">
      <c r="A2721" s="39">
        <f>A2720</f>
        <v>46034</v>
      </c>
      <c r="B2721" s="40" t="s">
        <v>673</v>
      </c>
      <c r="C2721" s="40" t="s">
        <v>46</v>
      </c>
      <c r="D2721" s="41">
        <v>-2500</v>
      </c>
      <c r="E2721" s="43" t="str">
        <f>C2721</f>
        <v>Traspaso</v>
      </c>
      <c r="F2721" s="42" t="s">
        <v>0</v>
      </c>
    </row>
    <row r="2722" spans="1:6">
      <c r="A2722" s="39">
        <f>A2721</f>
        <v>46034</v>
      </c>
      <c r="B2722" s="40" t="s">
        <v>542</v>
      </c>
      <c r="C2722" s="40" t="s">
        <v>46</v>
      </c>
      <c r="D2722" s="41">
        <v>2500</v>
      </c>
      <c r="E2722" s="43" t="str">
        <f>C2722</f>
        <v>Traspaso</v>
      </c>
      <c r="F2722" s="42" t="s">
        <v>0</v>
      </c>
    </row>
    <row r="2723" spans="1:6">
      <c r="A2723" s="39">
        <f>A2722</f>
        <v>46034</v>
      </c>
      <c r="B2723" s="40" t="s">
        <v>542</v>
      </c>
      <c r="C2723" s="40" t="s">
        <v>46</v>
      </c>
      <c r="D2723" s="41">
        <v>-3084.34</v>
      </c>
      <c r="E2723" s="43" t="str">
        <f>C2723</f>
        <v>Traspaso</v>
      </c>
      <c r="F2723" s="42" t="s">
        <v>0</v>
      </c>
    </row>
    <row r="2724" spans="1:6">
      <c r="A2724" s="39">
        <f>A2723</f>
        <v>46034</v>
      </c>
      <c r="B2724" s="40" t="s">
        <v>715</v>
      </c>
      <c r="C2724" s="40" t="s">
        <v>46</v>
      </c>
      <c r="D2724" s="41">
        <v>3084.34</v>
      </c>
      <c r="E2724" s="43" t="str">
        <f>C2724</f>
        <v>Traspaso</v>
      </c>
      <c r="F2724" s="42" t="s">
        <v>0</v>
      </c>
    </row>
    <row r="2725" spans="1:6">
      <c r="A2725" s="39">
        <v>46035</v>
      </c>
      <c r="B2725" s="40" t="s">
        <v>508</v>
      </c>
      <c r="C2725" s="40" t="s">
        <v>62</v>
      </c>
      <c r="D2725" s="41">
        <v>-4</v>
      </c>
      <c r="E2725" s="43" t="s">
        <v>460</v>
      </c>
      <c r="F2725" s="42" t="s">
        <v>0</v>
      </c>
    </row>
    <row r="2726" spans="1:6">
      <c r="A2726" s="39">
        <f>A2725</f>
        <v>46035</v>
      </c>
      <c r="B2726" s="40" t="s">
        <v>508</v>
      </c>
      <c r="C2726" s="40" t="s">
        <v>41</v>
      </c>
      <c r="D2726" s="41">
        <v>-1.4</v>
      </c>
      <c r="E2726" s="43" t="s">
        <v>467</v>
      </c>
      <c r="F2726" s="42" t="s">
        <v>0</v>
      </c>
    </row>
    <row r="2727" spans="1:6">
      <c r="A2727" s="39">
        <f>A2726</f>
        <v>46035</v>
      </c>
      <c r="B2727" s="40" t="s">
        <v>508</v>
      </c>
      <c r="C2727" s="40" t="s">
        <v>52</v>
      </c>
      <c r="D2727" s="41">
        <v>-7.5</v>
      </c>
      <c r="E2727" s="43" t="s">
        <v>455</v>
      </c>
      <c r="F2727" s="42" t="s">
        <v>0</v>
      </c>
    </row>
    <row r="2728" spans="1:6">
      <c r="A2728" s="39">
        <f t="shared" ref="A2728:A2731" si="2">A2727</f>
        <v>46035</v>
      </c>
      <c r="B2728" s="40" t="s">
        <v>452</v>
      </c>
      <c r="C2728" s="40" t="s">
        <v>41</v>
      </c>
      <c r="D2728" s="41">
        <v>-11</v>
      </c>
      <c r="E2728" s="43" t="s">
        <v>771</v>
      </c>
      <c r="F2728" s="42" t="s">
        <v>1</v>
      </c>
    </row>
    <row r="2729" spans="1:6">
      <c r="A2729" s="39">
        <f t="shared" si="2"/>
        <v>46035</v>
      </c>
      <c r="B2729" s="40" t="s">
        <v>452</v>
      </c>
      <c r="C2729" s="40" t="s">
        <v>76</v>
      </c>
      <c r="D2729" s="41">
        <v>-7.97</v>
      </c>
      <c r="E2729" s="43" t="s">
        <v>772</v>
      </c>
      <c r="F2729" s="42" t="s">
        <v>1</v>
      </c>
    </row>
    <row r="2730" spans="1:6">
      <c r="A2730" s="39">
        <f t="shared" si="2"/>
        <v>46035</v>
      </c>
      <c r="B2730" s="40" t="s">
        <v>452</v>
      </c>
      <c r="C2730" s="40" t="s">
        <v>50</v>
      </c>
      <c r="D2730" s="41">
        <v>-18.329999999999998</v>
      </c>
      <c r="E2730" s="43" t="s">
        <v>773</v>
      </c>
      <c r="F2730" s="42" t="s">
        <v>1</v>
      </c>
    </row>
    <row r="2731" spans="1:6">
      <c r="A2731" s="39">
        <f t="shared" si="2"/>
        <v>46035</v>
      </c>
      <c r="B2731" s="40" t="s">
        <v>445</v>
      </c>
      <c r="C2731" s="40" t="s">
        <v>36</v>
      </c>
      <c r="D2731" s="41">
        <v>-3.18</v>
      </c>
      <c r="E2731" s="43" t="s">
        <v>143</v>
      </c>
      <c r="F2731" s="42" t="s">
        <v>38</v>
      </c>
    </row>
    <row r="2732" spans="1:6">
      <c r="A2732" s="39">
        <v>46036</v>
      </c>
      <c r="B2732" s="40" t="s">
        <v>508</v>
      </c>
      <c r="C2732" s="40" t="s">
        <v>41</v>
      </c>
      <c r="D2732" s="41">
        <v>-1.4</v>
      </c>
      <c r="E2732" s="43" t="s">
        <v>467</v>
      </c>
      <c r="F2732" s="42" t="s">
        <v>0</v>
      </c>
    </row>
    <row r="2733" spans="1:6">
      <c r="A2733" s="39">
        <f>A2732</f>
        <v>46036</v>
      </c>
      <c r="B2733" s="40" t="s">
        <v>446</v>
      </c>
      <c r="C2733" s="40" t="s">
        <v>81</v>
      </c>
      <c r="D2733" s="41">
        <v>-35</v>
      </c>
      <c r="E2733" s="43" t="s">
        <v>82</v>
      </c>
      <c r="F2733" s="42" t="s">
        <v>38</v>
      </c>
    </row>
    <row r="2734" spans="1:6">
      <c r="A2734" s="39">
        <f>A2733</f>
        <v>46036</v>
      </c>
      <c r="B2734" s="40" t="s">
        <v>452</v>
      </c>
      <c r="C2734" s="40" t="s">
        <v>36</v>
      </c>
      <c r="D2734" s="41">
        <v>-6</v>
      </c>
      <c r="E2734" s="43" t="s">
        <v>69</v>
      </c>
      <c r="F2734" s="42" t="s">
        <v>38</v>
      </c>
    </row>
    <row r="2735" spans="1:6">
      <c r="A2735" s="39">
        <f>A2734</f>
        <v>46036</v>
      </c>
      <c r="B2735" s="40" t="s">
        <v>445</v>
      </c>
      <c r="C2735" s="40" t="s">
        <v>76</v>
      </c>
      <c r="D2735" s="41">
        <v>43.99</v>
      </c>
      <c r="E2735" s="43" t="s">
        <v>774</v>
      </c>
      <c r="F2735" s="42" t="s">
        <v>1</v>
      </c>
    </row>
    <row r="2736" spans="1:6">
      <c r="A2736" s="39">
        <v>46036</v>
      </c>
      <c r="B2736" s="40" t="s">
        <v>449</v>
      </c>
      <c r="C2736" s="40" t="s">
        <v>34</v>
      </c>
      <c r="D2736" s="41">
        <v>0.38</v>
      </c>
      <c r="E2736" s="43" t="s">
        <v>34</v>
      </c>
      <c r="F2736" s="42" t="s">
        <v>0</v>
      </c>
    </row>
    <row r="2737" spans="1:6">
      <c r="A2737" s="39">
        <v>46037</v>
      </c>
      <c r="B2737" s="40" t="s">
        <v>673</v>
      </c>
      <c r="C2737" s="40" t="s">
        <v>36</v>
      </c>
      <c r="D2737" s="41">
        <v>-43.8</v>
      </c>
      <c r="E2737" s="43" t="s">
        <v>775</v>
      </c>
      <c r="F2737" s="42" t="s">
        <v>38</v>
      </c>
    </row>
    <row r="2738" spans="1:6">
      <c r="A2738" s="39">
        <f>A2737</f>
        <v>46037</v>
      </c>
      <c r="B2738" s="40" t="s">
        <v>508</v>
      </c>
      <c r="C2738" s="40" t="s">
        <v>41</v>
      </c>
      <c r="D2738" s="41">
        <v>-1.4</v>
      </c>
      <c r="E2738" s="43" t="s">
        <v>467</v>
      </c>
      <c r="F2738" s="42" t="s">
        <v>0</v>
      </c>
    </row>
    <row r="2739" spans="1:6">
      <c r="A2739" s="39">
        <f>A2738</f>
        <v>46037</v>
      </c>
      <c r="B2739" s="40" t="s">
        <v>499</v>
      </c>
      <c r="C2739" s="40" t="s">
        <v>34</v>
      </c>
      <c r="D2739" s="41">
        <f>1059.41-972.42</f>
        <v>86.990000000000123</v>
      </c>
      <c r="E2739" s="43" t="str">
        <f>C2739</f>
        <v>Intereses</v>
      </c>
      <c r="F2739" s="42" t="s">
        <v>0</v>
      </c>
    </row>
    <row r="2740" spans="1:6">
      <c r="A2740" s="39">
        <f>A2739</f>
        <v>46037</v>
      </c>
      <c r="B2740" s="40" t="s">
        <v>499</v>
      </c>
      <c r="C2740" s="40" t="s">
        <v>46</v>
      </c>
      <c r="D2740" s="41">
        <v>-1059.4100000000001</v>
      </c>
      <c r="E2740" s="43" t="str">
        <f>C2740</f>
        <v>Traspaso</v>
      </c>
      <c r="F2740" s="42" t="s">
        <v>0</v>
      </c>
    </row>
    <row r="2741" spans="1:6">
      <c r="A2741" s="39">
        <f>A2740</f>
        <v>46037</v>
      </c>
      <c r="B2741" s="40" t="s">
        <v>673</v>
      </c>
      <c r="C2741" s="40" t="s">
        <v>46</v>
      </c>
      <c r="D2741" s="41">
        <v>1059.4100000000001</v>
      </c>
      <c r="E2741" s="43" t="str">
        <f>C2741</f>
        <v>Traspaso</v>
      </c>
      <c r="F2741" s="42" t="s">
        <v>0</v>
      </c>
    </row>
    <row r="2742" spans="1:6">
      <c r="A2742" s="39">
        <v>46038</v>
      </c>
      <c r="B2742" s="40" t="s">
        <v>116</v>
      </c>
      <c r="C2742" s="40" t="s">
        <v>46</v>
      </c>
      <c r="D2742" s="41">
        <v>-287.08999999999997</v>
      </c>
      <c r="E2742" s="43" t="str">
        <f>C2742</f>
        <v>Traspaso</v>
      </c>
      <c r="F2742" s="42" t="s">
        <v>0</v>
      </c>
    </row>
    <row r="2743" spans="1:6">
      <c r="A2743" s="39">
        <f>A2742</f>
        <v>46038</v>
      </c>
      <c r="B2743" s="40" t="s">
        <v>454</v>
      </c>
      <c r="C2743" s="40" t="s">
        <v>46</v>
      </c>
      <c r="D2743" s="41">
        <v>287.08999999999997</v>
      </c>
      <c r="E2743" s="43" t="str">
        <f>C2743</f>
        <v>Traspaso</v>
      </c>
      <c r="F2743" s="42" t="s">
        <v>0</v>
      </c>
    </row>
    <row r="2744" spans="1:6">
      <c r="A2744" s="39">
        <f>A2743</f>
        <v>46038</v>
      </c>
      <c r="B2744" s="40" t="s">
        <v>508</v>
      </c>
      <c r="C2744" s="40" t="s">
        <v>41</v>
      </c>
      <c r="D2744" s="41">
        <v>-1.4</v>
      </c>
      <c r="E2744" s="43" t="s">
        <v>467</v>
      </c>
      <c r="F2744" s="42" t="s">
        <v>0</v>
      </c>
    </row>
    <row r="2745" spans="1:6">
      <c r="A2745" s="39">
        <f>A2744</f>
        <v>46038</v>
      </c>
      <c r="B2745" s="40" t="s">
        <v>508</v>
      </c>
      <c r="C2745" s="40" t="s">
        <v>36</v>
      </c>
      <c r="D2745" s="41">
        <v>-8.2200000000000006</v>
      </c>
      <c r="E2745" s="43" t="s">
        <v>295</v>
      </c>
      <c r="F2745" s="42" t="s">
        <v>38</v>
      </c>
    </row>
    <row r="2746" spans="1:6">
      <c r="A2746" s="39">
        <f>A2745</f>
        <v>46038</v>
      </c>
      <c r="B2746" s="40" t="s">
        <v>454</v>
      </c>
      <c r="C2746" s="40" t="s">
        <v>46</v>
      </c>
      <c r="D2746" s="41">
        <v>-400</v>
      </c>
      <c r="E2746" s="43" t="str">
        <f>C2746</f>
        <v>Traspaso</v>
      </c>
      <c r="F2746" s="42" t="s">
        <v>0</v>
      </c>
    </row>
    <row r="2747" spans="1:6">
      <c r="A2747" s="39">
        <f>A2746</f>
        <v>46038</v>
      </c>
      <c r="B2747" s="40" t="s">
        <v>472</v>
      </c>
      <c r="C2747" s="40" t="s">
        <v>46</v>
      </c>
      <c r="D2747" s="41">
        <v>400</v>
      </c>
      <c r="E2747" s="43" t="str">
        <f>C2747</f>
        <v>Traspaso</v>
      </c>
      <c r="F2747" s="42" t="s">
        <v>0</v>
      </c>
    </row>
    <row r="2748" spans="1:6">
      <c r="A2748" s="39">
        <f>A2747</f>
        <v>46038</v>
      </c>
      <c r="B2748" s="40" t="s">
        <v>116</v>
      </c>
      <c r="C2748" s="40" t="s">
        <v>46</v>
      </c>
      <c r="D2748" s="41">
        <v>-100</v>
      </c>
      <c r="E2748" s="43" t="str">
        <f>C2748</f>
        <v>Traspaso</v>
      </c>
      <c r="F2748" s="42" t="s">
        <v>0</v>
      </c>
    </row>
    <row r="2749" spans="1:6">
      <c r="A2749" s="39">
        <f>A2748</f>
        <v>46038</v>
      </c>
      <c r="B2749" s="40" t="s">
        <v>485</v>
      </c>
      <c r="C2749" s="40" t="s">
        <v>46</v>
      </c>
      <c r="D2749" s="41">
        <v>100</v>
      </c>
      <c r="E2749" s="43" t="str">
        <f>C2749</f>
        <v>Traspaso</v>
      </c>
      <c r="F2749" s="42" t="s">
        <v>0</v>
      </c>
    </row>
    <row r="2750" spans="1:6">
      <c r="A2750" s="39">
        <v>46039</v>
      </c>
      <c r="B2750" s="40" t="s">
        <v>508</v>
      </c>
      <c r="C2750" s="40" t="s">
        <v>36</v>
      </c>
      <c r="D2750" s="41">
        <v>-104.79</v>
      </c>
      <c r="E2750" s="43" t="s">
        <v>295</v>
      </c>
      <c r="F2750" s="42" t="s">
        <v>38</v>
      </c>
    </row>
    <row r="2751" spans="1:6">
      <c r="A2751" s="39">
        <f>A2750</f>
        <v>46039</v>
      </c>
      <c r="B2751" s="40" t="s">
        <v>508</v>
      </c>
      <c r="C2751" s="40" t="s">
        <v>52</v>
      </c>
      <c r="D2751" s="41">
        <v>-6</v>
      </c>
      <c r="E2751" s="43" t="s">
        <v>455</v>
      </c>
      <c r="F2751" s="42" t="s">
        <v>0</v>
      </c>
    </row>
    <row r="2752" spans="1:6">
      <c r="A2752" s="39">
        <v>46041</v>
      </c>
      <c r="B2752" s="40" t="s">
        <v>508</v>
      </c>
      <c r="C2752" s="40" t="s">
        <v>41</v>
      </c>
      <c r="D2752" s="41">
        <v>-1.4</v>
      </c>
      <c r="E2752" s="43" t="s">
        <v>467</v>
      </c>
      <c r="F2752" s="42" t="s">
        <v>0</v>
      </c>
    </row>
    <row r="2753" spans="1:6">
      <c r="A2753" s="39">
        <v>46042</v>
      </c>
      <c r="B2753" s="40" t="s">
        <v>508</v>
      </c>
      <c r="C2753" s="40" t="s">
        <v>41</v>
      </c>
      <c r="D2753" s="41">
        <v>-1.4</v>
      </c>
      <c r="E2753" s="43" t="s">
        <v>467</v>
      </c>
      <c r="F2753" s="42" t="s">
        <v>0</v>
      </c>
    </row>
    <row r="2754" spans="1:6">
      <c r="A2754" s="39">
        <f>A2753</f>
        <v>46042</v>
      </c>
      <c r="B2754" s="40" t="s">
        <v>508</v>
      </c>
      <c r="C2754" s="40" t="s">
        <v>62</v>
      </c>
      <c r="D2754" s="41">
        <v>-4</v>
      </c>
      <c r="E2754" s="43" t="s">
        <v>460</v>
      </c>
      <c r="F2754" s="42" t="s">
        <v>0</v>
      </c>
    </row>
    <row r="2755" spans="1:6">
      <c r="A2755" s="39">
        <v>46043</v>
      </c>
      <c r="B2755" s="40" t="s">
        <v>508</v>
      </c>
      <c r="C2755" s="40" t="s">
        <v>41</v>
      </c>
      <c r="D2755" s="41">
        <v>-1.4</v>
      </c>
      <c r="E2755" s="43" t="s">
        <v>467</v>
      </c>
      <c r="F2755" s="42" t="s">
        <v>0</v>
      </c>
    </row>
    <row r="2756" spans="1:6">
      <c r="A2756" s="39">
        <v>46044</v>
      </c>
      <c r="B2756" s="40" t="s">
        <v>508</v>
      </c>
      <c r="C2756" s="40" t="s">
        <v>41</v>
      </c>
      <c r="D2756" s="41">
        <v>-1.4</v>
      </c>
      <c r="E2756" s="43" t="s">
        <v>467</v>
      </c>
      <c r="F2756" s="42" t="s">
        <v>0</v>
      </c>
    </row>
    <row r="2757" spans="1:6">
      <c r="A2757" s="39">
        <f>A2756</f>
        <v>46044</v>
      </c>
      <c r="B2757" s="40" t="s">
        <v>673</v>
      </c>
      <c r="C2757" s="40" t="s">
        <v>46</v>
      </c>
      <c r="D2757" s="41">
        <v>-1000</v>
      </c>
      <c r="E2757" s="43" t="str">
        <f>C2757</f>
        <v>Traspaso</v>
      </c>
      <c r="F2757" s="42" t="s">
        <v>0</v>
      </c>
    </row>
    <row r="2758" spans="1:6">
      <c r="A2758" s="39">
        <f>A2757</f>
        <v>46044</v>
      </c>
      <c r="B2758" s="40" t="s">
        <v>745</v>
      </c>
      <c r="C2758" s="40" t="s">
        <v>46</v>
      </c>
      <c r="D2758" s="41">
        <v>1000</v>
      </c>
      <c r="E2758" s="43" t="str">
        <f>C2758</f>
        <v>Traspaso</v>
      </c>
      <c r="F2758" s="42" t="s">
        <v>0</v>
      </c>
    </row>
    <row r="2759" spans="1:6">
      <c r="A2759" s="39">
        <f>A2758</f>
        <v>46044</v>
      </c>
      <c r="B2759" s="40" t="s">
        <v>471</v>
      </c>
      <c r="C2759" s="40" t="s">
        <v>46</v>
      </c>
      <c r="D2759" s="41">
        <v>-130</v>
      </c>
      <c r="E2759" s="43" t="str">
        <f>C2759</f>
        <v>Traspaso</v>
      </c>
      <c r="F2759" s="42" t="s">
        <v>0</v>
      </c>
    </row>
    <row r="2760" spans="1:6">
      <c r="A2760" s="39">
        <f>A2759</f>
        <v>46044</v>
      </c>
      <c r="B2760" s="40" t="s">
        <v>508</v>
      </c>
      <c r="C2760" s="40" t="s">
        <v>46</v>
      </c>
      <c r="D2760" s="41">
        <v>130</v>
      </c>
      <c r="E2760" s="43" t="str">
        <f>C2760</f>
        <v>Traspaso</v>
      </c>
      <c r="F2760" s="42" t="s">
        <v>0</v>
      </c>
    </row>
    <row r="2761" spans="1:6">
      <c r="A2761" s="39">
        <v>46045</v>
      </c>
      <c r="B2761" s="40" t="s">
        <v>508</v>
      </c>
      <c r="C2761" s="40" t="s">
        <v>41</v>
      </c>
      <c r="D2761" s="41">
        <v>-1.4</v>
      </c>
      <c r="E2761" s="43" t="s">
        <v>467</v>
      </c>
      <c r="F2761" s="42" t="s">
        <v>0</v>
      </c>
    </row>
    <row r="2762" spans="1:6">
      <c r="A2762" s="39">
        <f>A2761</f>
        <v>46045</v>
      </c>
      <c r="B2762" s="40" t="s">
        <v>508</v>
      </c>
      <c r="C2762" s="40" t="s">
        <v>52</v>
      </c>
      <c r="D2762" s="41">
        <v>-6</v>
      </c>
      <c r="E2762" s="43" t="s">
        <v>455</v>
      </c>
      <c r="F2762" s="42" t="s">
        <v>0</v>
      </c>
    </row>
    <row r="2763" spans="1:6">
      <c r="A2763" s="39">
        <f>A2762</f>
        <v>46045</v>
      </c>
      <c r="B2763" s="40" t="s">
        <v>116</v>
      </c>
      <c r="C2763" s="40" t="s">
        <v>46</v>
      </c>
      <c r="D2763" s="41">
        <v>-100</v>
      </c>
      <c r="E2763" s="43" t="str">
        <f>C2763</f>
        <v>Traspaso</v>
      </c>
      <c r="F2763" s="42" t="s">
        <v>0</v>
      </c>
    </row>
    <row r="2764" spans="1:6">
      <c r="A2764" s="39">
        <f>A2763</f>
        <v>46045</v>
      </c>
      <c r="B2764" s="40" t="s">
        <v>485</v>
      </c>
      <c r="C2764" s="40" t="s">
        <v>46</v>
      </c>
      <c r="D2764" s="41">
        <v>100</v>
      </c>
      <c r="E2764" s="43" t="str">
        <f>C2764</f>
        <v>Traspaso</v>
      </c>
      <c r="F2764" s="42" t="s">
        <v>0</v>
      </c>
    </row>
    <row r="2765" spans="1:6">
      <c r="A2765" s="39">
        <v>46046</v>
      </c>
      <c r="B2765" s="40" t="s">
        <v>508</v>
      </c>
      <c r="C2765" s="40" t="s">
        <v>776</v>
      </c>
      <c r="D2765" s="41">
        <v>-22.28</v>
      </c>
      <c r="E2765" s="43" t="str">
        <f>C2765</f>
        <v>VariosVivienda</v>
      </c>
      <c r="F2765" s="42" t="s">
        <v>38</v>
      </c>
    </row>
    <row r="2766" spans="1:6">
      <c r="A2766" s="39">
        <f>A2765</f>
        <v>46046</v>
      </c>
      <c r="B2766" s="40" t="s">
        <v>508</v>
      </c>
      <c r="C2766" s="40" t="s">
        <v>36</v>
      </c>
      <c r="D2766" s="41">
        <v>-128.26</v>
      </c>
      <c r="E2766" s="43" t="s">
        <v>295</v>
      </c>
      <c r="F2766" s="42" t="s">
        <v>38</v>
      </c>
    </row>
    <row r="2767" spans="1:6">
      <c r="A2767" s="39">
        <f>A2766</f>
        <v>46046</v>
      </c>
      <c r="B2767" s="40" t="s">
        <v>508</v>
      </c>
      <c r="C2767" s="40" t="s">
        <v>776</v>
      </c>
      <c r="D2767" s="41">
        <v>-5.5</v>
      </c>
      <c r="E2767" s="43" t="s">
        <v>777</v>
      </c>
      <c r="F2767" s="42" t="s">
        <v>38</v>
      </c>
    </row>
    <row r="2768" spans="1:6">
      <c r="A2768" s="39">
        <f>A2767</f>
        <v>46046</v>
      </c>
      <c r="B2768" s="40" t="s">
        <v>508</v>
      </c>
      <c r="C2768" s="40" t="s">
        <v>73</v>
      </c>
      <c r="D2768" s="41">
        <v>-71.010000000000005</v>
      </c>
      <c r="E2768" s="43" t="s">
        <v>533</v>
      </c>
      <c r="F2768" s="42" t="s">
        <v>38</v>
      </c>
    </row>
    <row r="2769" spans="1:6">
      <c r="A2769" s="39">
        <v>46047</v>
      </c>
      <c r="B2769" s="40" t="s">
        <v>673</v>
      </c>
      <c r="C2769" s="40" t="s">
        <v>46</v>
      </c>
      <c r="D2769" s="41">
        <v>-1000</v>
      </c>
      <c r="E2769" s="43" t="str">
        <f>C2769</f>
        <v>Traspaso</v>
      </c>
      <c r="F2769" s="42" t="s">
        <v>0</v>
      </c>
    </row>
    <row r="2770" spans="1:6">
      <c r="A2770" s="39">
        <f>A2769</f>
        <v>46047</v>
      </c>
      <c r="B2770" s="40" t="s">
        <v>471</v>
      </c>
      <c r="C2770" s="40" t="s">
        <v>46</v>
      </c>
      <c r="D2770" s="41">
        <v>1000</v>
      </c>
      <c r="E2770" s="43" t="str">
        <f>C2770</f>
        <v>Traspaso</v>
      </c>
      <c r="F2770" s="42" t="s">
        <v>0</v>
      </c>
    </row>
    <row r="2771" spans="1:6">
      <c r="A2771" s="39">
        <f>A2770</f>
        <v>46047</v>
      </c>
      <c r="B2771" s="40" t="s">
        <v>471</v>
      </c>
      <c r="C2771" s="40" t="s">
        <v>46</v>
      </c>
      <c r="D2771" s="41">
        <v>-850</v>
      </c>
      <c r="E2771" s="43" t="str">
        <f>C2771</f>
        <v>Traspaso</v>
      </c>
      <c r="F2771" s="42" t="s">
        <v>0</v>
      </c>
    </row>
    <row r="2772" spans="1:6">
      <c r="A2772" s="39">
        <f>A2771</f>
        <v>46047</v>
      </c>
      <c r="B2772" s="40" t="s">
        <v>542</v>
      </c>
      <c r="C2772" s="40" t="s">
        <v>46</v>
      </c>
      <c r="D2772" s="41">
        <v>850</v>
      </c>
      <c r="E2772" s="43" t="str">
        <f>C2772</f>
        <v>Traspaso</v>
      </c>
      <c r="F2772" s="42" t="s">
        <v>0</v>
      </c>
    </row>
    <row r="2773" spans="1:6">
      <c r="A2773" s="39">
        <f>A2772</f>
        <v>46047</v>
      </c>
      <c r="B2773" s="40" t="s">
        <v>542</v>
      </c>
      <c r="C2773" s="40" t="s">
        <v>46</v>
      </c>
      <c r="D2773" s="41">
        <v>-1050</v>
      </c>
      <c r="E2773" s="43" t="str">
        <f>C2773</f>
        <v>Traspaso</v>
      </c>
      <c r="F2773" s="42" t="s">
        <v>0</v>
      </c>
    </row>
    <row r="2774" spans="1:6">
      <c r="A2774" s="39">
        <f>A2773</f>
        <v>46047</v>
      </c>
      <c r="B2774" s="40" t="s">
        <v>715</v>
      </c>
      <c r="C2774" s="40" t="s">
        <v>46</v>
      </c>
      <c r="D2774" s="41">
        <v>1050</v>
      </c>
      <c r="E2774" s="43" t="str">
        <f>C2774</f>
        <v>Traspaso</v>
      </c>
      <c r="F2774" s="42" t="s">
        <v>0</v>
      </c>
    </row>
    <row r="2775" spans="1:6">
      <c r="A2775" s="39">
        <v>46048</v>
      </c>
      <c r="B2775" s="40" t="s">
        <v>508</v>
      </c>
      <c r="C2775" s="40" t="s">
        <v>41</v>
      </c>
      <c r="D2775" s="41">
        <v>-1.4</v>
      </c>
      <c r="E2775" s="43" t="s">
        <v>467</v>
      </c>
      <c r="F2775" s="42" t="s">
        <v>0</v>
      </c>
    </row>
    <row r="2776" spans="1:6">
      <c r="A2776" s="39">
        <f>A2775</f>
        <v>46048</v>
      </c>
      <c r="B2776" s="40"/>
      <c r="C2776" s="40"/>
      <c r="D2776" s="41"/>
      <c r="E2776" s="43">
        <f>C2776</f>
        <v>0</v>
      </c>
      <c r="F2776" s="42"/>
    </row>
    <row r="2777" spans="1:6">
      <c r="A2777" s="39">
        <f>A2776</f>
        <v>46048</v>
      </c>
      <c r="B2777" s="40"/>
      <c r="C2777" s="40"/>
      <c r="D2777" s="41"/>
      <c r="E2777" s="43">
        <f>C2777</f>
        <v>0</v>
      </c>
      <c r="F2777" s="42"/>
    </row>
    <row r="2778" spans="1:6">
      <c r="A2778" s="39">
        <f>A2777</f>
        <v>46048</v>
      </c>
      <c r="B2778" s="40"/>
      <c r="C2778" s="40"/>
      <c r="D2778" s="41"/>
      <c r="E2778" s="43">
        <f>C2778</f>
        <v>0</v>
      </c>
      <c r="F2778" s="42"/>
    </row>
    <row r="2779" spans="1:6">
      <c r="A2779" s="39">
        <f>A2778</f>
        <v>46048</v>
      </c>
      <c r="B2779" s="40"/>
      <c r="C2779" s="40"/>
      <c r="D2779" s="41"/>
      <c r="E2779" s="43">
        <f>C2779</f>
        <v>0</v>
      </c>
      <c r="F2779" s="42"/>
    </row>
    <row r="2780" spans="1:6">
      <c r="A2780" s="39">
        <f>A2779</f>
        <v>46048</v>
      </c>
      <c r="B2780" s="40"/>
      <c r="C2780" s="40"/>
      <c r="D2780" s="41"/>
      <c r="E2780" s="43">
        <f>C2780</f>
        <v>0</v>
      </c>
      <c r="F2780" s="42"/>
    </row>
    <row r="2781" spans="1:6">
      <c r="A2781" s="39">
        <f>A2780</f>
        <v>46048</v>
      </c>
      <c r="B2781" s="40"/>
      <c r="C2781" s="40"/>
      <c r="D2781" s="41"/>
      <c r="E2781" s="43">
        <f>C2781</f>
        <v>0</v>
      </c>
      <c r="F2781" s="42"/>
    </row>
    <row r="2782" spans="1:6">
      <c r="A2782" s="39">
        <f>A2781</f>
        <v>46048</v>
      </c>
      <c r="B2782" s="40"/>
      <c r="C2782" s="40"/>
      <c r="D2782" s="41"/>
      <c r="E2782" s="43">
        <f>C2782</f>
        <v>0</v>
      </c>
      <c r="F2782" s="42"/>
    </row>
    <row r="2783" spans="1:6">
      <c r="A2783" s="39">
        <f>A2782</f>
        <v>46048</v>
      </c>
      <c r="B2783" s="40"/>
      <c r="C2783" s="40"/>
      <c r="D2783" s="41"/>
      <c r="E2783" s="43">
        <f>C2783</f>
        <v>0</v>
      </c>
      <c r="F2783" s="42"/>
    </row>
    <row r="2784" spans="1:6">
      <c r="A2784" s="39">
        <f>A2783</f>
        <v>46048</v>
      </c>
      <c r="B2784" s="40"/>
      <c r="C2784" s="40"/>
      <c r="D2784" s="41"/>
      <c r="E2784" s="43">
        <f>C2784</f>
        <v>0</v>
      </c>
      <c r="F2784" s="42"/>
    </row>
    <row r="2785" spans="1:6">
      <c r="A2785" s="39">
        <f>A2784</f>
        <v>46048</v>
      </c>
      <c r="B2785" s="40"/>
      <c r="C2785" s="40"/>
      <c r="D2785" s="41"/>
      <c r="E2785" s="43">
        <f>C2785</f>
        <v>0</v>
      </c>
      <c r="F2785" s="42"/>
    </row>
    <row r="2786" spans="1:6">
      <c r="A2786" s="39">
        <f>A2785</f>
        <v>46048</v>
      </c>
      <c r="B2786" s="40"/>
      <c r="C2786" s="40"/>
      <c r="D2786" s="41"/>
      <c r="E2786" s="43">
        <f>C2786</f>
        <v>0</v>
      </c>
      <c r="F2786" s="42"/>
    </row>
    <row r="2787" spans="1:6">
      <c r="A2787" s="39">
        <f>A2786</f>
        <v>46048</v>
      </c>
      <c r="B2787" s="40"/>
      <c r="C2787" s="40"/>
      <c r="D2787" s="41"/>
      <c r="E2787" s="43">
        <f>C2787</f>
        <v>0</v>
      </c>
      <c r="F2787" s="42"/>
    </row>
    <row r="2788" spans="1:6">
      <c r="A2788" s="39">
        <f>A2787</f>
        <v>46048</v>
      </c>
      <c r="B2788" s="40"/>
      <c r="C2788" s="40"/>
      <c r="D2788" s="41"/>
      <c r="E2788" s="43">
        <f>C2788</f>
        <v>0</v>
      </c>
      <c r="F2788" s="42"/>
    </row>
    <row r="2789" spans="1:6">
      <c r="A2789" s="39">
        <f>A2788</f>
        <v>46048</v>
      </c>
      <c r="B2789" s="40"/>
      <c r="C2789" s="40"/>
      <c r="D2789" s="41"/>
      <c r="E2789" s="43">
        <f>C2789</f>
        <v>0</v>
      </c>
      <c r="F2789" s="42"/>
    </row>
    <row r="2790" spans="1:6">
      <c r="A2790" s="39">
        <f>A2789</f>
        <v>46048</v>
      </c>
      <c r="B2790" s="40"/>
      <c r="C2790" s="40"/>
      <c r="D2790" s="41"/>
      <c r="E2790" s="43">
        <f>C2790</f>
        <v>0</v>
      </c>
      <c r="F2790" s="42"/>
    </row>
    <row r="2791" spans="1:6">
      <c r="A2791" s="39">
        <f>A2790</f>
        <v>46048</v>
      </c>
      <c r="B2791" s="40"/>
      <c r="C2791" s="40"/>
      <c r="D2791" s="41"/>
      <c r="E2791" s="43">
        <f>C2791</f>
        <v>0</v>
      </c>
      <c r="F2791" s="42"/>
    </row>
    <row r="2792" spans="1:6">
      <c r="A2792" s="39">
        <f>A2791</f>
        <v>46048</v>
      </c>
      <c r="B2792" s="40"/>
      <c r="C2792" s="40"/>
      <c r="D2792" s="41"/>
      <c r="E2792" s="43">
        <f>C2792</f>
        <v>0</v>
      </c>
      <c r="F2792" s="42"/>
    </row>
    <row r="2793" spans="1:6">
      <c r="A2793" s="39">
        <f>A2792</f>
        <v>46048</v>
      </c>
      <c r="B2793" s="40"/>
      <c r="C2793" s="40"/>
      <c r="D2793" s="41"/>
      <c r="E2793" s="43">
        <f>C2793</f>
        <v>0</v>
      </c>
      <c r="F2793" s="42"/>
    </row>
    <row r="2794" spans="1:6">
      <c r="A2794" s="39">
        <f>A2793</f>
        <v>46048</v>
      </c>
      <c r="B2794" s="40"/>
      <c r="C2794" s="40"/>
      <c r="D2794" s="41"/>
      <c r="E2794" s="43">
        <f>C2794</f>
        <v>0</v>
      </c>
      <c r="F2794" s="42"/>
    </row>
    <row r="2795" spans="1:6">
      <c r="A2795" s="39">
        <f>A2794</f>
        <v>46048</v>
      </c>
      <c r="B2795" s="40"/>
      <c r="C2795" s="40"/>
      <c r="D2795" s="41"/>
      <c r="E2795" s="43">
        <f>C2795</f>
        <v>0</v>
      </c>
      <c r="F2795" s="42"/>
    </row>
    <row r="2796" spans="1:6">
      <c r="A2796" s="39">
        <f>A2795</f>
        <v>46048</v>
      </c>
      <c r="B2796" s="40"/>
      <c r="C2796" s="40"/>
      <c r="D2796" s="41"/>
      <c r="E2796" s="43">
        <f>C2796</f>
        <v>0</v>
      </c>
      <c r="F2796" s="42"/>
    </row>
    <row r="2797" spans="1:6">
      <c r="A2797" s="39">
        <f>A2796</f>
        <v>46048</v>
      </c>
      <c r="B2797" s="40"/>
      <c r="C2797" s="40"/>
      <c r="D2797" s="41"/>
      <c r="E2797" s="43">
        <f>C2797</f>
        <v>0</v>
      </c>
      <c r="F2797" s="42"/>
    </row>
    <row r="2798" spans="1:6">
      <c r="A2798" s="39">
        <f>A2797</f>
        <v>46048</v>
      </c>
      <c r="B2798" s="40"/>
      <c r="C2798" s="40"/>
      <c r="D2798" s="41"/>
      <c r="E2798" s="43">
        <f>C2798</f>
        <v>0</v>
      </c>
      <c r="F2798" s="42"/>
    </row>
    <row r="2799" spans="1:6">
      <c r="A2799" s="39">
        <f>A2798</f>
        <v>46048</v>
      </c>
      <c r="B2799" s="40"/>
      <c r="C2799" s="40"/>
      <c r="D2799" s="41"/>
      <c r="E2799" s="43">
        <f>C2799</f>
        <v>0</v>
      </c>
      <c r="F2799" s="42"/>
    </row>
    <row r="2800" spans="1:6">
      <c r="A2800" s="39">
        <f>A2799</f>
        <v>46048</v>
      </c>
      <c r="B2800" s="40"/>
      <c r="C2800" s="40"/>
      <c r="D2800" s="41"/>
      <c r="E2800" s="43">
        <f>C2800</f>
        <v>0</v>
      </c>
      <c r="F2800" s="42"/>
    </row>
    <row r="2801" spans="1:6">
      <c r="A2801" s="39">
        <f>A2800</f>
        <v>46048</v>
      </c>
      <c r="B2801" s="40"/>
      <c r="C2801" s="40"/>
      <c r="D2801" s="41"/>
      <c r="E2801" s="43">
        <f>C2801</f>
        <v>0</v>
      </c>
      <c r="F2801" s="42"/>
    </row>
    <row r="2802" spans="1:6">
      <c r="A2802" s="39">
        <f>A2801</f>
        <v>46048</v>
      </c>
      <c r="B2802" s="40"/>
      <c r="C2802" s="40"/>
      <c r="D2802" s="41"/>
      <c r="E2802" s="43">
        <f>C2802</f>
        <v>0</v>
      </c>
      <c r="F2802" s="42"/>
    </row>
    <row r="2803" spans="1:6">
      <c r="A2803" s="39">
        <f>A2802</f>
        <v>46048</v>
      </c>
      <c r="B2803" s="40"/>
      <c r="C2803" s="40"/>
      <c r="D2803" s="41"/>
      <c r="E2803" s="43">
        <f>C2803</f>
        <v>0</v>
      </c>
      <c r="F2803" s="42"/>
    </row>
    <row r="2804" spans="1:6">
      <c r="A2804" s="39">
        <f>A2803</f>
        <v>46048</v>
      </c>
      <c r="B2804" s="40"/>
      <c r="C2804" s="40"/>
      <c r="D2804" s="41"/>
      <c r="E2804" s="43">
        <f>C2804</f>
        <v>0</v>
      </c>
      <c r="F2804" s="42"/>
    </row>
    <row r="2805" spans="1:6">
      <c r="A2805" s="39">
        <f>A2804</f>
        <v>46048</v>
      </c>
      <c r="B2805" s="40"/>
      <c r="C2805" s="40"/>
      <c r="D2805" s="41"/>
      <c r="E2805" s="43">
        <f>C2805</f>
        <v>0</v>
      </c>
      <c r="F2805" s="42"/>
    </row>
    <row r="2806" spans="1:6">
      <c r="A2806" s="39">
        <f>A2805</f>
        <v>46048</v>
      </c>
      <c r="B2806" s="40"/>
      <c r="C2806" s="40"/>
      <c r="D2806" s="41"/>
      <c r="E2806" s="43">
        <f>C2806</f>
        <v>0</v>
      </c>
      <c r="F2806" s="42"/>
    </row>
    <row r="2807" spans="1:6">
      <c r="A2807" s="39">
        <f>A2806</f>
        <v>46048</v>
      </c>
      <c r="B2807" s="40"/>
      <c r="C2807" s="40"/>
      <c r="D2807" s="41"/>
      <c r="E2807" s="43">
        <f>C2807</f>
        <v>0</v>
      </c>
      <c r="F2807" s="42"/>
    </row>
    <row r="2808" spans="1:6">
      <c r="A2808" s="39">
        <f>A2807</f>
        <v>46048</v>
      </c>
      <c r="B2808" s="40"/>
      <c r="C2808" s="40"/>
      <c r="D2808" s="41"/>
      <c r="E2808" s="43">
        <f>C2808</f>
        <v>0</v>
      </c>
      <c r="F2808" s="42"/>
    </row>
    <row r="2809" spans="1:6">
      <c r="A2809" s="39">
        <f>A2808</f>
        <v>46048</v>
      </c>
      <c r="B2809" s="40"/>
      <c r="C2809" s="40"/>
      <c r="D2809" s="41"/>
      <c r="E2809" s="43">
        <f>C2809</f>
        <v>0</v>
      </c>
      <c r="F2809" s="42"/>
    </row>
    <row r="2810" spans="1:6">
      <c r="A2810" s="39">
        <f>A2809</f>
        <v>46048</v>
      </c>
      <c r="B2810" s="40"/>
      <c r="C2810" s="40"/>
      <c r="D2810" s="41"/>
      <c r="E2810" s="43">
        <f>C2810</f>
        <v>0</v>
      </c>
      <c r="F2810" s="42"/>
    </row>
    <row r="2811" spans="1:6">
      <c r="A2811" s="39">
        <f>A2810</f>
        <v>46048</v>
      </c>
      <c r="B2811" s="40"/>
      <c r="C2811" s="40"/>
      <c r="D2811" s="41"/>
      <c r="E2811" s="43">
        <f>C2811</f>
        <v>0</v>
      </c>
      <c r="F2811" s="42"/>
    </row>
    <row r="2812" spans="1:6">
      <c r="A2812" s="39">
        <f>A2811</f>
        <v>46048</v>
      </c>
      <c r="B2812" s="40"/>
      <c r="C2812" s="40"/>
      <c r="D2812" s="41"/>
      <c r="E2812" s="43">
        <f>C2812</f>
        <v>0</v>
      </c>
      <c r="F2812" s="42"/>
    </row>
    <row r="2813" spans="1:6">
      <c r="A2813" s="39">
        <f>A2812</f>
        <v>46048</v>
      </c>
      <c r="B2813" s="40"/>
      <c r="C2813" s="40"/>
      <c r="D2813" s="41"/>
      <c r="E2813" s="43">
        <f>C2813</f>
        <v>0</v>
      </c>
      <c r="F2813" s="42"/>
    </row>
    <row r="2814" spans="1:6">
      <c r="A2814" s="39">
        <f>A2813</f>
        <v>46048</v>
      </c>
      <c r="B2814" s="40"/>
      <c r="C2814" s="40"/>
      <c r="D2814" s="41"/>
      <c r="E2814" s="43">
        <f>C2814</f>
        <v>0</v>
      </c>
      <c r="F2814" s="42"/>
    </row>
    <row r="2815" spans="1:6">
      <c r="A2815" s="39">
        <f>A2814</f>
        <v>46048</v>
      </c>
      <c r="B2815" s="40"/>
      <c r="C2815" s="40"/>
      <c r="D2815" s="41"/>
      <c r="E2815" s="43">
        <f>C2815</f>
        <v>0</v>
      </c>
      <c r="F2815" s="42"/>
    </row>
    <row r="2816" spans="1:6">
      <c r="A2816" s="39">
        <f>A2815</f>
        <v>46048</v>
      </c>
      <c r="B2816" s="40"/>
      <c r="C2816" s="40"/>
      <c r="D2816" s="41"/>
      <c r="E2816" s="43">
        <f>C2816</f>
        <v>0</v>
      </c>
      <c r="F2816" s="42"/>
    </row>
    <row r="2817" spans="1:6">
      <c r="A2817" s="39">
        <f>A2816</f>
        <v>46048</v>
      </c>
      <c r="B2817" s="40"/>
      <c r="C2817" s="40"/>
      <c r="D2817" s="41"/>
      <c r="E2817" s="43">
        <f>C2817</f>
        <v>0</v>
      </c>
      <c r="F2817" s="42"/>
    </row>
    <row r="2818" spans="1:6">
      <c r="A2818" s="39">
        <f>A2817</f>
        <v>46048</v>
      </c>
      <c r="B2818" s="40"/>
      <c r="C2818" s="40"/>
      <c r="D2818" s="41"/>
      <c r="E2818" s="43">
        <f>C2818</f>
        <v>0</v>
      </c>
      <c r="F2818" s="42"/>
    </row>
    <row r="2819" spans="1:6">
      <c r="A2819" s="39">
        <f>A2818</f>
        <v>46048</v>
      </c>
      <c r="B2819" s="40"/>
      <c r="C2819" s="40"/>
      <c r="D2819" s="41"/>
      <c r="E2819" s="43">
        <f>C2819</f>
        <v>0</v>
      </c>
      <c r="F2819" s="42"/>
    </row>
    <row r="2820" spans="1:6">
      <c r="A2820" s="39">
        <f>A2819</f>
        <v>46048</v>
      </c>
      <c r="B2820" s="40"/>
      <c r="C2820" s="40"/>
      <c r="D2820" s="41"/>
      <c r="E2820" s="43">
        <f>C2820</f>
        <v>0</v>
      </c>
      <c r="F2820" s="42"/>
    </row>
    <row r="2821" spans="1:6">
      <c r="A2821" s="39">
        <f>A2820</f>
        <v>46048</v>
      </c>
      <c r="B2821" s="40"/>
      <c r="C2821" s="40"/>
      <c r="D2821" s="41"/>
      <c r="E2821" s="43">
        <f>C2821</f>
        <v>0</v>
      </c>
      <c r="F2821" s="42"/>
    </row>
    <row r="2822" spans="1:6">
      <c r="A2822" s="39">
        <f>A2821</f>
        <v>46048</v>
      </c>
      <c r="B2822" s="40"/>
      <c r="C2822" s="40"/>
      <c r="D2822" s="41"/>
      <c r="E2822" s="43">
        <f>C2822</f>
        <v>0</v>
      </c>
      <c r="F2822" s="42"/>
    </row>
    <row r="2823" spans="1:6">
      <c r="A2823" s="39">
        <f>A2822</f>
        <v>46048</v>
      </c>
      <c r="B2823" s="40"/>
      <c r="C2823" s="40"/>
      <c r="D2823" s="41"/>
      <c r="E2823" s="43">
        <f>C2823</f>
        <v>0</v>
      </c>
      <c r="F2823" s="42"/>
    </row>
    <row r="2824" spans="1:6">
      <c r="A2824" s="39">
        <f>A2823</f>
        <v>46048</v>
      </c>
      <c r="B2824" s="40"/>
      <c r="C2824" s="40"/>
      <c r="D2824" s="41"/>
      <c r="E2824" s="43">
        <f>C2824</f>
        <v>0</v>
      </c>
      <c r="F2824" s="42"/>
    </row>
    <row r="2825" spans="1:6">
      <c r="A2825" s="39">
        <f>A2824</f>
        <v>46048</v>
      </c>
      <c r="B2825" s="40"/>
      <c r="C2825" s="40"/>
      <c r="D2825" s="41"/>
      <c r="E2825" s="43">
        <f>C2825</f>
        <v>0</v>
      </c>
      <c r="F2825" s="42"/>
    </row>
    <row r="2826" spans="1:6">
      <c r="A2826" s="39">
        <f>A2825</f>
        <v>46048</v>
      </c>
      <c r="B2826" s="40"/>
      <c r="C2826" s="40"/>
      <c r="D2826" s="41"/>
      <c r="E2826" s="43">
        <f>C2826</f>
        <v>0</v>
      </c>
      <c r="F2826" s="42"/>
    </row>
    <row r="2827" spans="1:6">
      <c r="A2827" s="39">
        <f>A2826</f>
        <v>46048</v>
      </c>
      <c r="B2827" s="40"/>
      <c r="C2827" s="40"/>
      <c r="D2827" s="41"/>
      <c r="E2827" s="43">
        <f>C2827</f>
        <v>0</v>
      </c>
      <c r="F2827" s="42"/>
    </row>
    <row r="2828" spans="1:6">
      <c r="A2828" s="39">
        <f>A2827</f>
        <v>46048</v>
      </c>
      <c r="B2828" s="40"/>
      <c r="C2828" s="40"/>
      <c r="D2828" s="41"/>
      <c r="E2828" s="43">
        <f>C2828</f>
        <v>0</v>
      </c>
      <c r="F2828" s="42"/>
    </row>
    <row r="2829" spans="1:6">
      <c r="A2829" s="39">
        <f>A2828</f>
        <v>46048</v>
      </c>
      <c r="B2829" s="40"/>
      <c r="C2829" s="40"/>
      <c r="D2829" s="41"/>
      <c r="E2829" s="43">
        <f>C2829</f>
        <v>0</v>
      </c>
      <c r="F2829" s="42"/>
    </row>
    <row r="2830" spans="1:6">
      <c r="A2830" s="39">
        <f>A2829</f>
        <v>46048</v>
      </c>
      <c r="B2830" s="40"/>
      <c r="C2830" s="40"/>
      <c r="D2830" s="41"/>
      <c r="E2830" s="43">
        <f>C2830</f>
        <v>0</v>
      </c>
      <c r="F2830" s="42"/>
    </row>
    <row r="2831" spans="1:6">
      <c r="A2831" s="39">
        <f>A2830</f>
        <v>46048</v>
      </c>
      <c r="B2831" s="40"/>
      <c r="C2831" s="40"/>
      <c r="D2831" s="41"/>
      <c r="E2831" s="43">
        <f>C2831</f>
        <v>0</v>
      </c>
      <c r="F2831" s="42"/>
    </row>
    <row r="2832" spans="1:6">
      <c r="A2832" s="39">
        <f>A2831</f>
        <v>46048</v>
      </c>
      <c r="B2832" s="40"/>
      <c r="C2832" s="40"/>
      <c r="D2832" s="41"/>
      <c r="E2832" s="43">
        <f>C2832</f>
        <v>0</v>
      </c>
      <c r="F2832" s="42"/>
    </row>
    <row r="2833" spans="1:6">
      <c r="A2833" s="39">
        <f>A2832</f>
        <v>46048</v>
      </c>
      <c r="B2833" s="40"/>
      <c r="C2833" s="40"/>
      <c r="D2833" s="41"/>
      <c r="E2833" s="43">
        <f>C2833</f>
        <v>0</v>
      </c>
      <c r="F2833" s="42"/>
    </row>
    <row r="2834" spans="1:6">
      <c r="A2834" s="39">
        <f>A2833</f>
        <v>46048</v>
      </c>
      <c r="B2834" s="40"/>
      <c r="C2834" s="40"/>
      <c r="D2834" s="41"/>
      <c r="E2834" s="43">
        <f>C2834</f>
        <v>0</v>
      </c>
      <c r="F2834" s="42"/>
    </row>
    <row r="2835" spans="1:6">
      <c r="A2835" s="39">
        <f>A2834</f>
        <v>46048</v>
      </c>
      <c r="B2835" s="40"/>
      <c r="C2835" s="40"/>
      <c r="D2835" s="41"/>
      <c r="E2835" s="43">
        <f>C2835</f>
        <v>0</v>
      </c>
      <c r="F2835" s="42"/>
    </row>
    <row r="2836" spans="1:6">
      <c r="A2836" s="39">
        <f>A2835</f>
        <v>46048</v>
      </c>
      <c r="B2836" s="40"/>
      <c r="C2836" s="40"/>
      <c r="D2836" s="41"/>
      <c r="E2836" s="43">
        <f>C2836</f>
        <v>0</v>
      </c>
      <c r="F2836" s="42"/>
    </row>
    <row r="2837" spans="1:6">
      <c r="A2837" s="39">
        <f>A2836</f>
        <v>46048</v>
      </c>
      <c r="B2837" s="40"/>
      <c r="C2837" s="40"/>
      <c r="D2837" s="41"/>
      <c r="E2837" s="43">
        <f>C2837</f>
        <v>0</v>
      </c>
      <c r="F2837" s="42"/>
    </row>
    <row r="2838" spans="1:6">
      <c r="A2838" s="39">
        <f>A2837</f>
        <v>46048</v>
      </c>
      <c r="B2838" s="40"/>
      <c r="C2838" s="40"/>
      <c r="D2838" s="41"/>
      <c r="E2838" s="43">
        <f>C2838</f>
        <v>0</v>
      </c>
      <c r="F2838" s="42"/>
    </row>
    <row r="2839" spans="1:6">
      <c r="A2839" s="39">
        <f>A2838</f>
        <v>46048</v>
      </c>
      <c r="B2839" s="40"/>
      <c r="C2839" s="40"/>
      <c r="D2839" s="41"/>
      <c r="E2839" s="43">
        <f>C2839</f>
        <v>0</v>
      </c>
      <c r="F2839" s="42"/>
    </row>
    <row r="2840" spans="1:6">
      <c r="A2840" s="39">
        <f>A2839</f>
        <v>46048</v>
      </c>
      <c r="B2840" s="40"/>
      <c r="C2840" s="40"/>
      <c r="D2840" s="41"/>
      <c r="E2840" s="43">
        <f>C2840</f>
        <v>0</v>
      </c>
      <c r="F2840" s="42"/>
    </row>
    <row r="2841" spans="1:6">
      <c r="A2841" s="39">
        <f>A2840</f>
        <v>46048</v>
      </c>
      <c r="B2841" s="40"/>
      <c r="C2841" s="40"/>
      <c r="D2841" s="41"/>
      <c r="E2841" s="43">
        <f>C2841</f>
        <v>0</v>
      </c>
      <c r="F2841" s="42"/>
    </row>
    <row r="2842" spans="1:6">
      <c r="A2842" s="39">
        <f>A2841</f>
        <v>46048</v>
      </c>
      <c r="B2842" s="40"/>
      <c r="C2842" s="40"/>
      <c r="D2842" s="41"/>
      <c r="E2842" s="43">
        <f>C2842</f>
        <v>0</v>
      </c>
      <c r="F2842" s="42"/>
    </row>
    <row r="2843" spans="1:6">
      <c r="A2843" s="39">
        <f>A2842</f>
        <v>46048</v>
      </c>
      <c r="B2843" s="40"/>
      <c r="C2843" s="40"/>
      <c r="D2843" s="41"/>
      <c r="E2843" s="43">
        <f>C2843</f>
        <v>0</v>
      </c>
      <c r="F2843" s="42"/>
    </row>
    <row r="2844" spans="1:6">
      <c r="A2844" s="39">
        <f>A2843</f>
        <v>46048</v>
      </c>
      <c r="B2844" s="40"/>
      <c r="C2844" s="40"/>
      <c r="D2844" s="41"/>
      <c r="E2844" s="43">
        <f>C2844</f>
        <v>0</v>
      </c>
      <c r="F2844" s="42"/>
    </row>
    <row r="2845" spans="1:6">
      <c r="A2845" s="39">
        <f>A2844</f>
        <v>46048</v>
      </c>
      <c r="B2845" s="40"/>
      <c r="C2845" s="40"/>
      <c r="D2845" s="41"/>
      <c r="E2845" s="43">
        <f>C2845</f>
        <v>0</v>
      </c>
      <c r="F2845" s="42"/>
    </row>
    <row r="2846" spans="1:6">
      <c r="A2846" s="39">
        <f>A2845</f>
        <v>46048</v>
      </c>
      <c r="B2846" s="40"/>
      <c r="C2846" s="40"/>
      <c r="D2846" s="41"/>
      <c r="E2846" s="43">
        <f>C2846</f>
        <v>0</v>
      </c>
      <c r="F2846" s="42"/>
    </row>
    <row r="2847" spans="1:6">
      <c r="A2847" s="39">
        <f>A2846</f>
        <v>46048</v>
      </c>
      <c r="B2847" s="40"/>
      <c r="C2847" s="40"/>
      <c r="D2847" s="41"/>
      <c r="E2847" s="43">
        <f>C2847</f>
        <v>0</v>
      </c>
      <c r="F2847" s="42"/>
    </row>
    <row r="2848" spans="1:6">
      <c r="A2848" s="39">
        <f>A2847</f>
        <v>46048</v>
      </c>
      <c r="B2848" s="40"/>
      <c r="C2848" s="40"/>
      <c r="D2848" s="41"/>
      <c r="E2848" s="43">
        <f>C2848</f>
        <v>0</v>
      </c>
      <c r="F2848" s="42"/>
    </row>
    <row r="2849" spans="1:6">
      <c r="A2849" s="39">
        <f>A2848</f>
        <v>46048</v>
      </c>
      <c r="B2849" s="40"/>
      <c r="C2849" s="40"/>
      <c r="D2849" s="41"/>
      <c r="E2849" s="43">
        <f>C2849</f>
        <v>0</v>
      </c>
      <c r="F2849" s="42"/>
    </row>
    <row r="2850" spans="1:6">
      <c r="A2850" s="39">
        <f>A2849</f>
        <v>46048</v>
      </c>
      <c r="B2850" s="40"/>
      <c r="C2850" s="40"/>
      <c r="D2850" s="41"/>
      <c r="E2850" s="43">
        <f>C2850</f>
        <v>0</v>
      </c>
      <c r="F2850" s="42"/>
    </row>
    <row r="2851" spans="1:6">
      <c r="A2851" s="39">
        <f>A2850</f>
        <v>46048</v>
      </c>
      <c r="B2851" s="40"/>
      <c r="C2851" s="40"/>
      <c r="D2851" s="41"/>
      <c r="E2851" s="43">
        <f>C2851</f>
        <v>0</v>
      </c>
      <c r="F2851" s="42"/>
    </row>
    <row r="2852" spans="1:6">
      <c r="A2852" s="39">
        <f>A2851</f>
        <v>46048</v>
      </c>
      <c r="B2852" s="40"/>
      <c r="C2852" s="40"/>
      <c r="D2852" s="41"/>
      <c r="E2852" s="43">
        <f>C2852</f>
        <v>0</v>
      </c>
      <c r="F2852" s="42"/>
    </row>
    <row r="2853" spans="1:6">
      <c r="A2853" s="39">
        <f>A2852</f>
        <v>46048</v>
      </c>
      <c r="B2853" s="40"/>
      <c r="C2853" s="40"/>
      <c r="D2853" s="41"/>
      <c r="E2853" s="43">
        <f>C2853</f>
        <v>0</v>
      </c>
      <c r="F2853" s="42"/>
    </row>
    <row r="2854" spans="1:6">
      <c r="A2854" s="39">
        <f>A2853</f>
        <v>46048</v>
      </c>
      <c r="B2854" s="40"/>
      <c r="C2854" s="40"/>
      <c r="D2854" s="41"/>
      <c r="E2854" s="43">
        <f>C2854</f>
        <v>0</v>
      </c>
      <c r="F2854" s="42"/>
    </row>
    <row r="2855" spans="1:6">
      <c r="A2855" s="39">
        <f>A2854</f>
        <v>46048</v>
      </c>
      <c r="B2855" s="40"/>
      <c r="C2855" s="40"/>
      <c r="D2855" s="41"/>
      <c r="E2855" s="43">
        <f>C2855</f>
        <v>0</v>
      </c>
      <c r="F2855" s="42"/>
    </row>
    <row r="2856" spans="1:6">
      <c r="A2856" s="39">
        <f>A2855</f>
        <v>46048</v>
      </c>
      <c r="B2856" s="40"/>
      <c r="C2856" s="40"/>
      <c r="D2856" s="41"/>
      <c r="E2856" s="43">
        <f>C2856</f>
        <v>0</v>
      </c>
      <c r="F2856" s="42"/>
    </row>
    <row r="2857" spans="1:6">
      <c r="A2857" s="39">
        <f>A2856</f>
        <v>46048</v>
      </c>
      <c r="B2857" s="40"/>
      <c r="C2857" s="40"/>
      <c r="D2857" s="41"/>
      <c r="E2857" s="43">
        <f>C2857</f>
        <v>0</v>
      </c>
      <c r="F2857" s="42"/>
    </row>
    <row r="2858" spans="1:6">
      <c r="A2858" s="39">
        <f>A2857</f>
        <v>46048</v>
      </c>
      <c r="B2858" s="40"/>
      <c r="C2858" s="40"/>
      <c r="D2858" s="41"/>
      <c r="E2858" s="43">
        <f>C2858</f>
        <v>0</v>
      </c>
      <c r="F2858" s="42"/>
    </row>
    <row r="2859" spans="1:6">
      <c r="A2859" s="39">
        <f>A2858</f>
        <v>46048</v>
      </c>
      <c r="B2859" s="40"/>
      <c r="C2859" s="40"/>
      <c r="D2859" s="41"/>
      <c r="E2859" s="43">
        <f>C2859</f>
        <v>0</v>
      </c>
      <c r="F2859" s="42"/>
    </row>
    <row r="2860" spans="1:6">
      <c r="A2860" s="39">
        <f>A2859</f>
        <v>46048</v>
      </c>
      <c r="B2860" s="40"/>
      <c r="C2860" s="40"/>
      <c r="D2860" s="41"/>
      <c r="E2860" s="43">
        <f>C2860</f>
        <v>0</v>
      </c>
      <c r="F2860" s="42"/>
    </row>
    <row r="2861" spans="1:6">
      <c r="A2861" s="39">
        <f>A2860</f>
        <v>46048</v>
      </c>
      <c r="B2861" s="40"/>
      <c r="C2861" s="40"/>
      <c r="D2861" s="41"/>
      <c r="E2861" s="43">
        <f>C2861</f>
        <v>0</v>
      </c>
      <c r="F2861" s="42"/>
    </row>
    <row r="2862" spans="1:6">
      <c r="A2862" s="39">
        <f>A2861</f>
        <v>46048</v>
      </c>
      <c r="B2862" s="40"/>
      <c r="C2862" s="40"/>
      <c r="D2862" s="41"/>
      <c r="E2862" s="43">
        <f>C2862</f>
        <v>0</v>
      </c>
      <c r="F2862" s="42"/>
    </row>
    <row r="2863" spans="1:6">
      <c r="A2863" s="39">
        <f>A2862</f>
        <v>46048</v>
      </c>
      <c r="B2863" s="40"/>
      <c r="C2863" s="40"/>
      <c r="D2863" s="41"/>
      <c r="E2863" s="43">
        <f>C2863</f>
        <v>0</v>
      </c>
      <c r="F2863" s="42"/>
    </row>
    <row r="2864" spans="1:6">
      <c r="A2864" s="39">
        <f>A2863</f>
        <v>46048</v>
      </c>
      <c r="B2864" s="40"/>
      <c r="C2864" s="40"/>
      <c r="D2864" s="41"/>
      <c r="E2864" s="43">
        <f>C2864</f>
        <v>0</v>
      </c>
      <c r="F2864" s="42"/>
    </row>
    <row r="2865" spans="1:6">
      <c r="A2865" s="39">
        <f>A2864</f>
        <v>46048</v>
      </c>
      <c r="B2865" s="40"/>
      <c r="C2865" s="40"/>
      <c r="D2865" s="41"/>
      <c r="E2865" s="43">
        <f>C2865</f>
        <v>0</v>
      </c>
      <c r="F2865" s="42"/>
    </row>
    <row r="2866" spans="1:6">
      <c r="A2866" s="39">
        <f>A2865</f>
        <v>46048</v>
      </c>
      <c r="B2866" s="40"/>
      <c r="C2866" s="40"/>
      <c r="D2866" s="41"/>
      <c r="E2866" s="43">
        <f>C2866</f>
        <v>0</v>
      </c>
      <c r="F2866" s="42"/>
    </row>
    <row r="2867" spans="1:6">
      <c r="A2867" s="39">
        <f>A2866</f>
        <v>46048</v>
      </c>
      <c r="B2867" s="40"/>
      <c r="C2867" s="40"/>
      <c r="D2867" s="41"/>
      <c r="E2867" s="43">
        <f>C2867</f>
        <v>0</v>
      </c>
      <c r="F2867" s="42"/>
    </row>
    <row r="2868" spans="1:6">
      <c r="A2868" s="39">
        <f>A2867</f>
        <v>46048</v>
      </c>
      <c r="B2868" s="40"/>
      <c r="C2868" s="40"/>
      <c r="D2868" s="41"/>
      <c r="E2868" s="43">
        <f>C2868</f>
        <v>0</v>
      </c>
      <c r="F2868" s="42"/>
    </row>
    <row r="2869" spans="1:6">
      <c r="A2869" s="39">
        <f>A2868</f>
        <v>46048</v>
      </c>
      <c r="B2869" s="40"/>
      <c r="C2869" s="40"/>
      <c r="D2869" s="41"/>
      <c r="E2869" s="43">
        <f>C2869</f>
        <v>0</v>
      </c>
      <c r="F2869" s="42"/>
    </row>
    <row r="2870" spans="1:6">
      <c r="A2870" s="39">
        <f>A2869</f>
        <v>46048</v>
      </c>
      <c r="B2870" s="40"/>
      <c r="C2870" s="40"/>
      <c r="D2870" s="41"/>
      <c r="E2870" s="43">
        <f>C2870</f>
        <v>0</v>
      </c>
      <c r="F2870" s="42"/>
    </row>
    <row r="2871" spans="1:6">
      <c r="A2871" s="39">
        <f>A2870</f>
        <v>46048</v>
      </c>
      <c r="B2871" s="40"/>
      <c r="C2871" s="40"/>
      <c r="D2871" s="41"/>
      <c r="E2871" s="43">
        <f>C2871</f>
        <v>0</v>
      </c>
      <c r="F2871" s="42"/>
    </row>
    <row r="2872" spans="1:6">
      <c r="A2872" s="39">
        <f>A2871</f>
        <v>46048</v>
      </c>
      <c r="B2872" s="40"/>
      <c r="C2872" s="40"/>
      <c r="D2872" s="41"/>
      <c r="E2872" s="43">
        <f>C2872</f>
        <v>0</v>
      </c>
      <c r="F2872" s="42"/>
    </row>
    <row r="2873" spans="1:6">
      <c r="A2873" s="39">
        <f>A2872</f>
        <v>46048</v>
      </c>
      <c r="B2873" s="40"/>
      <c r="C2873" s="40"/>
      <c r="D2873" s="41"/>
      <c r="E2873" s="43">
        <f>C2873</f>
        <v>0</v>
      </c>
      <c r="F2873" s="42"/>
    </row>
    <row r="2874" spans="1:6">
      <c r="A2874" s="39">
        <f>A2873</f>
        <v>46048</v>
      </c>
      <c r="B2874" s="40"/>
      <c r="C2874" s="40"/>
      <c r="D2874" s="41"/>
      <c r="E2874" s="43">
        <f>C2874</f>
        <v>0</v>
      </c>
      <c r="F2874" s="42"/>
    </row>
    <row r="2875" spans="1:6">
      <c r="A2875" s="39">
        <f>A2874</f>
        <v>46048</v>
      </c>
      <c r="B2875" s="40"/>
      <c r="C2875" s="40"/>
      <c r="D2875" s="41"/>
      <c r="E2875" s="43">
        <f>C2875</f>
        <v>0</v>
      </c>
      <c r="F2875" s="42"/>
    </row>
    <row r="2876" spans="1:6">
      <c r="A2876" s="39">
        <f>A2875</f>
        <v>46048</v>
      </c>
      <c r="B2876" s="40"/>
      <c r="C2876" s="40"/>
      <c r="D2876" s="41"/>
      <c r="E2876" s="43">
        <f>C2876</f>
        <v>0</v>
      </c>
      <c r="F2876" s="42"/>
    </row>
    <row r="2877" spans="1:6">
      <c r="A2877" s="39">
        <f>A2876</f>
        <v>46048</v>
      </c>
      <c r="B2877" s="40"/>
      <c r="C2877" s="40"/>
      <c r="D2877" s="41"/>
      <c r="E2877" s="43">
        <f>C2877</f>
        <v>0</v>
      </c>
      <c r="F2877" s="42"/>
    </row>
    <row r="2878" spans="1:6">
      <c r="A2878" s="39">
        <f>A2877</f>
        <v>46048</v>
      </c>
      <c r="B2878" s="40"/>
      <c r="C2878" s="40"/>
      <c r="D2878" s="41"/>
      <c r="E2878" s="43">
        <f>C2878</f>
        <v>0</v>
      </c>
      <c r="F2878" s="42"/>
    </row>
    <row r="2879" spans="1:6">
      <c r="A2879" s="39">
        <f>A2878</f>
        <v>46048</v>
      </c>
      <c r="B2879" s="40"/>
      <c r="C2879" s="40"/>
      <c r="D2879" s="41"/>
      <c r="E2879" s="43">
        <f>C2879</f>
        <v>0</v>
      </c>
      <c r="F2879" s="42"/>
    </row>
    <row r="2880" spans="1:6">
      <c r="A2880" s="39">
        <f>A2879</f>
        <v>46048</v>
      </c>
      <c r="B2880" s="40"/>
      <c r="C2880" s="40"/>
      <c r="D2880" s="41"/>
      <c r="E2880" s="43">
        <f>C2880</f>
        <v>0</v>
      </c>
      <c r="F2880" s="42"/>
    </row>
    <row r="2881" spans="1:6">
      <c r="A2881" s="39">
        <f>A2880</f>
        <v>46048</v>
      </c>
      <c r="B2881" s="40"/>
      <c r="C2881" s="40"/>
      <c r="D2881" s="41"/>
      <c r="E2881" s="43">
        <f>C2881</f>
        <v>0</v>
      </c>
      <c r="F2881" s="42"/>
    </row>
    <row r="2882" spans="1:6">
      <c r="A2882" s="39">
        <f>A2881</f>
        <v>46048</v>
      </c>
      <c r="B2882" s="40"/>
      <c r="C2882" s="40"/>
      <c r="D2882" s="41"/>
      <c r="E2882" s="43">
        <f>C2882</f>
        <v>0</v>
      </c>
      <c r="F2882" s="42"/>
    </row>
    <row r="2883" spans="1:6">
      <c r="A2883" s="39">
        <f>A2882</f>
        <v>46048</v>
      </c>
      <c r="B2883" s="40"/>
      <c r="C2883" s="40"/>
      <c r="D2883" s="41"/>
      <c r="E2883" s="43">
        <f>C2883</f>
        <v>0</v>
      </c>
      <c r="F2883" s="42"/>
    </row>
    <row r="2884" spans="1:6">
      <c r="A2884" s="39">
        <f>A2883</f>
        <v>46048</v>
      </c>
      <c r="B2884" s="40"/>
      <c r="C2884" s="40"/>
      <c r="D2884" s="41"/>
      <c r="E2884" s="43">
        <f>C2884</f>
        <v>0</v>
      </c>
      <c r="F2884" s="42"/>
    </row>
    <row r="2885" spans="1:6">
      <c r="A2885" s="39">
        <f>A2884</f>
        <v>46048</v>
      </c>
      <c r="B2885" s="40"/>
      <c r="C2885" s="40"/>
      <c r="D2885" s="41"/>
      <c r="E2885" s="43">
        <f>C2885</f>
        <v>0</v>
      </c>
      <c r="F2885" s="42"/>
    </row>
    <row r="2886" spans="1:6">
      <c r="A2886" s="39">
        <f>A2885</f>
        <v>46048</v>
      </c>
      <c r="B2886" s="40"/>
      <c r="C2886" s="40"/>
      <c r="D2886" s="41"/>
      <c r="E2886" s="43">
        <f>C2886</f>
        <v>0</v>
      </c>
      <c r="F2886" s="42"/>
    </row>
    <row r="2887" spans="1:6">
      <c r="A2887" s="39">
        <f>A2886</f>
        <v>46048</v>
      </c>
      <c r="B2887" s="40"/>
      <c r="C2887" s="40"/>
      <c r="D2887" s="41"/>
      <c r="E2887" s="43">
        <f>C2887</f>
        <v>0</v>
      </c>
      <c r="F2887" s="42"/>
    </row>
    <row r="2888" spans="1:6">
      <c r="A2888" s="39">
        <f>A2887</f>
        <v>46048</v>
      </c>
      <c r="B2888" s="40"/>
      <c r="C2888" s="40"/>
      <c r="D2888" s="41"/>
      <c r="E2888" s="43">
        <f>C2888</f>
        <v>0</v>
      </c>
      <c r="F2888" s="42"/>
    </row>
    <row r="2889" spans="1:6">
      <c r="A2889" s="39">
        <f>A2888</f>
        <v>46048</v>
      </c>
      <c r="B2889" s="40"/>
      <c r="C2889" s="40"/>
      <c r="D2889" s="41"/>
      <c r="E2889" s="43">
        <f>C2889</f>
        <v>0</v>
      </c>
      <c r="F2889" s="42"/>
    </row>
    <row r="2890" spans="1:6">
      <c r="A2890" s="39">
        <f>A2889</f>
        <v>46048</v>
      </c>
      <c r="B2890" s="40"/>
      <c r="C2890" s="40"/>
      <c r="D2890" s="41"/>
      <c r="E2890" s="43">
        <f>C2890</f>
        <v>0</v>
      </c>
      <c r="F2890" s="42"/>
    </row>
    <row r="2891" spans="1:6">
      <c r="A2891" s="39">
        <f>A2890</f>
        <v>46048</v>
      </c>
      <c r="B2891" s="40"/>
      <c r="C2891" s="40"/>
      <c r="D2891" s="41"/>
      <c r="E2891" s="43">
        <f>C2891</f>
        <v>0</v>
      </c>
      <c r="F2891" s="42"/>
    </row>
    <row r="2892" spans="1:6">
      <c r="A2892" s="39">
        <f>A2891</f>
        <v>46048</v>
      </c>
      <c r="B2892" s="40"/>
      <c r="C2892" s="40"/>
      <c r="D2892" s="41"/>
      <c r="E2892" s="43">
        <f>C2892</f>
        <v>0</v>
      </c>
      <c r="F2892" s="42"/>
    </row>
    <row r="2893" spans="1:6">
      <c r="A2893" s="39">
        <f>A2892</f>
        <v>46048</v>
      </c>
      <c r="B2893" s="40"/>
      <c r="C2893" s="40"/>
      <c r="D2893" s="41"/>
      <c r="E2893" s="43">
        <f>C2893</f>
        <v>0</v>
      </c>
      <c r="F2893" s="42"/>
    </row>
    <row r="2894" spans="1:6">
      <c r="A2894" s="39">
        <f>A2893</f>
        <v>46048</v>
      </c>
      <c r="B2894" s="40"/>
      <c r="C2894" s="40"/>
      <c r="D2894" s="41"/>
      <c r="E2894" s="43">
        <f>C2894</f>
        <v>0</v>
      </c>
      <c r="F2894" s="42"/>
    </row>
    <row r="2895" spans="1:6">
      <c r="A2895" s="39">
        <f>A2894</f>
        <v>46048</v>
      </c>
      <c r="B2895" s="40"/>
      <c r="C2895" s="40"/>
      <c r="D2895" s="41"/>
      <c r="E2895" s="43">
        <f>C2895</f>
        <v>0</v>
      </c>
      <c r="F2895" s="42"/>
    </row>
    <row r="2896" spans="1:6">
      <c r="A2896" s="39">
        <f>A2895</f>
        <v>46048</v>
      </c>
      <c r="B2896" s="40"/>
      <c r="C2896" s="40"/>
      <c r="D2896" s="41"/>
      <c r="E2896" s="43">
        <f>C2896</f>
        <v>0</v>
      </c>
      <c r="F2896" s="42"/>
    </row>
    <row r="2897" spans="1:6">
      <c r="A2897" s="39">
        <f>A2896</f>
        <v>46048</v>
      </c>
      <c r="B2897" s="40"/>
      <c r="C2897" s="40"/>
      <c r="D2897" s="41"/>
      <c r="E2897" s="43">
        <f>C2897</f>
        <v>0</v>
      </c>
      <c r="F2897" s="42"/>
    </row>
    <row r="2898" spans="1:6">
      <c r="A2898" s="39">
        <f>A2897</f>
        <v>46048</v>
      </c>
      <c r="B2898" s="40"/>
      <c r="C2898" s="40"/>
      <c r="D2898" s="41"/>
      <c r="E2898" s="43">
        <f>C2898</f>
        <v>0</v>
      </c>
      <c r="F2898" s="42"/>
    </row>
    <row r="2899" spans="1:6">
      <c r="A2899" s="39">
        <f>A2898</f>
        <v>46048</v>
      </c>
      <c r="B2899" s="40"/>
      <c r="C2899" s="40"/>
      <c r="D2899" s="41"/>
      <c r="E2899" s="43">
        <f>C2899</f>
        <v>0</v>
      </c>
      <c r="F2899" s="42"/>
    </row>
    <row r="2900" spans="1:6">
      <c r="A2900" s="39">
        <f>A2899</f>
        <v>46048</v>
      </c>
      <c r="B2900" s="40"/>
      <c r="C2900" s="40"/>
      <c r="D2900" s="41"/>
      <c r="E2900" s="43">
        <f>C2900</f>
        <v>0</v>
      </c>
      <c r="F2900" s="42"/>
    </row>
    <row r="2901" spans="1:6">
      <c r="A2901" s="39">
        <f>A2900</f>
        <v>46048</v>
      </c>
      <c r="B2901" s="40"/>
      <c r="C2901" s="40"/>
      <c r="D2901" s="41"/>
      <c r="E2901" s="43">
        <f>C2901</f>
        <v>0</v>
      </c>
      <c r="F2901" s="42"/>
    </row>
    <row r="2902" spans="1:6">
      <c r="A2902" s="39">
        <f>A2901</f>
        <v>46048</v>
      </c>
      <c r="B2902" s="40"/>
      <c r="C2902" s="40"/>
      <c r="D2902" s="41"/>
      <c r="E2902" s="43">
        <f>C2902</f>
        <v>0</v>
      </c>
      <c r="F2902" s="42"/>
    </row>
    <row r="2903" spans="1:6">
      <c r="A2903" s="39">
        <f>A2902</f>
        <v>46048</v>
      </c>
      <c r="B2903" s="40"/>
      <c r="C2903" s="40"/>
      <c r="D2903" s="41"/>
      <c r="E2903" s="43">
        <f>C2903</f>
        <v>0</v>
      </c>
      <c r="F2903" s="42"/>
    </row>
    <row r="2904" spans="1:6">
      <c r="A2904" s="39">
        <f>A2903</f>
        <v>46048</v>
      </c>
      <c r="B2904" s="40"/>
      <c r="C2904" s="40"/>
      <c r="D2904" s="41"/>
      <c r="E2904" s="43">
        <f>C2904</f>
        <v>0</v>
      </c>
      <c r="F2904" s="42"/>
    </row>
    <row r="2905" spans="1:6">
      <c r="A2905" s="39">
        <f>A2904</f>
        <v>46048</v>
      </c>
      <c r="B2905" s="40"/>
      <c r="C2905" s="40"/>
      <c r="D2905" s="41"/>
      <c r="E2905" s="43">
        <f>C2905</f>
        <v>0</v>
      </c>
      <c r="F2905" s="42"/>
    </row>
    <row r="2906" spans="1:6">
      <c r="A2906" s="39">
        <f>A2905</f>
        <v>46048</v>
      </c>
      <c r="B2906" s="40"/>
      <c r="C2906" s="40"/>
      <c r="D2906" s="41"/>
      <c r="E2906" s="43">
        <f>C2906</f>
        <v>0</v>
      </c>
      <c r="F2906" s="42"/>
    </row>
    <row r="2907" spans="1:6">
      <c r="A2907" s="39">
        <f>A2906</f>
        <v>46048</v>
      </c>
      <c r="B2907" s="40"/>
      <c r="C2907" s="40"/>
      <c r="D2907" s="41"/>
      <c r="E2907" s="43">
        <f>C2907</f>
        <v>0</v>
      </c>
      <c r="F2907" s="42"/>
    </row>
    <row r="2908" spans="1:6">
      <c r="A2908" s="39">
        <f>A2907</f>
        <v>46048</v>
      </c>
      <c r="B2908" s="40"/>
      <c r="C2908" s="40"/>
      <c r="D2908" s="41"/>
      <c r="E2908" s="43">
        <f>C2908</f>
        <v>0</v>
      </c>
      <c r="F2908" s="42"/>
    </row>
    <row r="2909" spans="1:6">
      <c r="A2909" s="39">
        <f>A2908</f>
        <v>46048</v>
      </c>
      <c r="B2909" s="40"/>
      <c r="C2909" s="40"/>
      <c r="D2909" s="41"/>
      <c r="E2909" s="43">
        <f>C2909</f>
        <v>0</v>
      </c>
      <c r="F2909" s="42"/>
    </row>
    <row r="2910" spans="1:6">
      <c r="A2910" s="39">
        <f>A2909</f>
        <v>46048</v>
      </c>
      <c r="B2910" s="40"/>
      <c r="C2910" s="40"/>
      <c r="D2910" s="41"/>
      <c r="E2910" s="43">
        <f>C2910</f>
        <v>0</v>
      </c>
      <c r="F2910" s="42"/>
    </row>
    <row r="2911" spans="1:6">
      <c r="A2911" s="39">
        <f>A2910</f>
        <v>46048</v>
      </c>
      <c r="B2911" s="40"/>
      <c r="C2911" s="40"/>
      <c r="D2911" s="41"/>
      <c r="E2911" s="43">
        <f>C2911</f>
        <v>0</v>
      </c>
      <c r="F2911" s="42"/>
    </row>
    <row r="2912" spans="1:6">
      <c r="A2912" s="39">
        <f>A2911</f>
        <v>46048</v>
      </c>
      <c r="B2912" s="40"/>
      <c r="C2912" s="40"/>
      <c r="D2912" s="41"/>
      <c r="E2912" s="43">
        <f>C2912</f>
        <v>0</v>
      </c>
      <c r="F2912" s="42"/>
    </row>
    <row r="2913" spans="1:6">
      <c r="A2913" s="39">
        <f>A2912</f>
        <v>46048</v>
      </c>
      <c r="B2913" s="40"/>
      <c r="C2913" s="40"/>
      <c r="D2913" s="41"/>
      <c r="E2913" s="43">
        <f>C2913</f>
        <v>0</v>
      </c>
      <c r="F2913" s="42"/>
    </row>
    <row r="2914" spans="1:6">
      <c r="A2914" s="39">
        <f>A2913</f>
        <v>46048</v>
      </c>
      <c r="B2914" s="40"/>
      <c r="C2914" s="40"/>
      <c r="D2914" s="41"/>
      <c r="E2914" s="43">
        <f>C2914</f>
        <v>0</v>
      </c>
      <c r="F2914" s="42"/>
    </row>
    <row r="2915" spans="1:6">
      <c r="A2915" s="39">
        <f>A2914</f>
        <v>46048</v>
      </c>
      <c r="B2915" s="40"/>
      <c r="C2915" s="40"/>
      <c r="D2915" s="41"/>
      <c r="E2915" s="43">
        <f>C2915</f>
        <v>0</v>
      </c>
      <c r="F2915" s="42"/>
    </row>
    <row r="2916" spans="1:6">
      <c r="A2916" s="39">
        <f>A2915</f>
        <v>46048</v>
      </c>
      <c r="B2916" s="40"/>
      <c r="C2916" s="40"/>
      <c r="D2916" s="41"/>
      <c r="E2916" s="43">
        <f>C2916</f>
        <v>0</v>
      </c>
      <c r="F2916" s="42"/>
    </row>
    <row r="2917" spans="1:6">
      <c r="A2917" s="39">
        <f>A2916</f>
        <v>46048</v>
      </c>
      <c r="B2917" s="40"/>
      <c r="C2917" s="40"/>
      <c r="D2917" s="41"/>
      <c r="E2917" s="43">
        <f>C2917</f>
        <v>0</v>
      </c>
      <c r="F2917" s="42"/>
    </row>
    <row r="2918" spans="1:6">
      <c r="A2918" s="39">
        <f>A2917</f>
        <v>46048</v>
      </c>
      <c r="B2918" s="40"/>
      <c r="C2918" s="40"/>
      <c r="D2918" s="41"/>
      <c r="E2918" s="43">
        <f>C2918</f>
        <v>0</v>
      </c>
      <c r="F2918" s="42"/>
    </row>
    <row r="2919" spans="1:6">
      <c r="A2919" s="39">
        <f>A2918</f>
        <v>46048</v>
      </c>
      <c r="B2919" s="40"/>
      <c r="C2919" s="40"/>
      <c r="D2919" s="41"/>
      <c r="E2919" s="43">
        <f>C2919</f>
        <v>0</v>
      </c>
      <c r="F2919" s="42"/>
    </row>
    <row r="2920" spans="1:6">
      <c r="A2920" s="39">
        <f>A2919</f>
        <v>46048</v>
      </c>
      <c r="B2920" s="40"/>
      <c r="C2920" s="40"/>
      <c r="D2920" s="41"/>
      <c r="E2920" s="43">
        <f>C2920</f>
        <v>0</v>
      </c>
      <c r="F2920" s="42"/>
    </row>
    <row r="2921" spans="1:6">
      <c r="A2921" s="39">
        <f>A2920</f>
        <v>46048</v>
      </c>
      <c r="B2921" s="40"/>
      <c r="C2921" s="40"/>
      <c r="D2921" s="41"/>
      <c r="E2921" s="43">
        <f>C2921</f>
        <v>0</v>
      </c>
      <c r="F2921" s="42"/>
    </row>
    <row r="2922" spans="1:6">
      <c r="A2922" s="39">
        <f>A2921</f>
        <v>46048</v>
      </c>
      <c r="B2922" s="40"/>
      <c r="C2922" s="40"/>
      <c r="D2922" s="41"/>
      <c r="E2922" s="43">
        <f>C2922</f>
        <v>0</v>
      </c>
      <c r="F2922" s="42"/>
    </row>
    <row r="2923" spans="1:6">
      <c r="A2923" s="39">
        <f>A2922</f>
        <v>46048</v>
      </c>
      <c r="B2923" s="40"/>
      <c r="C2923" s="40"/>
      <c r="D2923" s="41"/>
      <c r="E2923" s="43">
        <f>C2923</f>
        <v>0</v>
      </c>
      <c r="F2923" s="42"/>
    </row>
    <row r="2924" spans="1:6">
      <c r="A2924" s="39">
        <f>A2923</f>
        <v>46048</v>
      </c>
      <c r="B2924" s="40"/>
      <c r="C2924" s="40"/>
      <c r="D2924" s="41"/>
      <c r="E2924" s="43">
        <f>C2924</f>
        <v>0</v>
      </c>
      <c r="F2924" s="42"/>
    </row>
    <row r="2925" spans="1:6">
      <c r="A2925" s="39">
        <f>A2924</f>
        <v>46048</v>
      </c>
      <c r="B2925" s="40"/>
      <c r="C2925" s="40"/>
      <c r="D2925" s="41"/>
      <c r="E2925" s="43">
        <f>C2925</f>
        <v>0</v>
      </c>
      <c r="F2925" s="42"/>
    </row>
    <row r="2926" spans="1:6">
      <c r="A2926" s="39">
        <f>A2925</f>
        <v>46048</v>
      </c>
      <c r="B2926" s="40"/>
      <c r="C2926" s="40"/>
      <c r="D2926" s="41"/>
      <c r="E2926" s="43">
        <f>C2926</f>
        <v>0</v>
      </c>
      <c r="F2926" s="42"/>
    </row>
    <row r="2927" spans="1:6">
      <c r="A2927" s="39">
        <f>A2926</f>
        <v>46048</v>
      </c>
      <c r="B2927" s="40"/>
      <c r="C2927" s="40"/>
      <c r="D2927" s="41"/>
      <c r="E2927" s="43">
        <f>C2927</f>
        <v>0</v>
      </c>
      <c r="F2927" s="42"/>
    </row>
    <row r="2928" spans="1:6">
      <c r="A2928" s="39">
        <f>A2927</f>
        <v>46048</v>
      </c>
      <c r="B2928" s="40"/>
      <c r="C2928" s="40"/>
      <c r="D2928" s="41"/>
      <c r="E2928" s="43">
        <f>C2928</f>
        <v>0</v>
      </c>
      <c r="F2928" s="42"/>
    </row>
    <row r="2929" spans="1:6">
      <c r="A2929" s="39">
        <f>A2928</f>
        <v>46048</v>
      </c>
      <c r="B2929" s="40"/>
      <c r="C2929" s="40"/>
      <c r="D2929" s="41"/>
      <c r="E2929" s="43">
        <f>C2929</f>
        <v>0</v>
      </c>
      <c r="F2929" s="42"/>
    </row>
    <row r="2930" spans="1:6">
      <c r="A2930" s="39">
        <f>A2929</f>
        <v>46048</v>
      </c>
      <c r="B2930" s="40"/>
      <c r="C2930" s="40"/>
      <c r="D2930" s="41"/>
      <c r="E2930" s="43">
        <f>C2930</f>
        <v>0</v>
      </c>
      <c r="F2930" s="42"/>
    </row>
    <row r="2931" spans="1:6">
      <c r="A2931" s="39">
        <f>A2930</f>
        <v>46048</v>
      </c>
      <c r="B2931" s="40"/>
      <c r="C2931" s="40"/>
      <c r="D2931" s="41"/>
      <c r="E2931" s="43">
        <f>C2931</f>
        <v>0</v>
      </c>
      <c r="F2931" s="42"/>
    </row>
    <row r="2932" spans="1:6">
      <c r="A2932" s="39">
        <f>A2931</f>
        <v>46048</v>
      </c>
      <c r="B2932" s="40"/>
      <c r="C2932" s="40"/>
      <c r="D2932" s="41"/>
      <c r="E2932" s="43">
        <f>C2932</f>
        <v>0</v>
      </c>
      <c r="F2932" s="42"/>
    </row>
    <row r="2933" spans="1:6">
      <c r="A2933" s="39">
        <f>A2932</f>
        <v>46048</v>
      </c>
      <c r="B2933" s="40"/>
      <c r="C2933" s="40"/>
      <c r="D2933" s="41"/>
      <c r="E2933" s="43">
        <f>C2933</f>
        <v>0</v>
      </c>
      <c r="F2933" s="42"/>
    </row>
    <row r="2934" spans="1:6">
      <c r="A2934" s="39">
        <f>A2933</f>
        <v>46048</v>
      </c>
      <c r="B2934" s="40"/>
      <c r="C2934" s="40"/>
      <c r="D2934" s="41"/>
      <c r="E2934" s="43">
        <f>C2934</f>
        <v>0</v>
      </c>
      <c r="F2934" s="42"/>
    </row>
    <row r="2935" spans="1:6">
      <c r="A2935" s="39">
        <f>A2934</f>
        <v>46048</v>
      </c>
      <c r="B2935" s="40"/>
      <c r="C2935" s="40"/>
      <c r="D2935" s="41"/>
      <c r="E2935" s="43">
        <f>C2935</f>
        <v>0</v>
      </c>
      <c r="F2935" s="42"/>
    </row>
    <row r="2936" spans="1:6">
      <c r="A2936" s="39">
        <f>A2935</f>
        <v>46048</v>
      </c>
      <c r="B2936" s="40"/>
      <c r="C2936" s="40"/>
      <c r="D2936" s="41"/>
      <c r="E2936" s="43">
        <f>C2936</f>
        <v>0</v>
      </c>
      <c r="F2936" s="42"/>
    </row>
    <row r="2937" spans="1:6">
      <c r="A2937" s="39">
        <f>A2936</f>
        <v>46048</v>
      </c>
      <c r="B2937" s="40"/>
      <c r="C2937" s="40"/>
      <c r="D2937" s="41"/>
      <c r="E2937" s="43">
        <f>C2937</f>
        <v>0</v>
      </c>
      <c r="F2937" s="42"/>
    </row>
    <row r="2938" spans="1:6">
      <c r="A2938" s="39">
        <f>A2937</f>
        <v>46048</v>
      </c>
      <c r="B2938" s="40"/>
      <c r="C2938" s="40"/>
      <c r="D2938" s="41"/>
      <c r="E2938" s="43">
        <f>C2938</f>
        <v>0</v>
      </c>
      <c r="F2938" s="42"/>
    </row>
    <row r="2939" spans="1:6">
      <c r="A2939" s="39">
        <f>A2938</f>
        <v>46048</v>
      </c>
      <c r="B2939" s="40"/>
      <c r="C2939" s="40"/>
      <c r="D2939" s="41"/>
      <c r="E2939" s="43">
        <f>C2939</f>
        <v>0</v>
      </c>
      <c r="F2939" s="42"/>
    </row>
    <row r="2940" spans="1:6">
      <c r="A2940" s="39">
        <f>A2939</f>
        <v>46048</v>
      </c>
      <c r="B2940" s="40"/>
      <c r="C2940" s="40"/>
      <c r="D2940" s="41"/>
      <c r="E2940" s="43">
        <f>C2940</f>
        <v>0</v>
      </c>
      <c r="F2940" s="42"/>
    </row>
    <row r="2941" spans="1:6">
      <c r="A2941" s="39">
        <f>A2940</f>
        <v>46048</v>
      </c>
      <c r="B2941" s="40"/>
      <c r="C2941" s="40"/>
      <c r="D2941" s="41"/>
      <c r="E2941" s="43">
        <f>C2941</f>
        <v>0</v>
      </c>
      <c r="F2941" s="42"/>
    </row>
    <row r="2942" spans="1:6">
      <c r="A2942" s="39">
        <f>A2941</f>
        <v>46048</v>
      </c>
      <c r="B2942" s="40"/>
      <c r="C2942" s="40"/>
      <c r="D2942" s="41"/>
      <c r="E2942" s="43">
        <f>C2942</f>
        <v>0</v>
      </c>
      <c r="F2942" s="42"/>
    </row>
    <row r="2943" spans="1:6">
      <c r="A2943" s="39">
        <f>A2942</f>
        <v>46048</v>
      </c>
      <c r="B2943" s="40"/>
      <c r="C2943" s="40"/>
      <c r="D2943" s="41"/>
      <c r="E2943" s="43">
        <f>C2943</f>
        <v>0</v>
      </c>
      <c r="F2943" s="42"/>
    </row>
    <row r="2944" spans="1:6">
      <c r="A2944" s="39">
        <f>A2943</f>
        <v>46048</v>
      </c>
      <c r="B2944" s="40"/>
      <c r="C2944" s="40"/>
      <c r="D2944" s="41"/>
      <c r="E2944" s="43">
        <f>C2944</f>
        <v>0</v>
      </c>
      <c r="F2944" s="42"/>
    </row>
    <row r="2945" spans="1:6">
      <c r="A2945" s="39">
        <f>A2944</f>
        <v>46048</v>
      </c>
      <c r="B2945" s="40"/>
      <c r="C2945" s="40"/>
      <c r="D2945" s="41"/>
      <c r="E2945" s="43">
        <f>C2945</f>
        <v>0</v>
      </c>
      <c r="F2945" s="42"/>
    </row>
    <row r="2946" spans="1:6">
      <c r="A2946" s="39">
        <f>A2945</f>
        <v>46048</v>
      </c>
      <c r="B2946" s="40"/>
      <c r="C2946" s="40"/>
      <c r="D2946" s="41"/>
      <c r="E2946" s="43">
        <f>C2946</f>
        <v>0</v>
      </c>
      <c r="F2946" s="42"/>
    </row>
    <row r="2947" spans="1:6">
      <c r="A2947" s="39">
        <f>A2946</f>
        <v>46048</v>
      </c>
      <c r="B2947" s="40"/>
      <c r="C2947" s="40"/>
      <c r="D2947" s="41"/>
      <c r="E2947" s="43">
        <f>C2947</f>
        <v>0</v>
      </c>
      <c r="F2947" s="42"/>
    </row>
    <row r="2948" spans="1:6">
      <c r="A2948" s="39">
        <f>A2947</f>
        <v>46048</v>
      </c>
      <c r="B2948" s="40"/>
      <c r="C2948" s="40"/>
      <c r="D2948" s="41"/>
      <c r="E2948" s="43">
        <f>C2948</f>
        <v>0</v>
      </c>
      <c r="F2948" s="42"/>
    </row>
    <row r="2949" spans="1:6">
      <c r="A2949" s="39">
        <f>A2948</f>
        <v>46048</v>
      </c>
      <c r="B2949" s="40"/>
      <c r="C2949" s="40"/>
      <c r="D2949" s="41"/>
      <c r="E2949" s="43">
        <f>C2949</f>
        <v>0</v>
      </c>
      <c r="F2949" s="42"/>
    </row>
    <row r="2950" spans="1:6">
      <c r="A2950" s="39">
        <f>A2949</f>
        <v>46048</v>
      </c>
      <c r="B2950" s="40"/>
      <c r="C2950" s="40"/>
      <c r="D2950" s="41"/>
      <c r="E2950" s="43">
        <f>C2950</f>
        <v>0</v>
      </c>
      <c r="F2950" s="42"/>
    </row>
    <row r="2951" spans="1:6">
      <c r="A2951" s="39">
        <f>A2950</f>
        <v>46048</v>
      </c>
      <c r="B2951" s="40"/>
      <c r="C2951" s="40"/>
      <c r="D2951" s="41"/>
      <c r="E2951" s="43">
        <f>C2951</f>
        <v>0</v>
      </c>
      <c r="F2951" s="42"/>
    </row>
    <row r="2952" spans="1:6">
      <c r="A2952" s="39">
        <f>A2951</f>
        <v>46048</v>
      </c>
      <c r="B2952" s="40"/>
      <c r="C2952" s="40"/>
      <c r="D2952" s="41"/>
      <c r="E2952" s="43">
        <f>C2952</f>
        <v>0</v>
      </c>
      <c r="F2952" s="42"/>
    </row>
    <row r="2953" spans="1:6">
      <c r="A2953" s="39">
        <f>A2952</f>
        <v>46048</v>
      </c>
      <c r="B2953" s="40"/>
      <c r="C2953" s="40"/>
      <c r="D2953" s="41"/>
      <c r="E2953" s="43">
        <f>C2953</f>
        <v>0</v>
      </c>
      <c r="F2953" s="42"/>
    </row>
    <row r="2954" spans="1:6">
      <c r="A2954" s="39">
        <f>A2953</f>
        <v>46048</v>
      </c>
      <c r="B2954" s="40"/>
      <c r="C2954" s="40"/>
      <c r="D2954" s="41"/>
      <c r="E2954" s="43">
        <f>C2954</f>
        <v>0</v>
      </c>
      <c r="F2954" s="42"/>
    </row>
    <row r="2955" spans="1:6">
      <c r="A2955" s="39">
        <f>A2954</f>
        <v>46048</v>
      </c>
      <c r="B2955" s="40"/>
      <c r="C2955" s="40"/>
      <c r="D2955" s="41"/>
      <c r="E2955" s="43">
        <f>C2955</f>
        <v>0</v>
      </c>
      <c r="F2955" s="42"/>
    </row>
    <row r="2956" spans="1:6">
      <c r="A2956" s="39">
        <f>A2955</f>
        <v>46048</v>
      </c>
      <c r="B2956" s="40"/>
      <c r="C2956" s="40"/>
      <c r="D2956" s="41"/>
      <c r="E2956" s="43">
        <f>C2956</f>
        <v>0</v>
      </c>
      <c r="F2956" s="42"/>
    </row>
    <row r="2957" spans="1:6">
      <c r="A2957" s="39">
        <f>A2956</f>
        <v>46048</v>
      </c>
      <c r="B2957" s="40"/>
      <c r="C2957" s="40"/>
      <c r="D2957" s="41"/>
      <c r="E2957" s="43">
        <f>C2957</f>
        <v>0</v>
      </c>
      <c r="F2957" s="42"/>
    </row>
    <row r="2958" spans="1:6">
      <c r="A2958" s="39">
        <f>A2957</f>
        <v>46048</v>
      </c>
      <c r="B2958" s="40"/>
      <c r="C2958" s="40"/>
      <c r="D2958" s="41"/>
      <c r="E2958" s="43">
        <f>C2958</f>
        <v>0</v>
      </c>
      <c r="F2958" s="42"/>
    </row>
    <row r="2959" spans="1:6">
      <c r="A2959" s="39">
        <f>A2958</f>
        <v>46048</v>
      </c>
      <c r="B2959" s="40"/>
      <c r="C2959" s="40"/>
      <c r="D2959" s="41"/>
      <c r="E2959" s="43">
        <f>C2959</f>
        <v>0</v>
      </c>
      <c r="F2959" s="42"/>
    </row>
    <row r="2960" spans="1:6">
      <c r="A2960" s="39">
        <f>A2959</f>
        <v>46048</v>
      </c>
      <c r="B2960" s="40"/>
      <c r="C2960" s="40"/>
      <c r="D2960" s="41"/>
      <c r="E2960" s="43">
        <f>C2960</f>
        <v>0</v>
      </c>
      <c r="F2960" s="42"/>
    </row>
    <row r="2961" spans="1:6">
      <c r="A2961" s="39">
        <f>A2960</f>
        <v>46048</v>
      </c>
      <c r="B2961" s="40"/>
      <c r="C2961" s="40"/>
      <c r="D2961" s="41"/>
      <c r="E2961" s="43">
        <f>C2961</f>
        <v>0</v>
      </c>
      <c r="F2961" s="42"/>
    </row>
    <row r="2962" spans="1:6">
      <c r="A2962" s="39">
        <f>A2961</f>
        <v>46048</v>
      </c>
      <c r="B2962" s="40"/>
      <c r="C2962" s="40"/>
      <c r="D2962" s="41"/>
      <c r="E2962" s="43">
        <f>C2962</f>
        <v>0</v>
      </c>
      <c r="F2962" s="42"/>
    </row>
    <row r="2963" spans="1:6">
      <c r="A2963" s="39">
        <f>A2962</f>
        <v>46048</v>
      </c>
      <c r="B2963" s="40"/>
      <c r="C2963" s="40"/>
      <c r="D2963" s="41"/>
      <c r="E2963" s="43">
        <f>C2963</f>
        <v>0</v>
      </c>
      <c r="F2963" s="42"/>
    </row>
    <row r="2964" spans="1:6">
      <c r="A2964" s="39">
        <f>A2963</f>
        <v>46048</v>
      </c>
      <c r="B2964" s="40"/>
      <c r="C2964" s="40"/>
      <c r="D2964" s="41"/>
      <c r="E2964" s="43">
        <f>C2964</f>
        <v>0</v>
      </c>
      <c r="F2964" s="42"/>
    </row>
    <row r="2965" spans="1:6">
      <c r="A2965" s="39">
        <f>A2964</f>
        <v>46048</v>
      </c>
      <c r="B2965" s="40"/>
      <c r="C2965" s="40"/>
      <c r="D2965" s="41"/>
      <c r="E2965" s="43">
        <f>C2965</f>
        <v>0</v>
      </c>
      <c r="F2965" s="42"/>
    </row>
    <row r="2966" spans="1:6">
      <c r="A2966" s="39">
        <f>A2965</f>
        <v>46048</v>
      </c>
      <c r="B2966" s="40"/>
      <c r="C2966" s="40"/>
      <c r="D2966" s="41"/>
      <c r="E2966" s="43">
        <f>C2966</f>
        <v>0</v>
      </c>
      <c r="F2966" s="42"/>
    </row>
    <row r="2967" spans="1:6">
      <c r="A2967" s="39">
        <f>A2966</f>
        <v>46048</v>
      </c>
      <c r="B2967" s="40"/>
      <c r="C2967" s="40"/>
      <c r="D2967" s="41"/>
      <c r="E2967" s="43">
        <f>C2967</f>
        <v>0</v>
      </c>
      <c r="F2967" s="42"/>
    </row>
    <row r="2968" spans="1:6">
      <c r="A2968" s="39">
        <f>A2967</f>
        <v>46048</v>
      </c>
      <c r="B2968" s="40"/>
      <c r="C2968" s="40"/>
      <c r="D2968" s="41"/>
      <c r="E2968" s="43">
        <f>C2968</f>
        <v>0</v>
      </c>
      <c r="F2968" s="42"/>
    </row>
    <row r="2969" spans="1:6">
      <c r="A2969" s="39">
        <f>A2968</f>
        <v>46048</v>
      </c>
      <c r="B2969" s="40"/>
      <c r="C2969" s="40"/>
      <c r="D2969" s="41"/>
      <c r="E2969" s="43">
        <f>C2969</f>
        <v>0</v>
      </c>
      <c r="F2969" s="42"/>
    </row>
    <row r="2970" spans="1:6">
      <c r="A2970" s="39">
        <f>A2969</f>
        <v>46048</v>
      </c>
      <c r="B2970" s="40"/>
      <c r="C2970" s="40"/>
      <c r="D2970" s="41"/>
      <c r="E2970" s="43">
        <f>C2970</f>
        <v>0</v>
      </c>
      <c r="F2970" s="42"/>
    </row>
    <row r="2971" spans="1:6">
      <c r="A2971" s="39">
        <f>A2970</f>
        <v>46048</v>
      </c>
      <c r="B2971" s="40"/>
      <c r="C2971" s="40"/>
      <c r="D2971" s="41"/>
      <c r="E2971" s="43">
        <f>C2971</f>
        <v>0</v>
      </c>
      <c r="F2971" s="42"/>
    </row>
    <row r="2972" spans="1:6">
      <c r="A2972" s="39">
        <f>A2971</f>
        <v>46048</v>
      </c>
      <c r="B2972" s="40"/>
      <c r="C2972" s="40"/>
      <c r="D2972" s="41"/>
      <c r="E2972" s="43">
        <f>C2972</f>
        <v>0</v>
      </c>
      <c r="F2972" s="42"/>
    </row>
    <row r="2973" spans="1:6">
      <c r="A2973" s="39">
        <f>A2972</f>
        <v>46048</v>
      </c>
      <c r="B2973" s="40"/>
      <c r="C2973" s="40"/>
      <c r="D2973" s="41"/>
      <c r="E2973" s="43">
        <f>C2973</f>
        <v>0</v>
      </c>
      <c r="F2973" s="42"/>
    </row>
    <row r="2974" spans="1:6">
      <c r="A2974" s="39">
        <f>A2973</f>
        <v>46048</v>
      </c>
      <c r="B2974" s="40"/>
      <c r="C2974" s="40"/>
      <c r="D2974" s="41"/>
      <c r="E2974" s="43">
        <f>C2974</f>
        <v>0</v>
      </c>
      <c r="F2974" s="42"/>
    </row>
    <row r="2975" spans="1:6">
      <c r="A2975" s="39">
        <f>A2974</f>
        <v>46048</v>
      </c>
      <c r="B2975" s="40"/>
      <c r="C2975" s="40"/>
      <c r="D2975" s="41"/>
      <c r="E2975" s="43">
        <f>C2975</f>
        <v>0</v>
      </c>
      <c r="F2975" s="42"/>
    </row>
    <row r="2976" spans="1:6">
      <c r="A2976" s="39">
        <f>A2975</f>
        <v>46048</v>
      </c>
      <c r="B2976" s="40"/>
      <c r="C2976" s="40"/>
      <c r="D2976" s="41"/>
      <c r="E2976" s="43">
        <f>C2976</f>
        <v>0</v>
      </c>
      <c r="F2976" s="42"/>
    </row>
    <row r="2977" spans="1:6">
      <c r="A2977" s="39">
        <f>A2976</f>
        <v>46048</v>
      </c>
      <c r="B2977" s="40"/>
      <c r="C2977" s="40"/>
      <c r="D2977" s="41"/>
      <c r="E2977" s="43">
        <f>C2977</f>
        <v>0</v>
      </c>
      <c r="F2977" s="42"/>
    </row>
    <row r="2978" spans="1:6">
      <c r="A2978" s="39">
        <f>A2977</f>
        <v>46048</v>
      </c>
      <c r="B2978" s="40"/>
      <c r="C2978" s="40"/>
      <c r="D2978" s="41"/>
      <c r="E2978" s="43">
        <f>C2978</f>
        <v>0</v>
      </c>
      <c r="F2978" s="42"/>
    </row>
    <row r="2979" spans="1:6">
      <c r="A2979" s="39">
        <f>A2978</f>
        <v>46048</v>
      </c>
      <c r="B2979" s="40"/>
      <c r="C2979" s="40"/>
      <c r="D2979" s="41"/>
      <c r="E2979" s="43">
        <f>C2979</f>
        <v>0</v>
      </c>
      <c r="F2979" s="42"/>
    </row>
    <row r="2980" spans="1:6">
      <c r="A2980" s="39">
        <f>A2979</f>
        <v>46048</v>
      </c>
      <c r="B2980" s="40"/>
      <c r="C2980" s="40"/>
      <c r="D2980" s="41"/>
      <c r="E2980" s="43">
        <f>C2980</f>
        <v>0</v>
      </c>
      <c r="F2980" s="42"/>
    </row>
    <row r="2981" spans="1:6">
      <c r="A2981" s="39">
        <f>A2980</f>
        <v>46048</v>
      </c>
      <c r="B2981" s="40"/>
      <c r="C2981" s="40"/>
      <c r="D2981" s="41"/>
      <c r="E2981" s="43">
        <f>C2981</f>
        <v>0</v>
      </c>
      <c r="F2981" s="42"/>
    </row>
    <row r="2982" spans="1:6">
      <c r="A2982" s="39">
        <f>A2981</f>
        <v>46048</v>
      </c>
      <c r="B2982" s="40"/>
      <c r="C2982" s="40"/>
      <c r="D2982" s="41"/>
      <c r="E2982" s="43">
        <f>C2982</f>
        <v>0</v>
      </c>
      <c r="F2982" s="42"/>
    </row>
    <row r="2983" spans="1:6">
      <c r="A2983" s="39">
        <f>A2982</f>
        <v>46048</v>
      </c>
      <c r="B2983" s="40"/>
      <c r="C2983" s="40"/>
      <c r="D2983" s="41"/>
      <c r="E2983" s="43">
        <f>C2983</f>
        <v>0</v>
      </c>
      <c r="F2983" s="42"/>
    </row>
    <row r="2984" spans="1:6">
      <c r="A2984" s="39">
        <f>A2983</f>
        <v>46048</v>
      </c>
      <c r="B2984" s="40"/>
      <c r="C2984" s="40"/>
      <c r="D2984" s="41"/>
      <c r="E2984" s="43">
        <f>C2984</f>
        <v>0</v>
      </c>
      <c r="F2984" s="42"/>
    </row>
    <row r="2985" spans="1:6">
      <c r="A2985" s="39">
        <f>A2984</f>
        <v>46048</v>
      </c>
      <c r="B2985" s="40"/>
      <c r="C2985" s="40"/>
      <c r="D2985" s="41"/>
      <c r="E2985" s="43">
        <f>C2985</f>
        <v>0</v>
      </c>
      <c r="F2985" s="42"/>
    </row>
    <row r="2986" spans="1:6">
      <c r="A2986" s="39">
        <f>A2985</f>
        <v>46048</v>
      </c>
      <c r="B2986" s="40"/>
      <c r="C2986" s="40"/>
      <c r="D2986" s="41"/>
      <c r="E2986" s="43">
        <f>C2986</f>
        <v>0</v>
      </c>
      <c r="F2986" s="42"/>
    </row>
    <row r="2987" spans="1:6">
      <c r="A2987" s="39">
        <f>A2986</f>
        <v>46048</v>
      </c>
      <c r="B2987" s="40"/>
      <c r="C2987" s="40"/>
      <c r="D2987" s="41"/>
      <c r="E2987" s="43">
        <f>C2987</f>
        <v>0</v>
      </c>
      <c r="F2987" s="42"/>
    </row>
    <row r="2988" spans="1:6">
      <c r="A2988" s="39">
        <f>A2987</f>
        <v>46048</v>
      </c>
      <c r="B2988" s="40"/>
      <c r="C2988" s="40"/>
      <c r="D2988" s="41"/>
      <c r="E2988" s="43">
        <f>C2988</f>
        <v>0</v>
      </c>
      <c r="F2988" s="42"/>
    </row>
    <row r="2989" spans="1:6">
      <c r="A2989" s="39">
        <f>A2988</f>
        <v>46048</v>
      </c>
      <c r="B2989" s="40"/>
      <c r="C2989" s="40"/>
      <c r="D2989" s="41"/>
      <c r="E2989" s="43">
        <f>C2989</f>
        <v>0</v>
      </c>
      <c r="F2989" s="42"/>
    </row>
    <row r="2990" spans="1:6">
      <c r="A2990" s="39">
        <f>A2989</f>
        <v>46048</v>
      </c>
      <c r="B2990" s="40"/>
      <c r="C2990" s="40"/>
      <c r="D2990" s="41"/>
      <c r="E2990" s="43">
        <f>C2990</f>
        <v>0</v>
      </c>
      <c r="F2990" s="42"/>
    </row>
    <row r="2991" spans="1:6">
      <c r="A2991" s="39">
        <f>A2990</f>
        <v>46048</v>
      </c>
      <c r="B2991" s="40"/>
      <c r="C2991" s="40"/>
      <c r="D2991" s="41"/>
      <c r="E2991" s="43">
        <f>C2991</f>
        <v>0</v>
      </c>
      <c r="F2991" s="42"/>
    </row>
    <row r="2992" spans="1:6">
      <c r="A2992" s="39">
        <f>A2991</f>
        <v>46048</v>
      </c>
      <c r="B2992" s="40"/>
      <c r="C2992" s="40"/>
      <c r="D2992" s="41"/>
      <c r="E2992" s="43">
        <f>C2992</f>
        <v>0</v>
      </c>
      <c r="F2992" s="42"/>
    </row>
    <row r="2993" spans="1:6">
      <c r="A2993" s="39">
        <f>A2992</f>
        <v>46048</v>
      </c>
      <c r="B2993" s="40"/>
      <c r="C2993" s="40"/>
      <c r="D2993" s="41"/>
      <c r="E2993" s="43">
        <f>C2993</f>
        <v>0</v>
      </c>
      <c r="F2993" s="42"/>
    </row>
    <row r="2994" spans="1:6">
      <c r="A2994" s="39">
        <f>A2993</f>
        <v>46048</v>
      </c>
      <c r="B2994" s="40"/>
      <c r="C2994" s="40"/>
      <c r="D2994" s="41"/>
      <c r="E2994" s="43">
        <f>C2994</f>
        <v>0</v>
      </c>
      <c r="F2994" s="42"/>
    </row>
    <row r="2995" spans="1:6">
      <c r="A2995" s="39">
        <f>A2994</f>
        <v>46048</v>
      </c>
      <c r="B2995" s="40"/>
      <c r="C2995" s="40"/>
      <c r="D2995" s="41"/>
      <c r="E2995" s="43">
        <f>C2995</f>
        <v>0</v>
      </c>
      <c r="F2995" s="42"/>
    </row>
    <row r="2996" spans="1:6">
      <c r="A2996" s="39">
        <f>A2995</f>
        <v>46048</v>
      </c>
      <c r="B2996" s="40"/>
      <c r="C2996" s="40"/>
      <c r="D2996" s="41"/>
      <c r="E2996" s="43">
        <f>C2996</f>
        <v>0</v>
      </c>
      <c r="F2996" s="42"/>
    </row>
    <row r="2997" spans="1:6">
      <c r="A2997" s="39">
        <f>A2996</f>
        <v>46048</v>
      </c>
      <c r="B2997" s="40"/>
      <c r="C2997" s="40"/>
      <c r="D2997" s="41"/>
      <c r="E2997" s="43">
        <f>C2997</f>
        <v>0</v>
      </c>
      <c r="F2997" s="42"/>
    </row>
    <row r="2998" spans="1:6">
      <c r="A2998" s="39">
        <f>A2997</f>
        <v>46048</v>
      </c>
      <c r="B2998" s="40"/>
      <c r="C2998" s="40"/>
      <c r="D2998" s="41"/>
      <c r="E2998" s="43">
        <f>C2998</f>
        <v>0</v>
      </c>
      <c r="F2998" s="42"/>
    </row>
    <row r="2999" spans="1:6">
      <c r="A2999" s="39">
        <f>A2998</f>
        <v>46048</v>
      </c>
      <c r="B2999" s="40"/>
      <c r="C2999" s="40"/>
      <c r="D2999" s="41"/>
      <c r="E2999" s="43">
        <f>C2999</f>
        <v>0</v>
      </c>
      <c r="F2999" s="42"/>
    </row>
    <row r="3000" spans="1:6">
      <c r="A3000" s="39">
        <f>A2999</f>
        <v>46048</v>
      </c>
      <c r="B3000" s="40"/>
      <c r="C3000" s="40"/>
      <c r="D3000" s="41"/>
      <c r="E3000" s="43">
        <f>C3000</f>
        <v>0</v>
      </c>
      <c r="F3000" s="42"/>
    </row>
    <row r="3001" spans="1:6">
      <c r="A3001" s="39">
        <f>A3000</f>
        <v>46048</v>
      </c>
      <c r="B3001" s="40"/>
      <c r="C3001" s="40"/>
      <c r="D3001" s="41"/>
      <c r="E3001" s="43">
        <f>C3001</f>
        <v>0</v>
      </c>
      <c r="F3001" s="42"/>
    </row>
    <row r="3002" spans="1:6">
      <c r="A3002" s="39">
        <f>A3001</f>
        <v>46048</v>
      </c>
      <c r="B3002" s="40"/>
      <c r="C3002" s="40"/>
      <c r="D3002" s="41"/>
      <c r="E3002" s="43">
        <f>C3002</f>
        <v>0</v>
      </c>
      <c r="F3002" s="42"/>
    </row>
    <row r="3003" spans="1:6">
      <c r="A3003" s="39">
        <f>A3002</f>
        <v>46048</v>
      </c>
      <c r="B3003" s="40"/>
      <c r="C3003" s="40"/>
      <c r="D3003" s="41"/>
      <c r="E3003" s="43">
        <f>C3003</f>
        <v>0</v>
      </c>
      <c r="F3003" s="42"/>
    </row>
    <row r="3004" spans="1:6">
      <c r="A3004" s="39">
        <f>A3003</f>
        <v>46048</v>
      </c>
      <c r="B3004" s="40"/>
      <c r="C3004" s="40"/>
      <c r="D3004" s="41"/>
      <c r="E3004" s="43">
        <f>C3004</f>
        <v>0</v>
      </c>
      <c r="F3004" s="42"/>
    </row>
    <row r="3005" spans="1:6">
      <c r="A3005" s="39">
        <f>A3004</f>
        <v>46048</v>
      </c>
      <c r="B3005" s="40"/>
      <c r="C3005" s="40"/>
      <c r="D3005" s="41"/>
      <c r="E3005" s="43">
        <f>C3005</f>
        <v>0</v>
      </c>
      <c r="F3005" s="42"/>
    </row>
    <row r="3006" spans="1:6">
      <c r="A3006" s="39">
        <f>A3005</f>
        <v>46048</v>
      </c>
      <c r="B3006" s="40"/>
      <c r="C3006" s="40"/>
      <c r="D3006" s="41"/>
      <c r="E3006" s="43">
        <f>C3006</f>
        <v>0</v>
      </c>
      <c r="F3006" s="42"/>
    </row>
    <row r="3007" spans="1:6">
      <c r="A3007" s="39">
        <f>A3006</f>
        <v>46048</v>
      </c>
      <c r="B3007" s="40"/>
      <c r="C3007" s="40"/>
      <c r="D3007" s="41"/>
      <c r="E3007" s="43">
        <f>C3007</f>
        <v>0</v>
      </c>
      <c r="F3007" s="42"/>
    </row>
    <row r="3008" spans="1:6">
      <c r="A3008" s="39">
        <f>A3007</f>
        <v>46048</v>
      </c>
      <c r="B3008" s="40"/>
      <c r="C3008" s="40"/>
      <c r="D3008" s="41"/>
      <c r="E3008" s="43">
        <f>C3008</f>
        <v>0</v>
      </c>
      <c r="F3008" s="42"/>
    </row>
    <row r="3009" spans="1:6">
      <c r="A3009" s="39">
        <f>A3008</f>
        <v>46048</v>
      </c>
      <c r="B3009" s="40"/>
      <c r="C3009" s="40"/>
      <c r="D3009" s="41"/>
      <c r="E3009" s="43">
        <f>C3009</f>
        <v>0</v>
      </c>
      <c r="F3009" s="42"/>
    </row>
    <row r="3010" spans="1:6">
      <c r="A3010" s="39">
        <f>A3009</f>
        <v>46048</v>
      </c>
      <c r="B3010" s="40"/>
      <c r="C3010" s="40"/>
      <c r="D3010" s="41"/>
      <c r="E3010" s="43">
        <f>C3010</f>
        <v>0</v>
      </c>
      <c r="F3010" s="42"/>
    </row>
    <row r="3011" spans="1:6">
      <c r="A3011" s="39">
        <f>A3010</f>
        <v>46048</v>
      </c>
      <c r="B3011" s="40"/>
      <c r="C3011" s="40"/>
      <c r="D3011" s="41"/>
      <c r="E3011" s="43">
        <f>C3011</f>
        <v>0</v>
      </c>
      <c r="F3011" s="42"/>
    </row>
    <row r="3012" spans="1:6">
      <c r="A3012" s="39">
        <f>A3011</f>
        <v>46048</v>
      </c>
      <c r="B3012" s="40"/>
      <c r="C3012" s="40"/>
      <c r="D3012" s="41"/>
      <c r="E3012" s="43">
        <f>C3012</f>
        <v>0</v>
      </c>
      <c r="F3012" s="42"/>
    </row>
    <row r="3013" spans="1:6">
      <c r="A3013" s="39">
        <f>A3012</f>
        <v>46048</v>
      </c>
      <c r="B3013" s="40"/>
      <c r="C3013" s="40"/>
      <c r="D3013" s="41"/>
      <c r="E3013" s="43">
        <f>C3013</f>
        <v>0</v>
      </c>
      <c r="F3013" s="42"/>
    </row>
    <row r="3014" spans="1:6">
      <c r="A3014" s="39">
        <f>A3013</f>
        <v>46048</v>
      </c>
      <c r="B3014" s="40"/>
      <c r="C3014" s="40"/>
      <c r="D3014" s="41"/>
      <c r="E3014" s="43">
        <f>C3014</f>
        <v>0</v>
      </c>
      <c r="F3014" s="42"/>
    </row>
    <row r="3015" spans="1:6">
      <c r="A3015" s="39">
        <f>A3014</f>
        <v>46048</v>
      </c>
      <c r="B3015" s="40"/>
      <c r="C3015" s="40"/>
      <c r="D3015" s="41"/>
      <c r="E3015" s="43">
        <f>C3015</f>
        <v>0</v>
      </c>
      <c r="F3015" s="42"/>
    </row>
    <row r="3016" spans="1:6">
      <c r="A3016" s="39">
        <f>A3015</f>
        <v>46048</v>
      </c>
      <c r="B3016" s="40"/>
      <c r="C3016" s="40"/>
      <c r="D3016" s="41"/>
      <c r="E3016" s="43">
        <f>C3016</f>
        <v>0</v>
      </c>
      <c r="F3016" s="42"/>
    </row>
    <row r="3017" spans="1:6">
      <c r="A3017" s="39">
        <f>A3016</f>
        <v>46048</v>
      </c>
      <c r="B3017" s="40"/>
      <c r="C3017" s="40"/>
      <c r="D3017" s="41"/>
      <c r="E3017" s="43">
        <f>C3017</f>
        <v>0</v>
      </c>
      <c r="F3017" s="42"/>
    </row>
    <row r="3018" spans="1:6">
      <c r="A3018" s="39">
        <f>A3017</f>
        <v>46048</v>
      </c>
      <c r="B3018" s="40"/>
      <c r="C3018" s="40"/>
      <c r="D3018" s="41"/>
      <c r="E3018" s="43">
        <f>C3018</f>
        <v>0</v>
      </c>
      <c r="F3018" s="42"/>
    </row>
    <row r="3019" spans="1:6">
      <c r="A3019" s="39">
        <f>A3018</f>
        <v>46048</v>
      </c>
      <c r="B3019" s="40"/>
      <c r="C3019" s="40"/>
      <c r="D3019" s="41"/>
      <c r="E3019" s="43">
        <f>C3019</f>
        <v>0</v>
      </c>
      <c r="F3019" s="42"/>
    </row>
    <row r="3020" spans="1:6">
      <c r="A3020" s="39">
        <f>A3019</f>
        <v>46048</v>
      </c>
      <c r="B3020" s="40"/>
      <c r="C3020" s="40"/>
      <c r="D3020" s="41"/>
      <c r="E3020" s="43">
        <f>C3020</f>
        <v>0</v>
      </c>
      <c r="F3020" s="42"/>
    </row>
    <row r="3021" spans="1:6">
      <c r="A3021" s="39">
        <f>A3020</f>
        <v>46048</v>
      </c>
      <c r="B3021" s="40"/>
      <c r="C3021" s="40"/>
      <c r="D3021" s="41"/>
      <c r="E3021" s="43">
        <f>C3021</f>
        <v>0</v>
      </c>
      <c r="F3021" s="42"/>
    </row>
    <row r="3022" spans="1:6">
      <c r="A3022" s="39">
        <f>A3021</f>
        <v>46048</v>
      </c>
      <c r="B3022" s="40"/>
      <c r="C3022" s="40"/>
      <c r="D3022" s="41"/>
      <c r="E3022" s="43">
        <f>C3022</f>
        <v>0</v>
      </c>
      <c r="F3022" s="42"/>
    </row>
    <row r="3023" spans="1:6">
      <c r="A3023" s="39">
        <f>A3022</f>
        <v>46048</v>
      </c>
      <c r="B3023" s="40"/>
      <c r="C3023" s="40"/>
      <c r="D3023" s="41"/>
      <c r="E3023" s="43">
        <f>C3023</f>
        <v>0</v>
      </c>
      <c r="F3023" s="42"/>
    </row>
    <row r="3024" spans="1:6">
      <c r="A3024" s="39">
        <f>A3023</f>
        <v>46048</v>
      </c>
      <c r="B3024" s="40"/>
      <c r="C3024" s="40"/>
      <c r="D3024" s="41"/>
      <c r="E3024" s="43">
        <f>C3024</f>
        <v>0</v>
      </c>
      <c r="F3024" s="42"/>
    </row>
    <row r="3025" spans="1:6">
      <c r="A3025" s="39">
        <f>A3024</f>
        <v>46048</v>
      </c>
      <c r="B3025" s="40"/>
      <c r="C3025" s="40"/>
      <c r="D3025" s="41"/>
      <c r="E3025" s="43">
        <f>C3025</f>
        <v>0</v>
      </c>
      <c r="F3025" s="42"/>
    </row>
    <row r="3026" spans="1:6">
      <c r="A3026" s="39">
        <f>A3025</f>
        <v>46048</v>
      </c>
      <c r="B3026" s="40"/>
      <c r="C3026" s="40"/>
      <c r="D3026" s="41"/>
      <c r="E3026" s="43">
        <f>C3026</f>
        <v>0</v>
      </c>
      <c r="F3026" s="42"/>
    </row>
    <row r="3027" spans="1:6">
      <c r="A3027" s="39">
        <f>A3026</f>
        <v>46048</v>
      </c>
      <c r="B3027" s="40"/>
      <c r="C3027" s="40"/>
      <c r="D3027" s="41"/>
      <c r="E3027" s="43">
        <f>C3027</f>
        <v>0</v>
      </c>
      <c r="F3027" s="42"/>
    </row>
    <row r="3028" spans="1:6">
      <c r="A3028" s="39">
        <f>A3027</f>
        <v>46048</v>
      </c>
      <c r="B3028" s="40"/>
      <c r="C3028" s="40"/>
      <c r="D3028" s="41"/>
      <c r="E3028" s="43">
        <f>C3028</f>
        <v>0</v>
      </c>
      <c r="F3028" s="42"/>
    </row>
    <row r="3029" spans="1:6">
      <c r="A3029" s="39">
        <f>A3028</f>
        <v>46048</v>
      </c>
      <c r="B3029" s="40"/>
      <c r="C3029" s="40"/>
      <c r="D3029" s="41"/>
      <c r="E3029" s="43">
        <f>C3029</f>
        <v>0</v>
      </c>
      <c r="F3029" s="42"/>
    </row>
    <row r="3030" spans="1:6">
      <c r="A3030" s="39">
        <f>A3029</f>
        <v>46048</v>
      </c>
      <c r="B3030" s="40"/>
      <c r="C3030" s="40"/>
      <c r="D3030" s="41"/>
      <c r="E3030" s="43">
        <f>C3030</f>
        <v>0</v>
      </c>
      <c r="F3030" s="42"/>
    </row>
    <row r="3031" spans="1:6">
      <c r="A3031" s="39">
        <f>A3030</f>
        <v>46048</v>
      </c>
      <c r="B3031" s="40"/>
      <c r="C3031" s="40"/>
      <c r="D3031" s="41"/>
      <c r="E3031" s="43">
        <f>C3031</f>
        <v>0</v>
      </c>
      <c r="F3031" s="42"/>
    </row>
    <row r="3032" spans="1:6">
      <c r="A3032" s="39">
        <f>A3031</f>
        <v>46048</v>
      </c>
      <c r="B3032" s="40"/>
      <c r="C3032" s="40"/>
      <c r="D3032" s="41"/>
      <c r="E3032" s="43">
        <f>C3032</f>
        <v>0</v>
      </c>
      <c r="F3032" s="42"/>
    </row>
    <row r="3033" spans="1:6">
      <c r="A3033" s="39">
        <f>A3032</f>
        <v>46048</v>
      </c>
      <c r="B3033" s="40"/>
      <c r="C3033" s="40"/>
      <c r="D3033" s="41"/>
      <c r="E3033" s="43">
        <f>C3033</f>
        <v>0</v>
      </c>
      <c r="F3033" s="42"/>
    </row>
    <row r="3034" spans="1:6">
      <c r="A3034" s="39">
        <f>A3033</f>
        <v>46048</v>
      </c>
      <c r="B3034" s="40"/>
      <c r="C3034" s="40"/>
      <c r="D3034" s="41"/>
      <c r="E3034" s="43">
        <f>C3034</f>
        <v>0</v>
      </c>
      <c r="F3034" s="42"/>
    </row>
    <row r="3035" spans="1:6">
      <c r="A3035" s="39">
        <f>A3034</f>
        <v>46048</v>
      </c>
      <c r="B3035" s="40"/>
      <c r="C3035" s="40"/>
      <c r="D3035" s="41"/>
      <c r="E3035" s="43">
        <f>C3035</f>
        <v>0</v>
      </c>
      <c r="F3035" s="42"/>
    </row>
    <row r="3036" spans="1:6">
      <c r="A3036" s="39">
        <f>A3035</f>
        <v>46048</v>
      </c>
      <c r="B3036" s="40"/>
      <c r="C3036" s="40"/>
      <c r="D3036" s="41"/>
      <c r="E3036" s="43">
        <f>C3036</f>
        <v>0</v>
      </c>
      <c r="F3036" s="42"/>
    </row>
    <row r="3037" spans="1:6">
      <c r="A3037" s="39">
        <f>A3036</f>
        <v>46048</v>
      </c>
      <c r="B3037" s="40"/>
      <c r="C3037" s="40"/>
      <c r="D3037" s="41"/>
      <c r="E3037" s="43">
        <f>C3037</f>
        <v>0</v>
      </c>
      <c r="F3037" s="42"/>
    </row>
    <row r="3038" spans="1:6">
      <c r="A3038" s="39">
        <f>A3037</f>
        <v>46048</v>
      </c>
      <c r="B3038" s="40"/>
      <c r="C3038" s="40"/>
      <c r="D3038" s="41"/>
      <c r="E3038" s="43">
        <f>C3038</f>
        <v>0</v>
      </c>
      <c r="F3038" s="42"/>
    </row>
    <row r="3039" spans="1:6">
      <c r="A3039" s="39">
        <f>A3038</f>
        <v>46048</v>
      </c>
      <c r="B3039" s="40"/>
      <c r="C3039" s="40"/>
      <c r="D3039" s="41"/>
      <c r="E3039" s="43">
        <f>C3039</f>
        <v>0</v>
      </c>
      <c r="F3039" s="42"/>
    </row>
    <row r="3040" spans="1:6">
      <c r="A3040" s="39">
        <f>A3039</f>
        <v>46048</v>
      </c>
      <c r="B3040" s="40"/>
      <c r="C3040" s="40"/>
      <c r="D3040" s="41"/>
      <c r="E3040" s="43">
        <f>C3040</f>
        <v>0</v>
      </c>
      <c r="F3040" s="42"/>
    </row>
    <row r="3041" spans="1:6">
      <c r="A3041" s="39">
        <f>A3040</f>
        <v>46048</v>
      </c>
      <c r="B3041" s="40"/>
      <c r="C3041" s="40"/>
      <c r="D3041" s="41"/>
      <c r="E3041" s="43">
        <f>C3041</f>
        <v>0</v>
      </c>
      <c r="F3041" s="42"/>
    </row>
    <row r="3042" spans="1:6">
      <c r="A3042" s="39">
        <f>A3041</f>
        <v>46048</v>
      </c>
      <c r="B3042" s="40"/>
      <c r="C3042" s="40"/>
      <c r="D3042" s="41"/>
      <c r="E3042" s="43">
        <f>C3042</f>
        <v>0</v>
      </c>
      <c r="F3042" s="42"/>
    </row>
    <row r="3043" spans="1:6">
      <c r="A3043" s="39">
        <f>A3042</f>
        <v>46048</v>
      </c>
      <c r="B3043" s="40"/>
      <c r="C3043" s="40"/>
      <c r="D3043" s="41"/>
      <c r="E3043" s="43">
        <f>C3043</f>
        <v>0</v>
      </c>
      <c r="F3043" s="42"/>
    </row>
    <row r="3044" spans="1:6">
      <c r="A3044" s="39">
        <f>A3043</f>
        <v>46048</v>
      </c>
      <c r="B3044" s="40"/>
      <c r="C3044" s="40"/>
      <c r="D3044" s="41"/>
      <c r="E3044" s="43">
        <f>C3044</f>
        <v>0</v>
      </c>
      <c r="F3044" s="42"/>
    </row>
    <row r="3045" spans="1:6">
      <c r="A3045" s="39">
        <f>A3044</f>
        <v>46048</v>
      </c>
      <c r="B3045" s="40"/>
      <c r="C3045" s="40"/>
      <c r="D3045" s="41"/>
      <c r="E3045" s="43">
        <f>C3045</f>
        <v>0</v>
      </c>
      <c r="F3045" s="42"/>
    </row>
    <row r="3046" spans="1:6">
      <c r="A3046" s="39">
        <f>A3045</f>
        <v>46048</v>
      </c>
      <c r="B3046" s="40"/>
      <c r="C3046" s="40"/>
      <c r="D3046" s="41"/>
      <c r="E3046" s="43">
        <f>C3046</f>
        <v>0</v>
      </c>
      <c r="F3046" s="42"/>
    </row>
    <row r="3047" spans="1:6">
      <c r="A3047" s="39">
        <f>A3046</f>
        <v>46048</v>
      </c>
      <c r="B3047" s="40"/>
      <c r="C3047" s="40"/>
      <c r="D3047" s="41"/>
      <c r="E3047" s="43">
        <f>C3047</f>
        <v>0</v>
      </c>
      <c r="F3047" s="42"/>
    </row>
    <row r="3048" spans="1:6">
      <c r="A3048" s="39">
        <f>A3047</f>
        <v>46048</v>
      </c>
      <c r="B3048" s="40"/>
      <c r="C3048" s="40"/>
      <c r="D3048" s="41"/>
      <c r="E3048" s="43">
        <f>C3048</f>
        <v>0</v>
      </c>
      <c r="F3048" s="42"/>
    </row>
    <row r="3049" spans="1:6">
      <c r="A3049" s="39">
        <f>A3048</f>
        <v>46048</v>
      </c>
      <c r="B3049" s="40"/>
      <c r="C3049" s="40"/>
      <c r="D3049" s="41"/>
      <c r="E3049" s="43">
        <f>C3049</f>
        <v>0</v>
      </c>
      <c r="F3049" s="42"/>
    </row>
    <row r="3050" spans="1:6">
      <c r="A3050" s="39">
        <f>A3049</f>
        <v>46048</v>
      </c>
      <c r="B3050" s="40"/>
      <c r="C3050" s="40"/>
      <c r="D3050" s="41"/>
      <c r="E3050" s="43">
        <f>C3050</f>
        <v>0</v>
      </c>
      <c r="F3050" s="42"/>
    </row>
    <row r="3051" spans="1:6">
      <c r="A3051" s="39">
        <f>A3050</f>
        <v>46048</v>
      </c>
      <c r="B3051" s="40"/>
      <c r="C3051" s="40"/>
      <c r="D3051" s="41"/>
      <c r="E3051" s="43">
        <f>C3051</f>
        <v>0</v>
      </c>
      <c r="F3051" s="42"/>
    </row>
    <row r="3052" spans="1:6">
      <c r="A3052" s="39">
        <f>A3051</f>
        <v>46048</v>
      </c>
      <c r="B3052" s="40"/>
      <c r="C3052" s="40"/>
      <c r="D3052" s="41"/>
      <c r="E3052" s="43">
        <f>C3052</f>
        <v>0</v>
      </c>
      <c r="F3052" s="42"/>
    </row>
    <row r="3053" spans="1:6">
      <c r="A3053" s="39">
        <f>A3052</f>
        <v>46048</v>
      </c>
      <c r="B3053" s="40"/>
      <c r="C3053" s="40"/>
      <c r="D3053" s="41"/>
      <c r="E3053" s="43">
        <f>C3053</f>
        <v>0</v>
      </c>
      <c r="F3053" s="42"/>
    </row>
    <row r="3054" spans="1:6">
      <c r="A3054" s="39">
        <f>A3053</f>
        <v>46048</v>
      </c>
      <c r="B3054" s="40"/>
      <c r="C3054" s="40"/>
      <c r="D3054" s="41"/>
      <c r="E3054" s="43">
        <f>C3054</f>
        <v>0</v>
      </c>
      <c r="F3054" s="42"/>
    </row>
    <row r="3055" spans="1:6">
      <c r="A3055" s="39">
        <f>A3054</f>
        <v>46048</v>
      </c>
      <c r="B3055" s="40"/>
      <c r="C3055" s="40"/>
      <c r="D3055" s="41"/>
      <c r="E3055" s="43">
        <f>C3055</f>
        <v>0</v>
      </c>
      <c r="F3055" s="42"/>
    </row>
    <row r="3056" spans="1:6">
      <c r="A3056" s="39">
        <f>A3055</f>
        <v>46048</v>
      </c>
      <c r="B3056" s="40"/>
      <c r="C3056" s="40"/>
      <c r="D3056" s="41"/>
      <c r="E3056" s="43">
        <f>C3056</f>
        <v>0</v>
      </c>
      <c r="F3056" s="42"/>
    </row>
    <row r="3057" spans="1:6">
      <c r="A3057" s="39">
        <f>A3056</f>
        <v>46048</v>
      </c>
      <c r="B3057" s="40"/>
      <c r="C3057" s="40"/>
      <c r="D3057" s="41"/>
      <c r="E3057" s="43">
        <f>C3057</f>
        <v>0</v>
      </c>
      <c r="F3057" s="42"/>
    </row>
    <row r="3058" spans="1:6">
      <c r="A3058" s="39">
        <f>A3057</f>
        <v>46048</v>
      </c>
      <c r="B3058" s="40"/>
      <c r="C3058" s="40"/>
      <c r="D3058" s="41"/>
      <c r="E3058" s="43">
        <f>C3058</f>
        <v>0</v>
      </c>
      <c r="F3058" s="42"/>
    </row>
    <row r="3059" spans="1:6">
      <c r="A3059" s="39">
        <f>A3058</f>
        <v>46048</v>
      </c>
      <c r="B3059" s="40"/>
      <c r="C3059" s="40"/>
      <c r="D3059" s="41"/>
      <c r="E3059" s="43">
        <f>C3059</f>
        <v>0</v>
      </c>
      <c r="F3059" s="42"/>
    </row>
    <row r="3060" spans="1:6">
      <c r="A3060" s="39">
        <f>A3059</f>
        <v>46048</v>
      </c>
      <c r="B3060" s="40"/>
      <c r="C3060" s="40"/>
      <c r="D3060" s="41"/>
      <c r="E3060" s="43">
        <f>C3060</f>
        <v>0</v>
      </c>
      <c r="F3060" s="42"/>
    </row>
    <row r="3061" spans="1:6">
      <c r="A3061" s="39">
        <f>A3060</f>
        <v>46048</v>
      </c>
      <c r="B3061" s="40"/>
      <c r="C3061" s="40"/>
      <c r="D3061" s="41"/>
      <c r="E3061" s="43">
        <f>C3061</f>
        <v>0</v>
      </c>
      <c r="F3061" s="42"/>
    </row>
    <row r="3062" spans="1:6">
      <c r="A3062" s="39">
        <f>A3061</f>
        <v>46048</v>
      </c>
      <c r="B3062" s="40"/>
      <c r="C3062" s="40"/>
      <c r="D3062" s="41"/>
      <c r="E3062" s="43">
        <f>C3062</f>
        <v>0</v>
      </c>
      <c r="F3062" s="42"/>
    </row>
    <row r="3063" spans="1:6">
      <c r="A3063" s="39">
        <f>A3062</f>
        <v>46048</v>
      </c>
      <c r="B3063" s="40"/>
      <c r="C3063" s="40"/>
      <c r="D3063" s="41"/>
      <c r="E3063" s="43">
        <f>C3063</f>
        <v>0</v>
      </c>
      <c r="F3063" s="42"/>
    </row>
    <row r="3064" spans="1:6">
      <c r="A3064" s="39">
        <f>A3063</f>
        <v>46048</v>
      </c>
      <c r="B3064" s="40"/>
      <c r="C3064" s="40"/>
      <c r="D3064" s="41"/>
      <c r="E3064" s="43">
        <f>C3064</f>
        <v>0</v>
      </c>
      <c r="F3064" s="42"/>
    </row>
    <row r="3065" spans="1:6">
      <c r="A3065" s="39">
        <f>A3064</f>
        <v>46048</v>
      </c>
      <c r="B3065" s="40"/>
      <c r="C3065" s="40"/>
      <c r="D3065" s="41"/>
      <c r="E3065" s="43">
        <f>C3065</f>
        <v>0</v>
      </c>
      <c r="F3065" s="42"/>
    </row>
    <row r="3066" spans="1:6">
      <c r="A3066" s="39">
        <f>A3065</f>
        <v>46048</v>
      </c>
      <c r="B3066" s="40"/>
      <c r="C3066" s="40"/>
      <c r="D3066" s="41"/>
      <c r="E3066" s="43">
        <f>C3066</f>
        <v>0</v>
      </c>
      <c r="F3066" s="42"/>
    </row>
    <row r="3067" spans="1:6">
      <c r="A3067" s="39">
        <f>A3066</f>
        <v>46048</v>
      </c>
      <c r="B3067" s="40"/>
      <c r="C3067" s="40"/>
      <c r="D3067" s="41"/>
      <c r="E3067" s="43">
        <f>C3067</f>
        <v>0</v>
      </c>
      <c r="F3067" s="42"/>
    </row>
    <row r="3068" spans="1:6">
      <c r="A3068" s="39">
        <f>A3067</f>
        <v>46048</v>
      </c>
      <c r="B3068" s="40"/>
      <c r="C3068" s="40"/>
      <c r="D3068" s="41"/>
      <c r="E3068" s="43">
        <f>C3068</f>
        <v>0</v>
      </c>
      <c r="F3068" s="42"/>
    </row>
    <row r="3069" spans="1:6">
      <c r="A3069" s="39">
        <f>A3068</f>
        <v>46048</v>
      </c>
      <c r="B3069" s="40"/>
      <c r="C3069" s="40"/>
      <c r="D3069" s="41"/>
      <c r="E3069" s="43">
        <f>C3069</f>
        <v>0</v>
      </c>
      <c r="F3069" s="42"/>
    </row>
    <row r="3070" spans="1:6">
      <c r="A3070" s="39">
        <f>A3069</f>
        <v>46048</v>
      </c>
      <c r="B3070" s="40"/>
      <c r="C3070" s="40"/>
      <c r="D3070" s="41"/>
      <c r="E3070" s="43">
        <f>C3070</f>
        <v>0</v>
      </c>
      <c r="F3070" s="42"/>
    </row>
    <row r="3071" spans="1:6">
      <c r="A3071" s="39">
        <f>A3070</f>
        <v>46048</v>
      </c>
      <c r="B3071" s="40"/>
      <c r="C3071" s="40"/>
      <c r="D3071" s="41"/>
      <c r="E3071" s="43">
        <f>C3071</f>
        <v>0</v>
      </c>
      <c r="F3071" s="42"/>
    </row>
    <row r="3072" spans="1:6">
      <c r="A3072" s="39">
        <f>A3071</f>
        <v>46048</v>
      </c>
      <c r="B3072" s="40"/>
      <c r="C3072" s="40"/>
      <c r="D3072" s="41"/>
      <c r="E3072" s="43">
        <f>C3072</f>
        <v>0</v>
      </c>
      <c r="F3072" s="42"/>
    </row>
    <row r="3073" spans="1:6">
      <c r="A3073" s="39">
        <f>A3072</f>
        <v>46048</v>
      </c>
      <c r="B3073" s="40"/>
      <c r="C3073" s="40"/>
      <c r="D3073" s="41"/>
      <c r="E3073" s="43">
        <f>C3073</f>
        <v>0</v>
      </c>
      <c r="F3073" s="42"/>
    </row>
    <row r="3074" spans="1:6">
      <c r="A3074" s="39">
        <f>A3073</f>
        <v>46048</v>
      </c>
      <c r="B3074" s="40"/>
      <c r="C3074" s="40"/>
      <c r="D3074" s="41"/>
      <c r="E3074" s="43">
        <f>C3074</f>
        <v>0</v>
      </c>
      <c r="F3074" s="42"/>
    </row>
    <row r="3075" spans="1:6">
      <c r="A3075" s="39">
        <f>A3074</f>
        <v>46048</v>
      </c>
      <c r="B3075" s="40"/>
      <c r="C3075" s="40"/>
      <c r="D3075" s="41"/>
      <c r="E3075" s="43">
        <f>C3075</f>
        <v>0</v>
      </c>
      <c r="F3075" s="42"/>
    </row>
    <row r="3076" spans="1:6">
      <c r="A3076" s="39">
        <f>A3075</f>
        <v>46048</v>
      </c>
      <c r="B3076" s="40"/>
      <c r="C3076" s="40"/>
      <c r="D3076" s="41"/>
      <c r="E3076" s="43">
        <f>C3076</f>
        <v>0</v>
      </c>
      <c r="F3076" s="42"/>
    </row>
    <row r="3077" spans="1:6">
      <c r="A3077" s="39">
        <f>A3076</f>
        <v>46048</v>
      </c>
      <c r="B3077" s="40"/>
      <c r="C3077" s="40"/>
      <c r="D3077" s="41"/>
      <c r="E3077" s="43">
        <f>C3077</f>
        <v>0</v>
      </c>
      <c r="F3077" s="42"/>
    </row>
    <row r="3078" spans="1:6">
      <c r="A3078" s="39">
        <f>A3077</f>
        <v>46048</v>
      </c>
      <c r="B3078" s="40"/>
      <c r="C3078" s="40"/>
      <c r="D3078" s="41"/>
      <c r="E3078" s="43">
        <f>C3078</f>
        <v>0</v>
      </c>
      <c r="F3078" s="42"/>
    </row>
    <row r="3079" spans="1:6">
      <c r="A3079" s="39">
        <f>A3078</f>
        <v>46048</v>
      </c>
      <c r="B3079" s="40"/>
      <c r="C3079" s="40"/>
      <c r="D3079" s="41"/>
      <c r="E3079" s="43">
        <f>C3079</f>
        <v>0</v>
      </c>
      <c r="F3079" s="42"/>
    </row>
    <row r="3080" spans="1:6">
      <c r="A3080" s="39">
        <f>A3079</f>
        <v>46048</v>
      </c>
      <c r="B3080" s="40"/>
      <c r="C3080" s="40"/>
      <c r="D3080" s="41"/>
      <c r="E3080" s="43">
        <f>C3080</f>
        <v>0</v>
      </c>
      <c r="F3080" s="42"/>
    </row>
    <row r="3081" spans="1:6">
      <c r="A3081" s="39">
        <f>A3080</f>
        <v>46048</v>
      </c>
      <c r="B3081" s="40"/>
      <c r="C3081" s="40"/>
      <c r="D3081" s="41"/>
      <c r="E3081" s="43">
        <f>C3081</f>
        <v>0</v>
      </c>
      <c r="F3081" s="42"/>
    </row>
    <row r="3082" spans="1:6">
      <c r="A3082" s="39">
        <f>A3081</f>
        <v>46048</v>
      </c>
      <c r="B3082" s="40"/>
      <c r="C3082" s="40"/>
      <c r="D3082" s="41"/>
      <c r="E3082" s="43">
        <f>C3082</f>
        <v>0</v>
      </c>
      <c r="F3082" s="42"/>
    </row>
    <row r="3083" spans="1:6">
      <c r="A3083" s="39">
        <f>A3082</f>
        <v>46048</v>
      </c>
      <c r="B3083" s="40"/>
      <c r="C3083" s="40"/>
      <c r="D3083" s="41"/>
      <c r="E3083" s="43">
        <f>C3083</f>
        <v>0</v>
      </c>
      <c r="F3083" s="42"/>
    </row>
    <row r="3084" spans="1:6">
      <c r="A3084" s="39">
        <f>A3083</f>
        <v>46048</v>
      </c>
      <c r="B3084" s="40"/>
      <c r="C3084" s="40"/>
      <c r="D3084" s="41"/>
      <c r="E3084" s="43">
        <f>C3084</f>
        <v>0</v>
      </c>
      <c r="F3084" s="42"/>
    </row>
    <row r="3085" spans="1:6">
      <c r="A3085" s="39">
        <f>A3084</f>
        <v>46048</v>
      </c>
      <c r="B3085" s="40"/>
      <c r="C3085" s="40"/>
      <c r="D3085" s="41"/>
      <c r="E3085" s="43">
        <f>C3085</f>
        <v>0</v>
      </c>
      <c r="F3085" s="42"/>
    </row>
    <row r="3086" spans="1:6">
      <c r="A3086" s="39">
        <f>A3085</f>
        <v>46048</v>
      </c>
      <c r="B3086" s="40"/>
      <c r="C3086" s="40"/>
      <c r="D3086" s="41"/>
      <c r="E3086" s="43">
        <f>C3086</f>
        <v>0</v>
      </c>
      <c r="F3086" s="42"/>
    </row>
    <row r="3087" spans="1:6">
      <c r="A3087" s="39">
        <f>A3086</f>
        <v>46048</v>
      </c>
      <c r="B3087" s="40"/>
      <c r="C3087" s="40"/>
      <c r="D3087" s="41"/>
      <c r="E3087" s="43">
        <f>C3087</f>
        <v>0</v>
      </c>
      <c r="F3087" s="42"/>
    </row>
    <row r="3088" spans="1:6">
      <c r="A3088" s="39">
        <f>A3087</f>
        <v>46048</v>
      </c>
      <c r="B3088" s="40"/>
      <c r="C3088" s="40"/>
      <c r="D3088" s="41"/>
      <c r="E3088" s="43">
        <f>C3088</f>
        <v>0</v>
      </c>
      <c r="F3088" s="42"/>
    </row>
    <row r="3089" spans="1:6">
      <c r="A3089" s="39">
        <f>A3088</f>
        <v>46048</v>
      </c>
      <c r="B3089" s="40"/>
      <c r="C3089" s="40"/>
      <c r="D3089" s="41"/>
      <c r="E3089" s="43">
        <f>C3089</f>
        <v>0</v>
      </c>
      <c r="F3089" s="42"/>
    </row>
    <row r="3090" spans="1:6">
      <c r="A3090" s="39">
        <f>A3089</f>
        <v>46048</v>
      </c>
      <c r="B3090" s="40"/>
      <c r="C3090" s="40"/>
      <c r="D3090" s="41"/>
      <c r="E3090" s="43">
        <f>C3090</f>
        <v>0</v>
      </c>
      <c r="F3090" s="42"/>
    </row>
    <row r="3091" spans="1:6">
      <c r="A3091" s="39">
        <f>A3090</f>
        <v>46048</v>
      </c>
      <c r="B3091" s="40"/>
      <c r="C3091" s="40"/>
      <c r="D3091" s="41"/>
      <c r="E3091" s="43">
        <f>C3091</f>
        <v>0</v>
      </c>
      <c r="F3091" s="42"/>
    </row>
    <row r="3092" spans="1:6">
      <c r="A3092" s="39">
        <f>A3091</f>
        <v>46048</v>
      </c>
      <c r="B3092" s="40"/>
      <c r="C3092" s="40"/>
      <c r="D3092" s="41"/>
      <c r="E3092" s="43">
        <f>C3092</f>
        <v>0</v>
      </c>
      <c r="F3092" s="42"/>
    </row>
    <row r="3093" spans="1:6">
      <c r="A3093" s="39">
        <f>A3092</f>
        <v>46048</v>
      </c>
      <c r="B3093" s="40"/>
      <c r="C3093" s="40"/>
      <c r="D3093" s="41"/>
      <c r="E3093" s="43">
        <f>C3093</f>
        <v>0</v>
      </c>
      <c r="F3093" s="42"/>
    </row>
    <row r="3094" spans="1:6">
      <c r="A3094" s="39">
        <f>A3093</f>
        <v>46048</v>
      </c>
      <c r="B3094" s="40"/>
      <c r="C3094" s="40"/>
      <c r="D3094" s="41"/>
      <c r="E3094" s="43">
        <f>C3094</f>
        <v>0</v>
      </c>
      <c r="F3094" s="42"/>
    </row>
    <row r="3095" spans="1:6">
      <c r="A3095" s="39">
        <f>A3094</f>
        <v>46048</v>
      </c>
      <c r="B3095" s="40"/>
      <c r="C3095" s="40"/>
      <c r="D3095" s="41"/>
      <c r="E3095" s="43">
        <f>C3095</f>
        <v>0</v>
      </c>
      <c r="F3095" s="42"/>
    </row>
    <row r="3096" spans="1:6">
      <c r="A3096" s="39">
        <f>A3095</f>
        <v>46048</v>
      </c>
      <c r="B3096" s="40"/>
      <c r="C3096" s="40"/>
      <c r="D3096" s="41"/>
      <c r="E3096" s="43">
        <f>C3096</f>
        <v>0</v>
      </c>
      <c r="F3096" s="42"/>
    </row>
    <row r="3097" spans="1:6">
      <c r="A3097" s="39">
        <f>A3096</f>
        <v>46048</v>
      </c>
      <c r="B3097" s="40"/>
      <c r="C3097" s="40"/>
      <c r="D3097" s="41"/>
      <c r="E3097" s="43">
        <f>C3097</f>
        <v>0</v>
      </c>
      <c r="F3097" s="42"/>
    </row>
    <row r="3098" spans="1:6">
      <c r="A3098" s="39">
        <f>A3097</f>
        <v>46048</v>
      </c>
      <c r="B3098" s="40"/>
      <c r="C3098" s="40"/>
      <c r="D3098" s="41"/>
      <c r="E3098" s="43">
        <f>C3098</f>
        <v>0</v>
      </c>
      <c r="F3098" s="42"/>
    </row>
    <row r="3099" spans="1:6">
      <c r="A3099" s="39">
        <f>A3098</f>
        <v>46048</v>
      </c>
      <c r="B3099" s="40"/>
      <c r="C3099" s="40"/>
      <c r="D3099" s="41"/>
      <c r="E3099" s="43">
        <f>C3099</f>
        <v>0</v>
      </c>
      <c r="F3099" s="42"/>
    </row>
    <row r="3100" spans="1:6">
      <c r="A3100" s="39">
        <f>A3099</f>
        <v>46048</v>
      </c>
      <c r="B3100" s="40"/>
      <c r="C3100" s="40"/>
      <c r="D3100" s="41"/>
      <c r="E3100" s="43">
        <f>C3100</f>
        <v>0</v>
      </c>
      <c r="F3100" s="42"/>
    </row>
    <row r="3101" spans="1:6">
      <c r="A3101" s="39">
        <f>A3100</f>
        <v>46048</v>
      </c>
      <c r="B3101" s="40"/>
      <c r="C3101" s="40"/>
      <c r="D3101" s="41"/>
      <c r="E3101" s="43">
        <f>C3101</f>
        <v>0</v>
      </c>
      <c r="F3101" s="42"/>
    </row>
    <row r="3102" spans="1:6">
      <c r="A3102" s="39">
        <f>A3101</f>
        <v>46048</v>
      </c>
      <c r="B3102" s="40"/>
      <c r="C3102" s="40"/>
      <c r="D3102" s="41"/>
      <c r="E3102" s="43">
        <f>C3102</f>
        <v>0</v>
      </c>
      <c r="F3102" s="42"/>
    </row>
    <row r="3103" spans="1:6">
      <c r="A3103" s="39">
        <f>A3102</f>
        <v>46048</v>
      </c>
      <c r="B3103" s="40"/>
      <c r="C3103" s="40"/>
      <c r="D3103" s="41"/>
      <c r="E3103" s="43">
        <f>C3103</f>
        <v>0</v>
      </c>
      <c r="F3103" s="42"/>
    </row>
    <row r="3104" spans="1:6">
      <c r="A3104" s="39">
        <f>A3103</f>
        <v>46048</v>
      </c>
      <c r="B3104" s="40"/>
      <c r="C3104" s="40"/>
      <c r="D3104" s="41"/>
      <c r="E3104" s="43">
        <f>C3104</f>
        <v>0</v>
      </c>
      <c r="F3104" s="42"/>
    </row>
    <row r="3105" spans="1:6">
      <c r="A3105" s="39">
        <f>A3104</f>
        <v>46048</v>
      </c>
      <c r="B3105" s="40"/>
      <c r="C3105" s="40"/>
      <c r="D3105" s="41"/>
      <c r="E3105" s="43">
        <f>C3105</f>
        <v>0</v>
      </c>
      <c r="F3105" s="42"/>
    </row>
    <row r="3106" spans="1:6">
      <c r="A3106" s="39">
        <f>A3105</f>
        <v>46048</v>
      </c>
      <c r="B3106" s="40"/>
      <c r="C3106" s="40"/>
      <c r="D3106" s="41"/>
      <c r="E3106" s="43">
        <f>C3106</f>
        <v>0</v>
      </c>
      <c r="F3106" s="42"/>
    </row>
    <row r="3107" spans="1:6">
      <c r="A3107" s="39">
        <f>A3106</f>
        <v>46048</v>
      </c>
      <c r="B3107" s="40"/>
      <c r="C3107" s="40"/>
      <c r="D3107" s="41"/>
      <c r="E3107" s="43">
        <f>C3107</f>
        <v>0</v>
      </c>
      <c r="F3107" s="42"/>
    </row>
    <row r="3108" spans="1:6">
      <c r="A3108" s="39">
        <f>A3107</f>
        <v>46048</v>
      </c>
      <c r="B3108" s="40"/>
      <c r="C3108" s="40"/>
      <c r="D3108" s="41"/>
      <c r="E3108" s="43">
        <f>C3108</f>
        <v>0</v>
      </c>
      <c r="F3108" s="42"/>
    </row>
    <row r="3109" spans="1:6">
      <c r="A3109" s="39">
        <f>A3108</f>
        <v>46048</v>
      </c>
      <c r="B3109" s="40"/>
      <c r="C3109" s="40"/>
      <c r="D3109" s="41"/>
      <c r="E3109" s="43">
        <f>C3109</f>
        <v>0</v>
      </c>
      <c r="F3109" s="42"/>
    </row>
    <row r="3110" spans="1:6">
      <c r="A3110" s="39">
        <f>A3109</f>
        <v>46048</v>
      </c>
      <c r="B3110" s="40"/>
      <c r="C3110" s="40"/>
      <c r="D3110" s="41"/>
      <c r="E3110" s="43">
        <f>C3110</f>
        <v>0</v>
      </c>
      <c r="F3110" s="42"/>
    </row>
    <row r="3111" spans="1:6">
      <c r="A3111" s="39">
        <f>A3110</f>
        <v>46048</v>
      </c>
      <c r="B3111" s="40"/>
      <c r="C3111" s="40"/>
      <c r="D3111" s="41"/>
      <c r="E3111" s="43">
        <f>C3111</f>
        <v>0</v>
      </c>
      <c r="F3111" s="42"/>
    </row>
    <row r="3112" spans="1:6">
      <c r="A3112" s="39">
        <f>A3111</f>
        <v>46048</v>
      </c>
      <c r="B3112" s="40"/>
      <c r="C3112" s="40"/>
      <c r="D3112" s="41"/>
      <c r="E3112" s="43">
        <f>C3112</f>
        <v>0</v>
      </c>
      <c r="F3112" s="42"/>
    </row>
    <row r="3113" spans="1:6">
      <c r="A3113" s="39">
        <f>A3112</f>
        <v>46048</v>
      </c>
      <c r="B3113" s="40"/>
      <c r="C3113" s="40"/>
      <c r="D3113" s="41"/>
      <c r="E3113" s="43">
        <f>C3113</f>
        <v>0</v>
      </c>
      <c r="F3113" s="42"/>
    </row>
    <row r="3114" spans="1:6">
      <c r="A3114" s="39">
        <f>A3113</f>
        <v>46048</v>
      </c>
      <c r="B3114" s="40"/>
      <c r="C3114" s="40"/>
      <c r="D3114" s="41"/>
      <c r="E3114" s="43">
        <f>C3114</f>
        <v>0</v>
      </c>
      <c r="F3114" s="42"/>
    </row>
    <row r="3115" spans="1:6">
      <c r="A3115" s="39">
        <f>A3114</f>
        <v>46048</v>
      </c>
      <c r="B3115" s="40"/>
      <c r="C3115" s="40"/>
      <c r="D3115" s="41"/>
      <c r="E3115" s="43">
        <f>C3115</f>
        <v>0</v>
      </c>
      <c r="F3115" s="42"/>
    </row>
    <row r="3116" spans="1:6">
      <c r="A3116" s="39">
        <f>A3115</f>
        <v>46048</v>
      </c>
      <c r="B3116" s="40"/>
      <c r="C3116" s="40"/>
      <c r="D3116" s="41"/>
      <c r="E3116" s="43">
        <f>C3116</f>
        <v>0</v>
      </c>
      <c r="F3116" s="42"/>
    </row>
    <row r="3117" spans="1:6">
      <c r="A3117" s="39">
        <f>A3116</f>
        <v>46048</v>
      </c>
      <c r="B3117" s="40"/>
      <c r="C3117" s="40"/>
      <c r="D3117" s="41"/>
      <c r="E3117" s="43">
        <f>C3117</f>
        <v>0</v>
      </c>
      <c r="F3117" s="42"/>
    </row>
    <row r="3118" spans="1:6">
      <c r="A3118" s="39">
        <f>A3117</f>
        <v>46048</v>
      </c>
      <c r="B3118" s="40"/>
      <c r="C3118" s="40"/>
      <c r="D3118" s="41"/>
      <c r="E3118" s="43">
        <f>C3118</f>
        <v>0</v>
      </c>
      <c r="F3118" s="42"/>
    </row>
    <row r="3119" spans="1:6">
      <c r="A3119" s="39">
        <f>A3118</f>
        <v>46048</v>
      </c>
      <c r="B3119" s="40"/>
      <c r="C3119" s="40"/>
      <c r="D3119" s="41"/>
      <c r="E3119" s="43">
        <f>C3119</f>
        <v>0</v>
      </c>
      <c r="F3119" s="42"/>
    </row>
    <row r="3120" spans="1:6">
      <c r="A3120" s="39">
        <f>A3119</f>
        <v>46048</v>
      </c>
      <c r="B3120" s="40"/>
      <c r="C3120" s="40"/>
      <c r="D3120" s="41"/>
      <c r="E3120" s="43">
        <f>C3120</f>
        <v>0</v>
      </c>
      <c r="F3120" s="42"/>
    </row>
    <row r="3121" spans="1:6">
      <c r="A3121" s="39">
        <f>A3120</f>
        <v>46048</v>
      </c>
      <c r="B3121" s="40"/>
      <c r="C3121" s="40"/>
      <c r="D3121" s="41"/>
      <c r="E3121" s="43">
        <f>C3121</f>
        <v>0</v>
      </c>
      <c r="F3121" s="42"/>
    </row>
    <row r="3122" spans="1:6">
      <c r="A3122" s="39">
        <f>A3121</f>
        <v>46048</v>
      </c>
      <c r="B3122" s="40"/>
      <c r="C3122" s="40"/>
      <c r="D3122" s="41"/>
      <c r="E3122" s="43">
        <f>C3122</f>
        <v>0</v>
      </c>
      <c r="F3122" s="42"/>
    </row>
    <row r="3123" spans="1:6">
      <c r="A3123" s="39">
        <f>A3122</f>
        <v>46048</v>
      </c>
      <c r="B3123" s="40"/>
      <c r="C3123" s="40"/>
      <c r="D3123" s="41"/>
      <c r="E3123" s="43">
        <f>C3123</f>
        <v>0</v>
      </c>
      <c r="F3123" s="42"/>
    </row>
    <row r="3124" spans="1:6">
      <c r="A3124" s="39">
        <f>A3123</f>
        <v>46048</v>
      </c>
      <c r="B3124" s="40"/>
      <c r="C3124" s="40"/>
      <c r="D3124" s="41"/>
      <c r="E3124" s="43">
        <f>C3124</f>
        <v>0</v>
      </c>
      <c r="F3124" s="42"/>
    </row>
    <row r="3125" spans="1:6">
      <c r="A3125" s="39">
        <f>A3124</f>
        <v>46048</v>
      </c>
      <c r="B3125" s="40"/>
      <c r="C3125" s="40"/>
      <c r="D3125" s="41"/>
      <c r="E3125" s="43">
        <f>C3125</f>
        <v>0</v>
      </c>
      <c r="F3125" s="42"/>
    </row>
    <row r="3126" spans="1:6">
      <c r="A3126" s="39">
        <f>A3125</f>
        <v>46048</v>
      </c>
      <c r="B3126" s="40"/>
      <c r="C3126" s="40"/>
      <c r="D3126" s="41"/>
      <c r="E3126" s="43">
        <f>C3126</f>
        <v>0</v>
      </c>
      <c r="F3126" s="42"/>
    </row>
    <row r="3127" spans="1:6">
      <c r="A3127" s="39">
        <f>A3126</f>
        <v>46048</v>
      </c>
      <c r="B3127" s="40"/>
      <c r="C3127" s="40"/>
      <c r="D3127" s="41"/>
      <c r="E3127" s="43">
        <f>C3127</f>
        <v>0</v>
      </c>
      <c r="F3127" s="42"/>
    </row>
    <row r="3128" spans="1:6">
      <c r="A3128" s="39">
        <f>A3127</f>
        <v>46048</v>
      </c>
      <c r="B3128" s="40"/>
      <c r="C3128" s="40"/>
      <c r="D3128" s="41"/>
      <c r="E3128" s="43">
        <f>C3128</f>
        <v>0</v>
      </c>
      <c r="F3128" s="42"/>
    </row>
    <row r="3129" spans="1:6">
      <c r="A3129" s="39">
        <f>A3128</f>
        <v>46048</v>
      </c>
      <c r="B3129" s="40"/>
      <c r="C3129" s="40"/>
      <c r="D3129" s="41"/>
      <c r="E3129" s="43">
        <f>C3129</f>
        <v>0</v>
      </c>
      <c r="F3129" s="42"/>
    </row>
    <row r="3130" spans="1:6">
      <c r="A3130" s="39">
        <f>A3129</f>
        <v>46048</v>
      </c>
      <c r="B3130" s="40"/>
      <c r="C3130" s="40"/>
      <c r="D3130" s="41"/>
      <c r="E3130" s="43">
        <f>C3130</f>
        <v>0</v>
      </c>
      <c r="F3130" s="42"/>
    </row>
    <row r="3131" spans="1:6">
      <c r="A3131" s="39">
        <f>A3130</f>
        <v>46048</v>
      </c>
      <c r="B3131" s="40"/>
      <c r="C3131" s="40"/>
      <c r="D3131" s="41"/>
      <c r="E3131" s="43">
        <f>C3131</f>
        <v>0</v>
      </c>
      <c r="F3131" s="42"/>
    </row>
    <row r="3132" spans="1:6">
      <c r="A3132" s="39">
        <f>A3131</f>
        <v>46048</v>
      </c>
      <c r="B3132" s="40"/>
      <c r="C3132" s="40"/>
      <c r="D3132" s="41"/>
      <c r="E3132" s="43">
        <f>C3132</f>
        <v>0</v>
      </c>
      <c r="F3132" s="42"/>
    </row>
    <row r="3133" spans="1:6">
      <c r="A3133" s="39">
        <f>A3132</f>
        <v>46048</v>
      </c>
      <c r="B3133" s="40"/>
      <c r="C3133" s="40"/>
      <c r="D3133" s="41"/>
      <c r="E3133" s="43">
        <f>C3133</f>
        <v>0</v>
      </c>
      <c r="F3133" s="42"/>
    </row>
    <row r="3134" spans="1:6">
      <c r="A3134" s="39">
        <f>A3133</f>
        <v>46048</v>
      </c>
      <c r="B3134" s="40"/>
      <c r="C3134" s="40"/>
      <c r="D3134" s="41"/>
      <c r="E3134" s="43">
        <f>C3134</f>
        <v>0</v>
      </c>
      <c r="F3134" s="42"/>
    </row>
    <row r="3135" spans="1:6">
      <c r="A3135" s="39">
        <f>A3134</f>
        <v>46048</v>
      </c>
      <c r="B3135" s="40"/>
      <c r="C3135" s="40"/>
      <c r="D3135" s="41"/>
      <c r="E3135" s="43">
        <f>C3135</f>
        <v>0</v>
      </c>
      <c r="F3135" s="42"/>
    </row>
    <row r="3136" spans="1:6">
      <c r="A3136" s="39">
        <f>A3135</f>
        <v>46048</v>
      </c>
      <c r="B3136" s="40"/>
      <c r="C3136" s="40"/>
      <c r="D3136" s="41"/>
      <c r="E3136" s="43">
        <f>C3136</f>
        <v>0</v>
      </c>
      <c r="F3136" s="42"/>
    </row>
    <row r="3137" spans="1:6">
      <c r="A3137" s="39">
        <f>A3136</f>
        <v>46048</v>
      </c>
      <c r="B3137" s="40"/>
      <c r="C3137" s="40"/>
      <c r="D3137" s="41"/>
      <c r="E3137" s="43">
        <f>C3137</f>
        <v>0</v>
      </c>
      <c r="F3137" s="42"/>
    </row>
    <row r="3138" spans="1:6">
      <c r="A3138" s="39">
        <f>A3137</f>
        <v>46048</v>
      </c>
      <c r="B3138" s="40"/>
      <c r="C3138" s="40"/>
      <c r="D3138" s="41"/>
      <c r="E3138" s="43">
        <f>C3138</f>
        <v>0</v>
      </c>
      <c r="F3138" s="42"/>
    </row>
    <row r="3139" spans="1:6">
      <c r="A3139" s="39">
        <f>A3138</f>
        <v>46048</v>
      </c>
      <c r="B3139" s="40"/>
      <c r="C3139" s="40"/>
      <c r="D3139" s="41"/>
      <c r="E3139" s="43">
        <f>C3139</f>
        <v>0</v>
      </c>
      <c r="F3139" s="42"/>
    </row>
    <row r="3140" spans="1:6">
      <c r="A3140" s="39">
        <f>A3139</f>
        <v>46048</v>
      </c>
      <c r="B3140" s="40"/>
      <c r="C3140" s="40"/>
      <c r="D3140" s="41"/>
      <c r="E3140" s="43">
        <f>C3140</f>
        <v>0</v>
      </c>
      <c r="F3140" s="42"/>
    </row>
    <row r="3141" spans="1:6">
      <c r="A3141" s="39">
        <f>A3140</f>
        <v>46048</v>
      </c>
      <c r="B3141" s="40"/>
      <c r="C3141" s="40"/>
      <c r="D3141" s="41"/>
      <c r="E3141" s="43">
        <f>C3141</f>
        <v>0</v>
      </c>
      <c r="F3141" s="42"/>
    </row>
    <row r="3142" spans="1:6">
      <c r="A3142" s="39">
        <f>A3141</f>
        <v>46048</v>
      </c>
      <c r="B3142" s="40"/>
      <c r="C3142" s="40"/>
      <c r="D3142" s="41"/>
      <c r="E3142" s="43">
        <f>C3142</f>
        <v>0</v>
      </c>
      <c r="F3142" s="42"/>
    </row>
    <row r="3143" spans="1:6">
      <c r="A3143" s="39">
        <f>A3142</f>
        <v>46048</v>
      </c>
      <c r="B3143" s="40"/>
      <c r="C3143" s="40"/>
      <c r="D3143" s="41"/>
      <c r="E3143" s="43">
        <f>C3143</f>
        <v>0</v>
      </c>
      <c r="F3143" s="42"/>
    </row>
    <row r="3144" spans="1:6">
      <c r="A3144" s="39">
        <f>A3143</f>
        <v>46048</v>
      </c>
      <c r="B3144" s="40"/>
      <c r="C3144" s="40"/>
      <c r="D3144" s="41"/>
      <c r="E3144" s="43">
        <f>C3144</f>
        <v>0</v>
      </c>
      <c r="F3144" s="42"/>
    </row>
    <row r="3145" spans="1:6">
      <c r="A3145" s="39">
        <f>A3144</f>
        <v>46048</v>
      </c>
      <c r="B3145" s="40"/>
      <c r="C3145" s="40"/>
      <c r="D3145" s="41"/>
      <c r="E3145" s="43">
        <f>C3145</f>
        <v>0</v>
      </c>
      <c r="F3145" s="42"/>
    </row>
    <row r="3146" spans="1:6">
      <c r="A3146" s="39">
        <f>A3145</f>
        <v>46048</v>
      </c>
      <c r="B3146" s="40"/>
      <c r="C3146" s="40"/>
      <c r="D3146" s="41"/>
      <c r="E3146" s="43">
        <f>C3146</f>
        <v>0</v>
      </c>
      <c r="F3146" s="42"/>
    </row>
    <row r="3147" spans="1:6">
      <c r="A3147" s="39">
        <f>A3146</f>
        <v>46048</v>
      </c>
      <c r="B3147" s="40"/>
      <c r="C3147" s="40"/>
      <c r="D3147" s="41"/>
      <c r="E3147" s="43">
        <f>C3147</f>
        <v>0</v>
      </c>
      <c r="F3147" s="42"/>
    </row>
    <row r="3148" spans="1:6">
      <c r="A3148" s="39">
        <f>A3147</f>
        <v>46048</v>
      </c>
      <c r="B3148" s="40"/>
      <c r="C3148" s="40"/>
      <c r="D3148" s="41"/>
      <c r="E3148" s="43">
        <f>C3148</f>
        <v>0</v>
      </c>
      <c r="F3148" s="42"/>
    </row>
    <row r="3149" spans="1:6">
      <c r="A3149" s="39">
        <f>A3148</f>
        <v>46048</v>
      </c>
      <c r="B3149" s="40"/>
      <c r="C3149" s="40"/>
      <c r="D3149" s="41"/>
      <c r="E3149" s="43">
        <f>C3149</f>
        <v>0</v>
      </c>
      <c r="F3149" s="42"/>
    </row>
    <row r="3150" spans="1:6">
      <c r="A3150" s="39">
        <f>A3149</f>
        <v>46048</v>
      </c>
      <c r="B3150" s="40"/>
      <c r="C3150" s="40"/>
      <c r="D3150" s="41"/>
      <c r="E3150" s="43">
        <f>C3150</f>
        <v>0</v>
      </c>
      <c r="F3150" s="42"/>
    </row>
    <row r="3151" spans="1:6">
      <c r="A3151" s="39">
        <f>A3150</f>
        <v>46048</v>
      </c>
      <c r="B3151" s="40"/>
      <c r="C3151" s="40"/>
      <c r="D3151" s="41"/>
      <c r="E3151" s="43">
        <f>C3151</f>
        <v>0</v>
      </c>
      <c r="F3151" s="42"/>
    </row>
    <row r="3152" spans="1:6">
      <c r="A3152" s="39">
        <f>A3151</f>
        <v>46048</v>
      </c>
      <c r="B3152" s="40"/>
      <c r="C3152" s="40"/>
      <c r="D3152" s="41"/>
      <c r="E3152" s="43">
        <f>C3152</f>
        <v>0</v>
      </c>
      <c r="F3152" s="42"/>
    </row>
    <row r="3153" spans="1:6">
      <c r="A3153" s="39">
        <f>A3152</f>
        <v>46048</v>
      </c>
      <c r="B3153" s="40"/>
      <c r="C3153" s="40"/>
      <c r="D3153" s="41"/>
      <c r="E3153" s="43">
        <f>C3153</f>
        <v>0</v>
      </c>
      <c r="F3153" s="42"/>
    </row>
    <row r="3154" spans="1:6">
      <c r="A3154" s="39">
        <f>A3153</f>
        <v>46048</v>
      </c>
      <c r="B3154" s="40"/>
      <c r="C3154" s="40"/>
      <c r="D3154" s="41"/>
      <c r="E3154" s="43">
        <f>C3154</f>
        <v>0</v>
      </c>
      <c r="F3154" s="42"/>
    </row>
    <row r="3155" spans="1:6">
      <c r="A3155" s="39">
        <f>A3154</f>
        <v>46048</v>
      </c>
      <c r="B3155" s="40"/>
      <c r="C3155" s="40"/>
      <c r="D3155" s="41"/>
      <c r="E3155" s="43">
        <f>C3155</f>
        <v>0</v>
      </c>
      <c r="F3155" s="42"/>
    </row>
    <row r="3156" spans="1:6">
      <c r="A3156" s="39">
        <f>A3155</f>
        <v>46048</v>
      </c>
      <c r="B3156" s="40"/>
      <c r="C3156" s="40"/>
      <c r="D3156" s="41"/>
      <c r="E3156" s="43">
        <f>C3156</f>
        <v>0</v>
      </c>
      <c r="F3156" s="42"/>
    </row>
    <row r="3157" spans="1:6">
      <c r="A3157" s="39">
        <f>A3156</f>
        <v>46048</v>
      </c>
      <c r="B3157" s="40"/>
      <c r="C3157" s="40"/>
      <c r="D3157" s="41"/>
      <c r="E3157" s="43">
        <f>C3157</f>
        <v>0</v>
      </c>
      <c r="F3157" s="42"/>
    </row>
    <row r="3158" spans="1:6">
      <c r="A3158" s="39">
        <f>A3157</f>
        <v>46048</v>
      </c>
      <c r="B3158" s="40"/>
      <c r="C3158" s="40"/>
      <c r="D3158" s="41"/>
      <c r="E3158" s="43">
        <f>C3158</f>
        <v>0</v>
      </c>
      <c r="F3158" s="42"/>
    </row>
    <row r="3159" spans="1:6">
      <c r="A3159" s="39">
        <f>A3158</f>
        <v>46048</v>
      </c>
      <c r="B3159" s="40"/>
      <c r="C3159" s="40"/>
      <c r="D3159" s="41"/>
      <c r="E3159" s="43">
        <f>C3159</f>
        <v>0</v>
      </c>
      <c r="F3159" s="42"/>
    </row>
    <row r="3160" spans="1:6">
      <c r="A3160" s="39">
        <f>A3159</f>
        <v>46048</v>
      </c>
      <c r="B3160" s="40"/>
      <c r="C3160" s="40"/>
      <c r="D3160" s="41"/>
      <c r="E3160" s="43">
        <f>C3160</f>
        <v>0</v>
      </c>
      <c r="F3160" s="42"/>
    </row>
    <row r="3161" spans="1:6">
      <c r="A3161" s="39">
        <f>A3160</f>
        <v>46048</v>
      </c>
      <c r="B3161" s="40"/>
      <c r="C3161" s="40"/>
      <c r="D3161" s="41"/>
      <c r="E3161" s="43">
        <f>C3161</f>
        <v>0</v>
      </c>
      <c r="F3161" s="42"/>
    </row>
    <row r="3162" spans="1:6">
      <c r="A3162" s="39">
        <f>A3161</f>
        <v>46048</v>
      </c>
      <c r="B3162" s="40"/>
      <c r="C3162" s="40"/>
      <c r="D3162" s="41"/>
      <c r="E3162" s="43">
        <f>C3162</f>
        <v>0</v>
      </c>
      <c r="F3162" s="42"/>
    </row>
    <row r="3163" spans="1:6">
      <c r="A3163" s="39">
        <f>A3162</f>
        <v>46048</v>
      </c>
      <c r="B3163" s="40"/>
      <c r="C3163" s="40"/>
      <c r="D3163" s="41"/>
      <c r="E3163" s="43">
        <f>C3163</f>
        <v>0</v>
      </c>
      <c r="F3163" s="42"/>
    </row>
    <row r="3164" spans="1:6">
      <c r="A3164" s="39">
        <f>A3163</f>
        <v>46048</v>
      </c>
      <c r="B3164" s="40"/>
      <c r="C3164" s="40"/>
      <c r="D3164" s="41"/>
      <c r="E3164" s="43">
        <f>C3164</f>
        <v>0</v>
      </c>
      <c r="F3164" s="42"/>
    </row>
    <row r="3165" spans="1:6">
      <c r="A3165" s="39">
        <f>A3164</f>
        <v>46048</v>
      </c>
      <c r="B3165" s="40"/>
      <c r="C3165" s="40"/>
      <c r="D3165" s="41"/>
      <c r="E3165" s="43">
        <f>C3165</f>
        <v>0</v>
      </c>
      <c r="F3165" s="42"/>
    </row>
    <row r="3166" spans="1:6">
      <c r="A3166" s="39">
        <f>A3165</f>
        <v>46048</v>
      </c>
      <c r="B3166" s="40"/>
      <c r="C3166" s="40"/>
      <c r="D3166" s="41"/>
      <c r="E3166" s="43">
        <f>C3166</f>
        <v>0</v>
      </c>
      <c r="F3166" s="42"/>
    </row>
    <row r="3167" spans="1:6">
      <c r="A3167" s="39">
        <f>A3166</f>
        <v>46048</v>
      </c>
      <c r="B3167" s="40"/>
      <c r="C3167" s="40"/>
      <c r="D3167" s="41"/>
      <c r="E3167" s="43">
        <f>C3167</f>
        <v>0</v>
      </c>
      <c r="F3167" s="42"/>
    </row>
    <row r="3168" spans="1:6">
      <c r="A3168" s="39">
        <f>A3167</f>
        <v>46048</v>
      </c>
      <c r="B3168" s="40"/>
      <c r="C3168" s="40"/>
      <c r="D3168" s="41"/>
      <c r="E3168" s="43">
        <f>C3168</f>
        <v>0</v>
      </c>
      <c r="F3168" s="42"/>
    </row>
    <row r="3169" spans="1:6">
      <c r="A3169" s="39">
        <f>A3168</f>
        <v>46048</v>
      </c>
      <c r="B3169" s="40"/>
      <c r="C3169" s="40"/>
      <c r="D3169" s="41"/>
      <c r="E3169" s="43">
        <f>C3169</f>
        <v>0</v>
      </c>
      <c r="F3169" s="42"/>
    </row>
    <row r="3170" spans="1:6">
      <c r="A3170" s="39">
        <f>A3169</f>
        <v>46048</v>
      </c>
      <c r="B3170" s="40"/>
      <c r="C3170" s="40"/>
      <c r="D3170" s="41"/>
      <c r="E3170" s="43">
        <f>C3170</f>
        <v>0</v>
      </c>
      <c r="F3170" s="42"/>
    </row>
    <row r="3171" spans="1:6">
      <c r="A3171" s="39">
        <f>A3170</f>
        <v>46048</v>
      </c>
      <c r="B3171" s="40"/>
      <c r="C3171" s="40"/>
      <c r="D3171" s="41"/>
      <c r="E3171" s="43">
        <f>C3171</f>
        <v>0</v>
      </c>
      <c r="F3171" s="42"/>
    </row>
    <row r="3172" spans="1:6">
      <c r="A3172" s="39">
        <f>A3171</f>
        <v>46048</v>
      </c>
      <c r="B3172" s="40"/>
      <c r="C3172" s="40"/>
      <c r="D3172" s="41"/>
      <c r="E3172" s="43">
        <f>C3172</f>
        <v>0</v>
      </c>
      <c r="F3172" s="42"/>
    </row>
    <row r="3173" spans="1:6">
      <c r="A3173" s="39">
        <f>A3172</f>
        <v>46048</v>
      </c>
      <c r="B3173" s="40"/>
      <c r="C3173" s="40"/>
      <c r="D3173" s="41"/>
      <c r="E3173" s="43">
        <f>C3173</f>
        <v>0</v>
      </c>
      <c r="F3173" s="42"/>
    </row>
    <row r="3174" spans="1:6">
      <c r="A3174" s="39">
        <f>A3173</f>
        <v>46048</v>
      </c>
      <c r="B3174" s="40"/>
      <c r="C3174" s="40"/>
      <c r="D3174" s="41"/>
      <c r="E3174" s="43">
        <f>C3174</f>
        <v>0</v>
      </c>
      <c r="F3174" s="42"/>
    </row>
    <row r="3175" spans="1:6">
      <c r="A3175" s="39">
        <f>A3174</f>
        <v>46048</v>
      </c>
      <c r="B3175" s="40"/>
      <c r="C3175" s="40"/>
      <c r="D3175" s="41"/>
      <c r="E3175" s="43">
        <f>C3175</f>
        <v>0</v>
      </c>
      <c r="F3175" s="42"/>
    </row>
    <row r="3176" spans="1:6">
      <c r="A3176" s="39">
        <f>A3175</f>
        <v>46048</v>
      </c>
      <c r="B3176" s="40"/>
      <c r="C3176" s="40"/>
      <c r="D3176" s="41"/>
      <c r="E3176" s="43">
        <f>C3176</f>
        <v>0</v>
      </c>
      <c r="F3176" s="42"/>
    </row>
    <row r="3177" spans="1:6">
      <c r="A3177" s="39">
        <f>A3176</f>
        <v>46048</v>
      </c>
      <c r="B3177" s="40"/>
      <c r="C3177" s="40"/>
      <c r="D3177" s="41"/>
      <c r="E3177" s="43">
        <f>C3177</f>
        <v>0</v>
      </c>
      <c r="F3177" s="42"/>
    </row>
    <row r="3178" spans="1:6">
      <c r="A3178" s="39">
        <f>A3177</f>
        <v>46048</v>
      </c>
      <c r="B3178" s="40"/>
      <c r="C3178" s="40"/>
      <c r="D3178" s="41"/>
      <c r="E3178" s="43">
        <f>C3178</f>
        <v>0</v>
      </c>
      <c r="F3178" s="42"/>
    </row>
    <row r="3179" spans="1:6">
      <c r="A3179" s="39">
        <f>A3178</f>
        <v>46048</v>
      </c>
      <c r="B3179" s="40"/>
      <c r="C3179" s="40"/>
      <c r="D3179" s="41"/>
      <c r="E3179" s="43">
        <f>C3179</f>
        <v>0</v>
      </c>
      <c r="F3179" s="42"/>
    </row>
    <row r="3180" spans="1:6">
      <c r="A3180" s="39">
        <f>A3179</f>
        <v>46048</v>
      </c>
      <c r="B3180" s="40"/>
      <c r="C3180" s="40"/>
      <c r="D3180" s="41"/>
      <c r="E3180" s="43">
        <f>C3180</f>
        <v>0</v>
      </c>
      <c r="F3180" s="42"/>
    </row>
    <row r="3181" spans="1:6">
      <c r="A3181" s="39">
        <f>A3180</f>
        <v>46048</v>
      </c>
      <c r="B3181" s="40"/>
      <c r="C3181" s="40"/>
      <c r="D3181" s="41"/>
      <c r="E3181" s="43">
        <f>C3181</f>
        <v>0</v>
      </c>
      <c r="F3181" s="42"/>
    </row>
    <row r="3182" spans="1:6">
      <c r="A3182" s="39">
        <f>A3181</f>
        <v>46048</v>
      </c>
      <c r="B3182" s="40"/>
      <c r="C3182" s="40"/>
      <c r="D3182" s="41"/>
      <c r="E3182" s="43">
        <f>C3182</f>
        <v>0</v>
      </c>
      <c r="F3182" s="42"/>
    </row>
    <row r="3183" spans="1:6">
      <c r="A3183" s="39">
        <f>A3182</f>
        <v>46048</v>
      </c>
      <c r="B3183" s="40"/>
      <c r="C3183" s="40"/>
      <c r="D3183" s="41"/>
      <c r="E3183" s="43">
        <f>C3183</f>
        <v>0</v>
      </c>
      <c r="F3183" s="42"/>
    </row>
    <row r="3184" spans="1:6">
      <c r="A3184" s="39">
        <f>A3183</f>
        <v>46048</v>
      </c>
      <c r="B3184" s="40"/>
      <c r="C3184" s="40"/>
      <c r="D3184" s="41"/>
      <c r="E3184" s="43">
        <f>C3184</f>
        <v>0</v>
      </c>
      <c r="F3184" s="42"/>
    </row>
    <row r="3185" spans="1:6">
      <c r="A3185" s="39">
        <f>A3184</f>
        <v>46048</v>
      </c>
      <c r="B3185" s="40"/>
      <c r="C3185" s="40"/>
      <c r="D3185" s="41"/>
      <c r="E3185" s="43">
        <f>C3185</f>
        <v>0</v>
      </c>
      <c r="F3185" s="42"/>
    </row>
    <row r="3186" spans="1:6">
      <c r="A3186" s="39">
        <f>A3185</f>
        <v>46048</v>
      </c>
      <c r="B3186" s="40"/>
      <c r="C3186" s="40"/>
      <c r="D3186" s="41"/>
      <c r="E3186" s="43">
        <f>C3186</f>
        <v>0</v>
      </c>
      <c r="F3186" s="42"/>
    </row>
    <row r="3187" spans="1:6">
      <c r="A3187" s="39">
        <f>A3186</f>
        <v>46048</v>
      </c>
      <c r="B3187" s="40"/>
      <c r="C3187" s="40"/>
      <c r="D3187" s="41"/>
      <c r="E3187" s="43">
        <f>C3187</f>
        <v>0</v>
      </c>
      <c r="F3187" s="42"/>
    </row>
    <row r="3188" spans="1:6">
      <c r="A3188" s="39">
        <f>A3187</f>
        <v>46048</v>
      </c>
      <c r="B3188" s="40"/>
      <c r="C3188" s="40"/>
      <c r="D3188" s="41"/>
      <c r="E3188" s="43">
        <f>C3188</f>
        <v>0</v>
      </c>
      <c r="F3188" s="42"/>
    </row>
    <row r="3189" spans="1:6">
      <c r="A3189" s="39">
        <f>A3188</f>
        <v>46048</v>
      </c>
      <c r="B3189" s="40"/>
      <c r="C3189" s="40"/>
      <c r="D3189" s="41"/>
      <c r="E3189" s="43">
        <f>C3189</f>
        <v>0</v>
      </c>
      <c r="F3189" s="42"/>
    </row>
    <row r="3190" spans="1:6">
      <c r="A3190" s="39">
        <f>A3189</f>
        <v>46048</v>
      </c>
      <c r="B3190" s="40"/>
      <c r="C3190" s="40"/>
      <c r="D3190" s="41"/>
      <c r="E3190" s="43">
        <f>C3190</f>
        <v>0</v>
      </c>
      <c r="F3190" s="42"/>
    </row>
    <row r="3191" spans="1:6">
      <c r="A3191" s="39">
        <f>A3190</f>
        <v>46048</v>
      </c>
      <c r="B3191" s="40"/>
      <c r="C3191" s="40"/>
      <c r="D3191" s="41"/>
      <c r="E3191" s="43">
        <f>C3191</f>
        <v>0</v>
      </c>
      <c r="F3191" s="42"/>
    </row>
    <row r="3192" spans="1:6">
      <c r="A3192" s="39">
        <f>A3191</f>
        <v>46048</v>
      </c>
      <c r="B3192" s="40"/>
      <c r="C3192" s="40"/>
      <c r="D3192" s="41"/>
      <c r="E3192" s="43">
        <f>C3192</f>
        <v>0</v>
      </c>
      <c r="F3192" s="42"/>
    </row>
    <row r="3193" spans="1:6">
      <c r="A3193" s="39">
        <f>A3192</f>
        <v>46048</v>
      </c>
      <c r="B3193" s="40"/>
      <c r="C3193" s="40"/>
      <c r="D3193" s="41"/>
      <c r="E3193" s="43">
        <f>C3193</f>
        <v>0</v>
      </c>
      <c r="F3193" s="42"/>
    </row>
    <row r="3194" spans="1:6">
      <c r="A3194" s="39">
        <f>A3193</f>
        <v>46048</v>
      </c>
      <c r="B3194" s="40"/>
      <c r="C3194" s="40"/>
      <c r="D3194" s="41"/>
      <c r="E3194" s="43">
        <f>C3194</f>
        <v>0</v>
      </c>
      <c r="F3194" s="42"/>
    </row>
    <row r="3195" spans="1:6">
      <c r="A3195" s="39">
        <f>A3194</f>
        <v>46048</v>
      </c>
      <c r="B3195" s="40"/>
      <c r="C3195" s="40"/>
      <c r="D3195" s="41"/>
      <c r="E3195" s="43">
        <f>C3195</f>
        <v>0</v>
      </c>
      <c r="F3195" s="42"/>
    </row>
    <row r="3196" spans="1:6">
      <c r="A3196" s="39">
        <f>A3195</f>
        <v>46048</v>
      </c>
      <c r="B3196" s="40"/>
      <c r="C3196" s="40"/>
      <c r="D3196" s="41"/>
      <c r="E3196" s="43">
        <f>C3196</f>
        <v>0</v>
      </c>
      <c r="F3196" s="42"/>
    </row>
    <row r="3197" spans="1:6">
      <c r="A3197" s="39">
        <f>A3196</f>
        <v>46048</v>
      </c>
      <c r="B3197" s="40"/>
      <c r="C3197" s="40"/>
      <c r="D3197" s="41"/>
      <c r="E3197" s="43">
        <f>C3197</f>
        <v>0</v>
      </c>
      <c r="F3197" s="42"/>
    </row>
    <row r="3198" spans="1:6">
      <c r="A3198" s="39">
        <f>A3197</f>
        <v>46048</v>
      </c>
      <c r="B3198" s="40"/>
      <c r="C3198" s="40"/>
      <c r="D3198" s="41"/>
      <c r="E3198" s="43">
        <f>C3198</f>
        <v>0</v>
      </c>
      <c r="F3198" s="42"/>
    </row>
    <row r="3199" spans="1:6">
      <c r="A3199" s="39">
        <f>A3198</f>
        <v>46048</v>
      </c>
      <c r="B3199" s="40"/>
      <c r="C3199" s="40"/>
      <c r="D3199" s="41"/>
      <c r="E3199" s="43">
        <f>C3199</f>
        <v>0</v>
      </c>
      <c r="F3199" s="42"/>
    </row>
    <row r="3200" spans="1:6">
      <c r="A3200" s="39">
        <f>A3199</f>
        <v>46048</v>
      </c>
      <c r="B3200" s="40"/>
      <c r="C3200" s="40"/>
      <c r="D3200" s="41"/>
      <c r="E3200" s="43">
        <f>C3200</f>
        <v>0</v>
      </c>
      <c r="F3200" s="42"/>
    </row>
    <row r="3201" spans="1:6">
      <c r="A3201" s="39">
        <f>A3200</f>
        <v>46048</v>
      </c>
      <c r="B3201" s="40"/>
      <c r="C3201" s="40"/>
      <c r="D3201" s="41"/>
      <c r="E3201" s="43">
        <f>C3201</f>
        <v>0</v>
      </c>
      <c r="F3201" s="42"/>
    </row>
    <row r="3202" spans="1:6">
      <c r="A3202" s="39">
        <f>A3201</f>
        <v>46048</v>
      </c>
      <c r="B3202" s="40"/>
      <c r="C3202" s="40"/>
      <c r="D3202" s="41"/>
      <c r="E3202" s="43">
        <f>C3202</f>
        <v>0</v>
      </c>
      <c r="F3202" s="42"/>
    </row>
    <row r="3203" spans="1:6">
      <c r="A3203" s="39">
        <f>A3202</f>
        <v>46048</v>
      </c>
      <c r="B3203" s="40"/>
      <c r="C3203" s="40"/>
      <c r="D3203" s="41"/>
      <c r="E3203" s="43">
        <f>C3203</f>
        <v>0</v>
      </c>
      <c r="F3203" s="42"/>
    </row>
    <row r="3204" spans="1:6">
      <c r="A3204" s="39">
        <f>A3203</f>
        <v>46048</v>
      </c>
      <c r="B3204" s="40"/>
      <c r="C3204" s="40"/>
      <c r="D3204" s="41"/>
      <c r="E3204" s="43">
        <f>C3204</f>
        <v>0</v>
      </c>
      <c r="F3204" s="42"/>
    </row>
    <row r="3205" spans="1:6">
      <c r="A3205" s="39">
        <f>A3204</f>
        <v>46048</v>
      </c>
      <c r="B3205" s="40"/>
      <c r="C3205" s="40"/>
      <c r="D3205" s="41"/>
      <c r="E3205" s="43">
        <f>C3205</f>
        <v>0</v>
      </c>
      <c r="F3205" s="42"/>
    </row>
    <row r="3206" spans="1:6">
      <c r="A3206" s="39">
        <f>A3205</f>
        <v>46048</v>
      </c>
      <c r="B3206" s="40"/>
      <c r="C3206" s="40"/>
      <c r="D3206" s="41"/>
      <c r="E3206" s="43">
        <f>C3206</f>
        <v>0</v>
      </c>
      <c r="F3206" s="42"/>
    </row>
    <row r="3207" spans="1:6">
      <c r="A3207" s="39">
        <f>A3206</f>
        <v>46048</v>
      </c>
      <c r="B3207" s="40"/>
      <c r="C3207" s="40"/>
      <c r="D3207" s="41"/>
      <c r="E3207" s="43">
        <f>C3207</f>
        <v>0</v>
      </c>
      <c r="F3207" s="42"/>
    </row>
    <row r="3208" spans="1:6">
      <c r="A3208" s="39">
        <f>A3207</f>
        <v>46048</v>
      </c>
      <c r="B3208" s="40"/>
      <c r="C3208" s="40"/>
      <c r="D3208" s="41"/>
      <c r="E3208" s="43">
        <f>C3208</f>
        <v>0</v>
      </c>
      <c r="F3208" s="42"/>
    </row>
    <row r="3209" spans="1:6">
      <c r="A3209" s="39">
        <f>A3208</f>
        <v>46048</v>
      </c>
      <c r="B3209" s="40"/>
      <c r="C3209" s="40"/>
      <c r="D3209" s="41"/>
      <c r="E3209" s="43">
        <f>C3209</f>
        <v>0</v>
      </c>
      <c r="F3209" s="42"/>
    </row>
    <row r="3210" spans="1:6">
      <c r="A3210" s="39">
        <f>A3209</f>
        <v>46048</v>
      </c>
      <c r="B3210" s="40"/>
      <c r="C3210" s="40"/>
      <c r="D3210" s="41"/>
      <c r="E3210" s="43">
        <f>C3210</f>
        <v>0</v>
      </c>
      <c r="F3210" s="42"/>
    </row>
    <row r="3211" spans="1:6">
      <c r="A3211" s="39">
        <f>A3210</f>
        <v>46048</v>
      </c>
      <c r="B3211" s="40"/>
      <c r="C3211" s="40"/>
      <c r="D3211" s="41"/>
      <c r="E3211" s="43">
        <f>C3211</f>
        <v>0</v>
      </c>
      <c r="F3211" s="42"/>
    </row>
    <row r="3212" spans="1:6">
      <c r="A3212" s="39">
        <f>A3211</f>
        <v>46048</v>
      </c>
      <c r="B3212" s="40"/>
      <c r="C3212" s="40"/>
      <c r="D3212" s="41"/>
      <c r="E3212" s="43">
        <f>C3212</f>
        <v>0</v>
      </c>
      <c r="F3212" s="42"/>
    </row>
    <row r="3213" spans="1:6">
      <c r="A3213" s="39">
        <f>A3212</f>
        <v>46048</v>
      </c>
      <c r="B3213" s="40"/>
      <c r="C3213" s="40"/>
      <c r="D3213" s="41"/>
      <c r="E3213" s="43">
        <f>C3213</f>
        <v>0</v>
      </c>
      <c r="F3213" s="42"/>
    </row>
    <row r="3214" spans="1:6">
      <c r="A3214" s="39">
        <f>A3213</f>
        <v>46048</v>
      </c>
      <c r="B3214" s="40"/>
      <c r="C3214" s="40"/>
      <c r="D3214" s="41"/>
      <c r="E3214" s="43">
        <f>C3214</f>
        <v>0</v>
      </c>
      <c r="F3214" s="42"/>
    </row>
    <row r="3215" spans="1:6">
      <c r="A3215" s="39">
        <f>A3214</f>
        <v>46048</v>
      </c>
      <c r="B3215" s="40"/>
      <c r="C3215" s="40"/>
      <c r="D3215" s="41"/>
      <c r="E3215" s="43">
        <f>C3215</f>
        <v>0</v>
      </c>
      <c r="F3215" s="42"/>
    </row>
    <row r="3216" spans="1:6">
      <c r="A3216" s="39">
        <f>A3215</f>
        <v>46048</v>
      </c>
      <c r="B3216" s="40"/>
      <c r="C3216" s="40"/>
      <c r="D3216" s="41"/>
      <c r="E3216" s="43">
        <f>C3216</f>
        <v>0</v>
      </c>
      <c r="F3216" s="42"/>
    </row>
    <row r="3217" spans="1:6">
      <c r="A3217" s="39">
        <f>A3216</f>
        <v>46048</v>
      </c>
      <c r="B3217" s="40"/>
      <c r="C3217" s="40"/>
      <c r="D3217" s="41"/>
      <c r="E3217" s="43">
        <f>C3217</f>
        <v>0</v>
      </c>
      <c r="F3217" s="42"/>
    </row>
    <row r="3218" spans="1:6">
      <c r="A3218" s="39">
        <f>A3217</f>
        <v>46048</v>
      </c>
      <c r="B3218" s="40"/>
      <c r="C3218" s="40"/>
      <c r="D3218" s="41"/>
      <c r="E3218" s="43">
        <f>C3218</f>
        <v>0</v>
      </c>
      <c r="F3218" s="42"/>
    </row>
    <row r="3219" spans="1:6">
      <c r="A3219" s="39">
        <f>A3218</f>
        <v>46048</v>
      </c>
      <c r="B3219" s="40"/>
      <c r="C3219" s="40"/>
      <c r="D3219" s="41"/>
      <c r="E3219" s="43">
        <f>C3219</f>
        <v>0</v>
      </c>
      <c r="F3219" s="42"/>
    </row>
    <row r="3220" spans="1:6">
      <c r="A3220" s="39">
        <f>A3219</f>
        <v>46048</v>
      </c>
      <c r="B3220" s="40"/>
      <c r="C3220" s="40"/>
      <c r="D3220" s="41"/>
      <c r="E3220" s="43">
        <f>C3220</f>
        <v>0</v>
      </c>
      <c r="F3220" s="42"/>
    </row>
    <row r="3221" spans="1:6">
      <c r="A3221" s="39">
        <f>A3220</f>
        <v>46048</v>
      </c>
      <c r="B3221" s="40"/>
      <c r="C3221" s="40"/>
      <c r="D3221" s="41"/>
      <c r="E3221" s="43">
        <f>C3221</f>
        <v>0</v>
      </c>
      <c r="F3221" s="42"/>
    </row>
    <row r="3222" spans="1:6">
      <c r="A3222" s="39">
        <f>A3221</f>
        <v>46048</v>
      </c>
      <c r="B3222" s="40"/>
      <c r="C3222" s="40"/>
      <c r="D3222" s="41"/>
      <c r="E3222" s="43">
        <f>C3222</f>
        <v>0</v>
      </c>
      <c r="F3222" s="42"/>
    </row>
    <row r="3223" spans="1:6">
      <c r="A3223" s="39">
        <f>A3222</f>
        <v>46048</v>
      </c>
      <c r="B3223" s="40"/>
      <c r="C3223" s="40"/>
      <c r="D3223" s="41"/>
      <c r="E3223" s="43">
        <f>C3223</f>
        <v>0</v>
      </c>
      <c r="F3223" s="42"/>
    </row>
    <row r="3224" spans="1:6">
      <c r="A3224" s="39">
        <f>A3223</f>
        <v>46048</v>
      </c>
      <c r="B3224" s="40"/>
      <c r="C3224" s="40"/>
      <c r="D3224" s="41"/>
      <c r="E3224" s="43">
        <f>C3224</f>
        <v>0</v>
      </c>
      <c r="F3224" s="42"/>
    </row>
    <row r="3225" spans="1:6">
      <c r="A3225" s="39">
        <f>A3224</f>
        <v>46048</v>
      </c>
      <c r="B3225" s="40"/>
      <c r="C3225" s="40"/>
      <c r="D3225" s="41"/>
      <c r="E3225" s="43">
        <f>C3225</f>
        <v>0</v>
      </c>
      <c r="F3225" s="42"/>
    </row>
    <row r="3226" spans="1:6">
      <c r="A3226" s="39">
        <f>A3225</f>
        <v>46048</v>
      </c>
      <c r="B3226" s="40"/>
      <c r="C3226" s="40"/>
      <c r="D3226" s="41"/>
      <c r="E3226" s="43">
        <f>C3226</f>
        <v>0</v>
      </c>
      <c r="F3226" s="42"/>
    </row>
    <row r="3227" spans="1:6">
      <c r="A3227" s="39">
        <f>A3226</f>
        <v>46048</v>
      </c>
      <c r="B3227" s="40"/>
      <c r="C3227" s="40"/>
      <c r="D3227" s="41"/>
      <c r="E3227" s="43">
        <f>C3227</f>
        <v>0</v>
      </c>
      <c r="F3227" s="42"/>
    </row>
    <row r="3228" spans="1:6">
      <c r="A3228" s="39">
        <f>A3227</f>
        <v>46048</v>
      </c>
      <c r="B3228" s="40"/>
      <c r="C3228" s="40"/>
      <c r="D3228" s="41"/>
      <c r="E3228" s="43">
        <f>C3228</f>
        <v>0</v>
      </c>
      <c r="F3228" s="42"/>
    </row>
    <row r="3229" spans="1:6">
      <c r="A3229" s="39">
        <f>A3228</f>
        <v>46048</v>
      </c>
      <c r="B3229" s="40"/>
      <c r="C3229" s="40"/>
      <c r="D3229" s="41"/>
      <c r="E3229" s="43">
        <f>C3229</f>
        <v>0</v>
      </c>
      <c r="F3229" s="42"/>
    </row>
    <row r="3230" spans="1:6">
      <c r="A3230" s="39">
        <f>A3229</f>
        <v>46048</v>
      </c>
      <c r="B3230" s="40"/>
      <c r="C3230" s="40"/>
      <c r="D3230" s="41"/>
      <c r="E3230" s="43">
        <f>C3230</f>
        <v>0</v>
      </c>
      <c r="F3230" s="42"/>
    </row>
    <row r="3231" spans="1:6">
      <c r="A3231" s="39">
        <f>A3230</f>
        <v>46048</v>
      </c>
      <c r="B3231" s="40"/>
      <c r="C3231" s="40"/>
      <c r="D3231" s="41"/>
      <c r="E3231" s="43">
        <f>C3231</f>
        <v>0</v>
      </c>
      <c r="F3231" s="42"/>
    </row>
    <row r="3232" spans="1:6">
      <c r="A3232" s="39">
        <f>A3231</f>
        <v>46048</v>
      </c>
      <c r="B3232" s="40"/>
      <c r="C3232" s="40"/>
      <c r="D3232" s="41"/>
      <c r="E3232" s="43">
        <f>C3232</f>
        <v>0</v>
      </c>
      <c r="F3232" s="42"/>
    </row>
    <row r="3233" spans="1:6">
      <c r="A3233" s="39">
        <f>A3232</f>
        <v>46048</v>
      </c>
      <c r="B3233" s="40"/>
      <c r="C3233" s="40"/>
      <c r="D3233" s="41"/>
      <c r="E3233" s="43">
        <f>C3233</f>
        <v>0</v>
      </c>
      <c r="F3233" s="42"/>
    </row>
    <row r="3234" spans="1:6">
      <c r="A3234" s="39">
        <f>A3233</f>
        <v>46048</v>
      </c>
      <c r="B3234" s="40"/>
      <c r="C3234" s="40"/>
      <c r="D3234" s="41"/>
      <c r="E3234" s="43">
        <f>C3234</f>
        <v>0</v>
      </c>
      <c r="F3234" s="42"/>
    </row>
    <row r="3235" spans="1:6">
      <c r="A3235" s="39">
        <f>A3234</f>
        <v>46048</v>
      </c>
      <c r="B3235" s="40"/>
      <c r="C3235" s="40"/>
      <c r="D3235" s="41"/>
      <c r="E3235" s="43">
        <f>C3235</f>
        <v>0</v>
      </c>
      <c r="F3235" s="42"/>
    </row>
    <row r="3236" spans="1:6">
      <c r="A3236" s="39">
        <f>A3235</f>
        <v>46048</v>
      </c>
      <c r="B3236" s="40"/>
      <c r="C3236" s="40"/>
      <c r="D3236" s="41"/>
      <c r="E3236" s="43">
        <f>C3236</f>
        <v>0</v>
      </c>
      <c r="F3236" s="42"/>
    </row>
    <row r="3237" spans="1:6">
      <c r="A3237" s="39">
        <f>A3236</f>
        <v>46048</v>
      </c>
      <c r="B3237" s="40"/>
      <c r="C3237" s="40"/>
      <c r="D3237" s="41"/>
      <c r="E3237" s="43">
        <f>C3237</f>
        <v>0</v>
      </c>
      <c r="F3237" s="42"/>
    </row>
    <row r="3238" spans="1:6">
      <c r="A3238" s="39">
        <f>A3237</f>
        <v>46048</v>
      </c>
      <c r="B3238" s="40"/>
      <c r="C3238" s="40"/>
      <c r="D3238" s="41"/>
      <c r="E3238" s="43">
        <f>C3238</f>
        <v>0</v>
      </c>
      <c r="F3238" s="42"/>
    </row>
    <row r="3239" spans="1:6">
      <c r="A3239" s="39">
        <f>A3238</f>
        <v>46048</v>
      </c>
      <c r="B3239" s="40"/>
      <c r="C3239" s="40"/>
      <c r="D3239" s="41"/>
      <c r="E3239" s="43">
        <f>C3239</f>
        <v>0</v>
      </c>
      <c r="F3239" s="42"/>
    </row>
    <row r="3240" spans="1:6">
      <c r="A3240" s="39">
        <f>A3239</f>
        <v>46048</v>
      </c>
      <c r="B3240" s="40"/>
      <c r="C3240" s="40"/>
      <c r="D3240" s="41"/>
      <c r="E3240" s="43">
        <f>C3240</f>
        <v>0</v>
      </c>
      <c r="F3240" s="42"/>
    </row>
    <row r="3241" spans="1:6">
      <c r="A3241" s="39">
        <f>A3240</f>
        <v>46048</v>
      </c>
      <c r="B3241" s="40"/>
      <c r="C3241" s="40"/>
      <c r="D3241" s="41"/>
      <c r="E3241" s="43">
        <f>C3241</f>
        <v>0</v>
      </c>
      <c r="F3241" s="42"/>
    </row>
    <row r="3242" spans="1:6">
      <c r="A3242" s="39">
        <f>A3241</f>
        <v>46048</v>
      </c>
      <c r="B3242" s="40"/>
      <c r="C3242" s="40"/>
      <c r="D3242" s="41"/>
      <c r="E3242" s="43">
        <f>C3242</f>
        <v>0</v>
      </c>
      <c r="F3242" s="42"/>
    </row>
    <row r="3243" spans="1:6">
      <c r="A3243" s="39">
        <f>A3242</f>
        <v>46048</v>
      </c>
      <c r="B3243" s="40"/>
      <c r="C3243" s="40"/>
      <c r="D3243" s="41"/>
      <c r="E3243" s="43">
        <f>C3243</f>
        <v>0</v>
      </c>
      <c r="F3243" s="42"/>
    </row>
    <row r="3244" spans="1:6">
      <c r="A3244" s="39">
        <f>A3243</f>
        <v>46048</v>
      </c>
      <c r="B3244" s="40"/>
      <c r="C3244" s="40"/>
      <c r="D3244" s="41"/>
      <c r="E3244" s="43">
        <f>C3244</f>
        <v>0</v>
      </c>
      <c r="F3244" s="42"/>
    </row>
    <row r="3245" spans="1:6">
      <c r="A3245" s="39">
        <f>A3244</f>
        <v>46048</v>
      </c>
      <c r="B3245" s="40"/>
      <c r="C3245" s="40"/>
      <c r="D3245" s="41"/>
      <c r="E3245" s="43">
        <f>C3245</f>
        <v>0</v>
      </c>
      <c r="F3245" s="42"/>
    </row>
    <row r="3246" spans="1:6">
      <c r="A3246" s="39">
        <f>A3245</f>
        <v>46048</v>
      </c>
      <c r="B3246" s="40"/>
      <c r="C3246" s="40"/>
      <c r="D3246" s="41"/>
      <c r="E3246" s="43">
        <f>C3246</f>
        <v>0</v>
      </c>
      <c r="F3246" s="42"/>
    </row>
    <row r="3247" spans="1:6">
      <c r="A3247" s="39">
        <f>A3246</f>
        <v>46048</v>
      </c>
      <c r="B3247" s="40"/>
      <c r="C3247" s="40"/>
      <c r="D3247" s="41"/>
      <c r="E3247" s="43">
        <f>C3247</f>
        <v>0</v>
      </c>
      <c r="F3247" s="42"/>
    </row>
    <row r="3248" spans="1:6">
      <c r="A3248" s="39">
        <f>A3247</f>
        <v>46048</v>
      </c>
      <c r="B3248" s="40"/>
      <c r="C3248" s="40"/>
      <c r="D3248" s="41"/>
      <c r="E3248" s="43">
        <f>C3248</f>
        <v>0</v>
      </c>
      <c r="F3248" s="42"/>
    </row>
    <row r="3249" spans="1:6">
      <c r="A3249" s="39">
        <f>A3248</f>
        <v>46048</v>
      </c>
      <c r="B3249" s="40"/>
      <c r="C3249" s="40"/>
      <c r="D3249" s="41"/>
      <c r="E3249" s="43">
        <f>C3249</f>
        <v>0</v>
      </c>
      <c r="F3249" s="42"/>
    </row>
    <row r="3250" spans="1:6">
      <c r="A3250" s="39">
        <f>A3249</f>
        <v>46048</v>
      </c>
      <c r="B3250" s="40"/>
      <c r="C3250" s="40"/>
      <c r="D3250" s="41"/>
      <c r="E3250" s="43">
        <f>C3250</f>
        <v>0</v>
      </c>
      <c r="F3250" s="42"/>
    </row>
    <row r="3251" spans="1:6">
      <c r="A3251" s="39">
        <f>A3250</f>
        <v>46048</v>
      </c>
      <c r="B3251" s="40"/>
      <c r="C3251" s="40"/>
      <c r="D3251" s="41"/>
      <c r="E3251" s="43">
        <f>C3251</f>
        <v>0</v>
      </c>
      <c r="F3251" s="42"/>
    </row>
    <row r="3252" spans="1:6">
      <c r="A3252" s="39">
        <f>A3251</f>
        <v>46048</v>
      </c>
      <c r="B3252" s="40"/>
      <c r="C3252" s="40"/>
      <c r="D3252" s="41"/>
      <c r="E3252" s="43">
        <f>C3252</f>
        <v>0</v>
      </c>
      <c r="F3252" s="42"/>
    </row>
    <row r="3253" spans="1:6">
      <c r="A3253" s="39">
        <f>A3252</f>
        <v>46048</v>
      </c>
      <c r="B3253" s="40"/>
      <c r="C3253" s="40"/>
      <c r="D3253" s="41"/>
      <c r="E3253" s="43">
        <f>C3253</f>
        <v>0</v>
      </c>
      <c r="F3253" s="42"/>
    </row>
    <row r="3254" spans="1:6">
      <c r="A3254" s="39">
        <f>A3253</f>
        <v>46048</v>
      </c>
      <c r="B3254" s="40"/>
      <c r="C3254" s="40"/>
      <c r="D3254" s="41"/>
      <c r="E3254" s="43">
        <f>C3254</f>
        <v>0</v>
      </c>
      <c r="F3254" s="42"/>
    </row>
    <row r="3255" spans="1:6">
      <c r="A3255" s="39">
        <f>A3254</f>
        <v>46048</v>
      </c>
      <c r="B3255" s="40"/>
      <c r="C3255" s="40"/>
      <c r="D3255" s="41"/>
      <c r="E3255" s="43">
        <f>C3255</f>
        <v>0</v>
      </c>
      <c r="F3255" s="42"/>
    </row>
    <row r="3256" spans="1:6">
      <c r="A3256" s="39">
        <f>A3255</f>
        <v>46048</v>
      </c>
      <c r="B3256" s="40"/>
      <c r="C3256" s="40"/>
      <c r="D3256" s="41"/>
      <c r="E3256" s="43">
        <f>C3256</f>
        <v>0</v>
      </c>
      <c r="F3256" s="42"/>
    </row>
    <row r="3257" spans="1:6">
      <c r="A3257" s="39">
        <f>A3256</f>
        <v>46048</v>
      </c>
      <c r="B3257" s="40"/>
      <c r="C3257" s="40"/>
      <c r="D3257" s="41"/>
      <c r="E3257" s="43">
        <f>C3257</f>
        <v>0</v>
      </c>
      <c r="F3257" s="42"/>
    </row>
    <row r="3258" spans="1:6">
      <c r="A3258" s="39">
        <f>A3257</f>
        <v>46048</v>
      </c>
      <c r="B3258" s="40"/>
      <c r="C3258" s="40"/>
      <c r="D3258" s="41"/>
      <c r="E3258" s="43">
        <f>C3258</f>
        <v>0</v>
      </c>
      <c r="F3258" s="42"/>
    </row>
    <row r="3259" spans="1:6">
      <c r="A3259" s="39">
        <f>A3258</f>
        <v>46048</v>
      </c>
      <c r="B3259" s="40"/>
      <c r="C3259" s="40"/>
      <c r="D3259" s="41"/>
      <c r="E3259" s="43">
        <f>C3259</f>
        <v>0</v>
      </c>
      <c r="F3259" s="42"/>
    </row>
    <row r="3260" spans="1:6">
      <c r="A3260" s="39">
        <f>A3259</f>
        <v>46048</v>
      </c>
      <c r="B3260" s="40"/>
      <c r="C3260" s="40"/>
      <c r="D3260" s="41"/>
      <c r="E3260" s="43">
        <f>C3260</f>
        <v>0</v>
      </c>
      <c r="F3260" s="42"/>
    </row>
    <row r="3261" spans="1:6">
      <c r="A3261" s="39">
        <f>A3260</f>
        <v>46048</v>
      </c>
      <c r="B3261" s="40"/>
      <c r="C3261" s="40"/>
      <c r="D3261" s="41"/>
      <c r="E3261" s="43">
        <f>C3261</f>
        <v>0</v>
      </c>
      <c r="F3261" s="42"/>
    </row>
    <row r="3262" spans="1:6">
      <c r="A3262" s="39">
        <f>A3261</f>
        <v>46048</v>
      </c>
      <c r="B3262" s="40"/>
      <c r="C3262" s="40"/>
      <c r="D3262" s="41"/>
      <c r="E3262" s="43">
        <f>C3262</f>
        <v>0</v>
      </c>
      <c r="F3262" s="42"/>
    </row>
    <row r="3263" spans="1:6">
      <c r="A3263" s="39">
        <f>A3262</f>
        <v>46048</v>
      </c>
      <c r="B3263" s="40"/>
      <c r="C3263" s="40"/>
      <c r="D3263" s="41"/>
      <c r="E3263" s="43">
        <f>C3263</f>
        <v>0</v>
      </c>
      <c r="F3263" s="42"/>
    </row>
    <row r="3264" spans="1:6">
      <c r="A3264" s="39">
        <f>A3263</f>
        <v>46048</v>
      </c>
      <c r="B3264" s="40"/>
      <c r="C3264" s="40"/>
      <c r="D3264" s="41"/>
      <c r="E3264" s="43">
        <f>C3264</f>
        <v>0</v>
      </c>
      <c r="F3264" s="42"/>
    </row>
    <row r="3265" spans="1:6">
      <c r="A3265" s="39">
        <f>A3264</f>
        <v>46048</v>
      </c>
      <c r="B3265" s="40"/>
      <c r="C3265" s="40"/>
      <c r="D3265" s="41"/>
      <c r="E3265" s="43">
        <f>C3265</f>
        <v>0</v>
      </c>
      <c r="F3265" s="42"/>
    </row>
    <row r="3266" spans="1:6">
      <c r="A3266" s="39">
        <f>A3265</f>
        <v>46048</v>
      </c>
      <c r="B3266" s="40"/>
      <c r="C3266" s="40"/>
      <c r="D3266" s="41"/>
      <c r="E3266" s="43">
        <f>C3266</f>
        <v>0</v>
      </c>
      <c r="F3266" s="42"/>
    </row>
    <row r="3267" spans="1:6">
      <c r="A3267" s="39">
        <f>A3266</f>
        <v>46048</v>
      </c>
      <c r="B3267" s="40"/>
      <c r="C3267" s="40"/>
      <c r="D3267" s="41"/>
      <c r="E3267" s="43">
        <f>C3267</f>
        <v>0</v>
      </c>
      <c r="F3267" s="42"/>
    </row>
    <row r="3268" spans="1:6">
      <c r="A3268" s="39">
        <f>A3267</f>
        <v>46048</v>
      </c>
      <c r="B3268" s="40"/>
      <c r="C3268" s="40"/>
      <c r="D3268" s="41"/>
      <c r="E3268" s="43">
        <f>C3268</f>
        <v>0</v>
      </c>
      <c r="F3268" s="42"/>
    </row>
    <row r="3269" spans="1:6">
      <c r="A3269" s="39">
        <f>A3268</f>
        <v>46048</v>
      </c>
      <c r="B3269" s="40"/>
      <c r="C3269" s="40"/>
      <c r="D3269" s="41"/>
      <c r="E3269" s="43">
        <f>C3269</f>
        <v>0</v>
      </c>
      <c r="F3269" s="42"/>
    </row>
    <row r="3270" spans="1:6">
      <c r="A3270" s="39">
        <f>A3269</f>
        <v>46048</v>
      </c>
      <c r="B3270" s="40"/>
      <c r="C3270" s="40"/>
      <c r="D3270" s="41"/>
      <c r="E3270" s="43">
        <f>C3270</f>
        <v>0</v>
      </c>
      <c r="F3270" s="42"/>
    </row>
    <row r="3271" spans="1:6">
      <c r="A3271" s="39">
        <f>A3270</f>
        <v>46048</v>
      </c>
      <c r="B3271" s="40"/>
      <c r="C3271" s="40"/>
      <c r="D3271" s="41"/>
      <c r="E3271" s="43">
        <f>C3271</f>
        <v>0</v>
      </c>
      <c r="F3271" s="42"/>
    </row>
    <row r="3272" spans="1:6">
      <c r="A3272" s="39">
        <f>A3271</f>
        <v>46048</v>
      </c>
      <c r="B3272" s="40"/>
      <c r="C3272" s="40"/>
      <c r="D3272" s="41"/>
      <c r="E3272" s="43">
        <f>C3272</f>
        <v>0</v>
      </c>
      <c r="F3272" s="42"/>
    </row>
    <row r="3273" spans="1:6">
      <c r="A3273" s="39">
        <f>A3272</f>
        <v>46048</v>
      </c>
      <c r="B3273" s="40"/>
      <c r="C3273" s="40"/>
      <c r="D3273" s="41"/>
      <c r="E3273" s="43">
        <f>C3273</f>
        <v>0</v>
      </c>
      <c r="F3273" s="42"/>
    </row>
    <row r="3274" spans="1:6">
      <c r="A3274" s="39">
        <f>A3273</f>
        <v>46048</v>
      </c>
      <c r="B3274" s="40"/>
      <c r="C3274" s="40"/>
      <c r="D3274" s="41"/>
      <c r="E3274" s="43">
        <f>C3274</f>
        <v>0</v>
      </c>
      <c r="F3274" s="42"/>
    </row>
    <row r="3275" spans="1:6">
      <c r="A3275" s="39">
        <f>A3274</f>
        <v>46048</v>
      </c>
      <c r="B3275" s="40"/>
      <c r="C3275" s="40"/>
      <c r="D3275" s="41"/>
      <c r="E3275" s="43">
        <f>C3275</f>
        <v>0</v>
      </c>
      <c r="F3275" s="42"/>
    </row>
    <row r="3276" spans="1:6">
      <c r="A3276" s="39">
        <f>A3275</f>
        <v>46048</v>
      </c>
      <c r="B3276" s="40"/>
      <c r="C3276" s="40"/>
      <c r="D3276" s="41"/>
      <c r="E3276" s="43">
        <f>C3276</f>
        <v>0</v>
      </c>
      <c r="F3276" s="42"/>
    </row>
    <row r="3277" spans="1:6">
      <c r="A3277" s="39">
        <f>A3276</f>
        <v>46048</v>
      </c>
      <c r="B3277" s="40"/>
      <c r="C3277" s="40"/>
      <c r="D3277" s="41"/>
      <c r="E3277" s="43">
        <f>C3277</f>
        <v>0</v>
      </c>
      <c r="F3277" s="42"/>
    </row>
    <row r="3278" spans="1:6">
      <c r="A3278" s="39">
        <f>A3277</f>
        <v>46048</v>
      </c>
      <c r="B3278" s="40"/>
      <c r="C3278" s="40"/>
      <c r="D3278" s="41"/>
      <c r="E3278" s="43">
        <f>C3278</f>
        <v>0</v>
      </c>
      <c r="F3278" s="42"/>
    </row>
    <row r="3279" spans="1:6">
      <c r="A3279" s="39">
        <f>A3278</f>
        <v>46048</v>
      </c>
      <c r="B3279" s="40"/>
      <c r="C3279" s="40"/>
      <c r="D3279" s="41"/>
      <c r="E3279" s="43">
        <f>C3279</f>
        <v>0</v>
      </c>
      <c r="F3279" s="42"/>
    </row>
    <row r="3280" spans="1:6">
      <c r="A3280" s="39">
        <f>A3279</f>
        <v>46048</v>
      </c>
      <c r="B3280" s="40"/>
      <c r="C3280" s="40"/>
      <c r="D3280" s="41"/>
      <c r="E3280" s="43">
        <f>C3280</f>
        <v>0</v>
      </c>
      <c r="F3280" s="42"/>
    </row>
    <row r="3281" spans="1:6">
      <c r="A3281" s="39">
        <f>A3280</f>
        <v>46048</v>
      </c>
      <c r="B3281" s="40"/>
      <c r="C3281" s="40"/>
      <c r="D3281" s="41"/>
      <c r="E3281" s="43">
        <f>C3281</f>
        <v>0</v>
      </c>
      <c r="F3281" s="42"/>
    </row>
    <row r="3282" spans="1:6">
      <c r="A3282" s="39">
        <f>A3281</f>
        <v>46048</v>
      </c>
      <c r="B3282" s="40"/>
      <c r="C3282" s="40"/>
      <c r="D3282" s="41"/>
      <c r="E3282" s="43">
        <f>C3282</f>
        <v>0</v>
      </c>
      <c r="F3282" s="42"/>
    </row>
    <row r="3283" spans="1:6">
      <c r="A3283" s="39">
        <f>A3282</f>
        <v>46048</v>
      </c>
      <c r="B3283" s="40"/>
      <c r="C3283" s="40"/>
      <c r="D3283" s="41"/>
      <c r="E3283" s="43">
        <f>C3283</f>
        <v>0</v>
      </c>
      <c r="F3283" s="42"/>
    </row>
    <row r="3284" spans="1:6">
      <c r="A3284" s="39">
        <f>A3283</f>
        <v>46048</v>
      </c>
      <c r="B3284" s="40"/>
      <c r="C3284" s="40"/>
      <c r="D3284" s="41"/>
      <c r="E3284" s="43">
        <f>C3284</f>
        <v>0</v>
      </c>
      <c r="F3284" s="42"/>
    </row>
    <row r="3285" spans="1:6">
      <c r="A3285" s="39">
        <f>A3284</f>
        <v>46048</v>
      </c>
      <c r="B3285" s="40"/>
      <c r="C3285" s="40"/>
      <c r="D3285" s="41"/>
      <c r="E3285" s="43">
        <f>C3285</f>
        <v>0</v>
      </c>
      <c r="F3285" s="42"/>
    </row>
    <row r="3286" spans="1:6">
      <c r="A3286" s="39">
        <f>A3285</f>
        <v>46048</v>
      </c>
      <c r="B3286" s="40"/>
      <c r="C3286" s="40"/>
      <c r="D3286" s="41"/>
      <c r="E3286" s="43">
        <f>C3286</f>
        <v>0</v>
      </c>
      <c r="F3286" s="42"/>
    </row>
    <row r="3287" spans="1:6">
      <c r="A3287" s="39">
        <f>A3286</f>
        <v>46048</v>
      </c>
      <c r="B3287" s="40"/>
      <c r="C3287" s="40"/>
      <c r="D3287" s="41"/>
      <c r="E3287" s="43">
        <f>C3287</f>
        <v>0</v>
      </c>
      <c r="F3287" s="42"/>
    </row>
    <row r="3288" spans="1:6">
      <c r="A3288" s="39">
        <f>A3287</f>
        <v>46048</v>
      </c>
      <c r="B3288" s="40"/>
      <c r="C3288" s="40"/>
      <c r="D3288" s="41"/>
      <c r="E3288" s="43">
        <f>C3288</f>
        <v>0</v>
      </c>
      <c r="F3288" s="42"/>
    </row>
    <row r="3289" spans="1:6">
      <c r="A3289" s="39">
        <f>A3288</f>
        <v>46048</v>
      </c>
      <c r="B3289" s="40"/>
      <c r="C3289" s="40"/>
      <c r="D3289" s="41"/>
      <c r="E3289" s="43">
        <f>C3289</f>
        <v>0</v>
      </c>
      <c r="F3289" s="42"/>
    </row>
    <row r="3290" spans="1:6">
      <c r="A3290" s="39">
        <f>A3289</f>
        <v>46048</v>
      </c>
      <c r="B3290" s="40"/>
      <c r="C3290" s="40"/>
      <c r="D3290" s="41"/>
      <c r="E3290" s="43">
        <f>C3290</f>
        <v>0</v>
      </c>
      <c r="F3290" s="42"/>
    </row>
    <row r="3291" spans="1:6">
      <c r="A3291" s="39">
        <f>A3290</f>
        <v>46048</v>
      </c>
      <c r="B3291" s="40"/>
      <c r="C3291" s="40"/>
      <c r="D3291" s="41"/>
      <c r="E3291" s="43">
        <f>C3291</f>
        <v>0</v>
      </c>
      <c r="F3291" s="42"/>
    </row>
    <row r="3292" spans="1:6">
      <c r="A3292" s="39">
        <f>A3291</f>
        <v>46048</v>
      </c>
      <c r="B3292" s="40"/>
      <c r="C3292" s="40"/>
      <c r="D3292" s="41"/>
      <c r="E3292" s="43">
        <f>C3292</f>
        <v>0</v>
      </c>
      <c r="F3292" s="42"/>
    </row>
    <row r="3293" spans="1:6">
      <c r="A3293" s="39">
        <f>A3292</f>
        <v>46048</v>
      </c>
      <c r="B3293" s="40"/>
      <c r="C3293" s="40"/>
      <c r="D3293" s="41"/>
      <c r="E3293" s="43">
        <f>C3293</f>
        <v>0</v>
      </c>
      <c r="F3293" s="42"/>
    </row>
    <row r="3294" spans="1:6">
      <c r="A3294" s="39">
        <f>A3293</f>
        <v>46048</v>
      </c>
      <c r="B3294" s="40"/>
      <c r="C3294" s="40"/>
      <c r="D3294" s="41"/>
      <c r="E3294" s="43">
        <f>C3294</f>
        <v>0</v>
      </c>
      <c r="F3294" s="42"/>
    </row>
    <row r="3295" spans="1:6">
      <c r="A3295" s="39">
        <f>A3294</f>
        <v>46048</v>
      </c>
      <c r="B3295" s="40"/>
      <c r="C3295" s="40"/>
      <c r="D3295" s="41"/>
      <c r="E3295" s="43">
        <f>C3295</f>
        <v>0</v>
      </c>
      <c r="F3295" s="42"/>
    </row>
    <row r="3296" spans="1:6">
      <c r="A3296" s="39">
        <f>A3295</f>
        <v>46048</v>
      </c>
      <c r="B3296" s="40"/>
      <c r="C3296" s="40"/>
      <c r="D3296" s="41"/>
      <c r="E3296" s="43">
        <f>C3296</f>
        <v>0</v>
      </c>
      <c r="F3296" s="42"/>
    </row>
    <row r="3297" spans="1:6">
      <c r="A3297" s="39">
        <f>A3296</f>
        <v>46048</v>
      </c>
      <c r="B3297" s="40"/>
      <c r="C3297" s="40"/>
      <c r="D3297" s="41"/>
      <c r="E3297" s="43">
        <f>C3297</f>
        <v>0</v>
      </c>
      <c r="F3297" s="42"/>
    </row>
    <row r="3298" spans="1:6">
      <c r="A3298" s="39">
        <f>A3297</f>
        <v>46048</v>
      </c>
      <c r="B3298" s="40"/>
      <c r="C3298" s="40"/>
      <c r="D3298" s="41"/>
      <c r="E3298" s="43">
        <f>C3298</f>
        <v>0</v>
      </c>
      <c r="F3298" s="42"/>
    </row>
    <row r="3299" spans="1:6">
      <c r="A3299" s="39">
        <f>A3298</f>
        <v>46048</v>
      </c>
      <c r="B3299" s="40"/>
      <c r="C3299" s="40"/>
      <c r="D3299" s="41"/>
      <c r="E3299" s="43">
        <f>C3299</f>
        <v>0</v>
      </c>
      <c r="F3299" s="42"/>
    </row>
    <row r="3300" spans="1:6">
      <c r="A3300" s="39">
        <f>A3299</f>
        <v>46048</v>
      </c>
      <c r="B3300" s="40"/>
      <c r="C3300" s="40"/>
      <c r="D3300" s="41"/>
      <c r="E3300" s="43">
        <f>C3300</f>
        <v>0</v>
      </c>
      <c r="F3300" s="42"/>
    </row>
    <row r="3301" spans="1:6">
      <c r="A3301" s="39">
        <f>A3300</f>
        <v>46048</v>
      </c>
      <c r="B3301" s="40"/>
      <c r="C3301" s="40"/>
      <c r="D3301" s="41"/>
      <c r="E3301" s="43">
        <f>C3301</f>
        <v>0</v>
      </c>
      <c r="F3301" s="42"/>
    </row>
    <row r="3302" spans="1:6">
      <c r="A3302" s="39">
        <f>A3301</f>
        <v>46048</v>
      </c>
      <c r="B3302" s="40"/>
      <c r="C3302" s="40"/>
      <c r="D3302" s="41"/>
      <c r="E3302" s="43">
        <f>C3302</f>
        <v>0</v>
      </c>
      <c r="F3302" s="42"/>
    </row>
    <row r="3303" spans="1:6">
      <c r="A3303" s="39">
        <f>A3302</f>
        <v>46048</v>
      </c>
      <c r="B3303" s="40"/>
      <c r="C3303" s="40"/>
      <c r="D3303" s="41"/>
      <c r="E3303" s="43">
        <f>C3303</f>
        <v>0</v>
      </c>
      <c r="F3303" s="42"/>
    </row>
    <row r="3304" spans="1:6">
      <c r="A3304" s="39">
        <f>A3303</f>
        <v>46048</v>
      </c>
      <c r="B3304" s="40"/>
      <c r="C3304" s="40"/>
      <c r="D3304" s="41"/>
      <c r="E3304" s="43">
        <f>C3304</f>
        <v>0</v>
      </c>
      <c r="F3304" s="42"/>
    </row>
    <row r="3305" spans="1:6">
      <c r="A3305" s="39">
        <f>A3304</f>
        <v>46048</v>
      </c>
      <c r="B3305" s="40"/>
      <c r="C3305" s="40"/>
      <c r="D3305" s="41"/>
      <c r="E3305" s="43">
        <f>C3305</f>
        <v>0</v>
      </c>
      <c r="F3305" s="42"/>
    </row>
    <row r="3306" spans="1:6">
      <c r="A3306" s="39">
        <f>A3305</f>
        <v>46048</v>
      </c>
      <c r="B3306" s="40"/>
      <c r="C3306" s="40"/>
      <c r="D3306" s="41"/>
      <c r="E3306" s="43">
        <f>C3306</f>
        <v>0</v>
      </c>
      <c r="F3306" s="42"/>
    </row>
    <row r="3307" spans="1:6">
      <c r="A3307" s="39">
        <f>A3306</f>
        <v>46048</v>
      </c>
      <c r="B3307" s="40"/>
      <c r="C3307" s="40"/>
      <c r="D3307" s="41"/>
      <c r="E3307" s="43">
        <f>C3307</f>
        <v>0</v>
      </c>
      <c r="F3307" s="42"/>
    </row>
    <row r="3308" spans="1:6">
      <c r="A3308" s="39">
        <f>A3307</f>
        <v>46048</v>
      </c>
      <c r="B3308" s="40"/>
      <c r="C3308" s="40"/>
      <c r="D3308" s="41"/>
      <c r="E3308" s="43">
        <f>C3308</f>
        <v>0</v>
      </c>
      <c r="F3308" s="42"/>
    </row>
    <row r="3309" spans="1:6">
      <c r="A3309" s="39">
        <f>A3308</f>
        <v>46048</v>
      </c>
      <c r="B3309" s="40"/>
      <c r="C3309" s="40"/>
      <c r="D3309" s="41"/>
      <c r="E3309" s="43">
        <f>C3309</f>
        <v>0</v>
      </c>
      <c r="F3309" s="42"/>
    </row>
    <row r="3310" spans="1:6">
      <c r="A3310" s="39">
        <f>A3309</f>
        <v>46048</v>
      </c>
      <c r="B3310" s="40"/>
      <c r="C3310" s="40"/>
      <c r="D3310" s="41"/>
      <c r="E3310" s="43">
        <f>C3310</f>
        <v>0</v>
      </c>
      <c r="F3310" s="42"/>
    </row>
    <row r="3311" spans="1:6">
      <c r="A3311" s="39">
        <f>A3310</f>
        <v>46048</v>
      </c>
      <c r="B3311" s="40"/>
      <c r="C3311" s="40"/>
      <c r="D3311" s="41"/>
      <c r="E3311" s="43">
        <f>C3311</f>
        <v>0</v>
      </c>
      <c r="F3311" s="42"/>
    </row>
    <row r="3312" spans="1:6">
      <c r="A3312" s="39">
        <f>A3311</f>
        <v>46048</v>
      </c>
      <c r="B3312" s="40"/>
      <c r="C3312" s="40"/>
      <c r="D3312" s="41"/>
      <c r="E3312" s="43">
        <f>C3312</f>
        <v>0</v>
      </c>
      <c r="F3312" s="42"/>
    </row>
    <row r="3313" spans="1:6">
      <c r="A3313" s="39">
        <f>A3312</f>
        <v>46048</v>
      </c>
      <c r="B3313" s="40"/>
      <c r="C3313" s="40"/>
      <c r="D3313" s="41"/>
      <c r="E3313" s="43">
        <f>C3313</f>
        <v>0</v>
      </c>
      <c r="F3313" s="42"/>
    </row>
    <row r="3314" spans="1:6">
      <c r="A3314" s="39">
        <f>A3313</f>
        <v>46048</v>
      </c>
      <c r="B3314" s="40"/>
      <c r="C3314" s="40"/>
      <c r="D3314" s="41"/>
      <c r="E3314" s="43">
        <f>C3314</f>
        <v>0</v>
      </c>
      <c r="F3314" s="42"/>
    </row>
    <row r="3315" spans="1:6">
      <c r="A3315" s="39">
        <f>A3314</f>
        <v>46048</v>
      </c>
      <c r="B3315" s="40"/>
      <c r="C3315" s="40"/>
      <c r="D3315" s="41"/>
      <c r="E3315" s="43">
        <f>C3315</f>
        <v>0</v>
      </c>
      <c r="F3315" s="42"/>
    </row>
    <row r="3316" spans="1:6">
      <c r="A3316" s="39">
        <f>A3315</f>
        <v>46048</v>
      </c>
      <c r="B3316" s="40"/>
      <c r="C3316" s="40"/>
      <c r="D3316" s="41"/>
      <c r="E3316" s="43">
        <f>C3316</f>
        <v>0</v>
      </c>
      <c r="F3316" s="42"/>
    </row>
    <row r="3317" spans="1:6">
      <c r="A3317" s="39">
        <f>A3316</f>
        <v>46048</v>
      </c>
      <c r="B3317" s="40"/>
      <c r="C3317" s="40"/>
      <c r="D3317" s="41"/>
      <c r="E3317" s="43">
        <f>C3317</f>
        <v>0</v>
      </c>
      <c r="F3317" s="42"/>
    </row>
    <row r="3318" spans="1:6">
      <c r="A3318" s="39">
        <f>A3317</f>
        <v>46048</v>
      </c>
      <c r="B3318" s="40"/>
      <c r="C3318" s="40"/>
      <c r="D3318" s="41"/>
      <c r="E3318" s="43">
        <f>C3318</f>
        <v>0</v>
      </c>
      <c r="F3318" s="42"/>
    </row>
    <row r="3319" spans="1:6">
      <c r="A3319" s="39">
        <f>A3318</f>
        <v>46048</v>
      </c>
      <c r="B3319" s="40"/>
      <c r="C3319" s="40"/>
      <c r="D3319" s="41"/>
      <c r="E3319" s="43">
        <f>C3319</f>
        <v>0</v>
      </c>
      <c r="F3319" s="42"/>
    </row>
    <row r="3320" spans="1:6">
      <c r="A3320" s="39">
        <f>A3319</f>
        <v>46048</v>
      </c>
      <c r="B3320" s="40"/>
      <c r="C3320" s="40"/>
      <c r="D3320" s="41"/>
      <c r="E3320" s="43">
        <f>C3320</f>
        <v>0</v>
      </c>
      <c r="F3320" s="42"/>
    </row>
    <row r="3321" spans="1:6">
      <c r="A3321" s="39">
        <f>A3320</f>
        <v>46048</v>
      </c>
      <c r="B3321" s="40"/>
      <c r="C3321" s="40"/>
      <c r="D3321" s="41"/>
      <c r="E3321" s="43">
        <f>C3321</f>
        <v>0</v>
      </c>
      <c r="F3321" s="42"/>
    </row>
    <row r="3322" spans="1:6">
      <c r="A3322" s="39">
        <f>A3321</f>
        <v>46048</v>
      </c>
      <c r="B3322" s="40"/>
      <c r="C3322" s="40"/>
      <c r="D3322" s="41"/>
      <c r="E3322" s="43">
        <f>C3322</f>
        <v>0</v>
      </c>
      <c r="F3322" s="42"/>
    </row>
    <row r="3323" spans="1:6">
      <c r="A3323" s="39">
        <f>A3322</f>
        <v>46048</v>
      </c>
      <c r="B3323" s="40"/>
      <c r="C3323" s="40"/>
      <c r="D3323" s="41"/>
      <c r="E3323" s="43">
        <f>C3323</f>
        <v>0</v>
      </c>
      <c r="F3323" s="42"/>
    </row>
    <row r="3324" spans="1:6">
      <c r="A3324" s="39">
        <f>A3323</f>
        <v>46048</v>
      </c>
      <c r="B3324" s="40"/>
      <c r="C3324" s="40"/>
      <c r="D3324" s="41"/>
      <c r="E3324" s="43">
        <f>C3324</f>
        <v>0</v>
      </c>
      <c r="F3324" s="42"/>
    </row>
    <row r="3325" spans="1:6">
      <c r="A3325" s="39">
        <f>A3324</f>
        <v>46048</v>
      </c>
      <c r="B3325" s="40"/>
      <c r="C3325" s="40"/>
      <c r="D3325" s="41"/>
      <c r="E3325" s="43">
        <f>C3325</f>
        <v>0</v>
      </c>
      <c r="F3325" s="42"/>
    </row>
    <row r="3326" spans="1:6">
      <c r="A3326" s="39">
        <f>A3325</f>
        <v>46048</v>
      </c>
      <c r="B3326" s="40"/>
      <c r="C3326" s="40"/>
      <c r="D3326" s="41"/>
      <c r="E3326" s="43">
        <f>C3326</f>
        <v>0</v>
      </c>
      <c r="F3326" s="42"/>
    </row>
    <row r="3327" spans="1:6">
      <c r="A3327" s="39">
        <f>A3326</f>
        <v>46048</v>
      </c>
      <c r="B3327" s="40"/>
      <c r="C3327" s="40"/>
      <c r="D3327" s="41"/>
      <c r="E3327" s="43">
        <f>C3327</f>
        <v>0</v>
      </c>
      <c r="F3327" s="42"/>
    </row>
    <row r="3328" spans="1:6">
      <c r="A3328" s="39">
        <f>A3327</f>
        <v>46048</v>
      </c>
      <c r="B3328" s="40"/>
      <c r="C3328" s="40"/>
      <c r="D3328" s="41"/>
      <c r="E3328" s="43">
        <f>C3328</f>
        <v>0</v>
      </c>
      <c r="F3328" s="42"/>
    </row>
    <row r="3329" spans="1:6">
      <c r="A3329" s="39">
        <f>A3328</f>
        <v>46048</v>
      </c>
      <c r="B3329" s="40"/>
      <c r="C3329" s="40"/>
      <c r="D3329" s="41"/>
      <c r="E3329" s="43">
        <f>C3329</f>
        <v>0</v>
      </c>
      <c r="F3329" s="42"/>
    </row>
    <row r="3330" spans="1:6">
      <c r="A3330" s="39">
        <f>A3329</f>
        <v>46048</v>
      </c>
      <c r="B3330" s="40"/>
      <c r="C3330" s="40"/>
      <c r="D3330" s="41"/>
      <c r="E3330" s="43">
        <f>C3330</f>
        <v>0</v>
      </c>
      <c r="F3330" s="42"/>
    </row>
    <row r="3331" spans="1:6">
      <c r="A3331" s="39">
        <f>A3330</f>
        <v>46048</v>
      </c>
      <c r="B3331" s="40"/>
      <c r="C3331" s="40"/>
      <c r="D3331" s="41"/>
      <c r="E3331" s="43">
        <f>C3331</f>
        <v>0</v>
      </c>
      <c r="F3331" s="42"/>
    </row>
    <row r="3332" spans="1:6">
      <c r="A3332" s="39">
        <f>A3331</f>
        <v>46048</v>
      </c>
      <c r="B3332" s="40"/>
      <c r="C3332" s="40"/>
      <c r="D3332" s="41"/>
      <c r="E3332" s="43">
        <f>C3332</f>
        <v>0</v>
      </c>
      <c r="F3332" s="42"/>
    </row>
    <row r="3333" spans="1:6">
      <c r="A3333" s="39">
        <f>A3332</f>
        <v>46048</v>
      </c>
      <c r="B3333" s="40"/>
      <c r="C3333" s="40"/>
      <c r="D3333" s="41"/>
      <c r="E3333" s="43">
        <f>C3333</f>
        <v>0</v>
      </c>
      <c r="F3333" s="42"/>
    </row>
    <row r="3334" spans="1:6">
      <c r="A3334" s="39">
        <f>A3333</f>
        <v>46048</v>
      </c>
      <c r="B3334" s="40"/>
      <c r="C3334" s="40"/>
      <c r="D3334" s="41"/>
      <c r="E3334" s="43">
        <f>C3334</f>
        <v>0</v>
      </c>
      <c r="F3334" s="42"/>
    </row>
    <row r="3335" spans="1:6">
      <c r="A3335" s="39">
        <f>A3334</f>
        <v>46048</v>
      </c>
      <c r="B3335" s="40"/>
      <c r="C3335" s="40"/>
      <c r="D3335" s="41"/>
      <c r="E3335" s="43">
        <f>C3335</f>
        <v>0</v>
      </c>
      <c r="F3335" s="42"/>
    </row>
    <row r="3336" spans="1:6">
      <c r="A3336" s="39">
        <f>A3335</f>
        <v>46048</v>
      </c>
      <c r="B3336" s="40"/>
      <c r="C3336" s="40"/>
      <c r="D3336" s="41"/>
      <c r="E3336" s="43">
        <f>C3336</f>
        <v>0</v>
      </c>
      <c r="F3336" s="42"/>
    </row>
    <row r="3337" spans="1:6">
      <c r="A3337" s="39">
        <f>A3336</f>
        <v>46048</v>
      </c>
      <c r="B3337" s="40"/>
      <c r="C3337" s="40"/>
      <c r="D3337" s="41"/>
      <c r="E3337" s="43">
        <f>C3337</f>
        <v>0</v>
      </c>
      <c r="F3337" s="42"/>
    </row>
    <row r="3338" spans="1:6">
      <c r="A3338" s="39">
        <f>A3337</f>
        <v>46048</v>
      </c>
      <c r="B3338" s="40"/>
      <c r="C3338" s="40"/>
      <c r="D3338" s="41"/>
      <c r="E3338" s="43">
        <f>C3338</f>
        <v>0</v>
      </c>
      <c r="F3338" s="42"/>
    </row>
    <row r="3339" spans="1:6">
      <c r="A3339" s="39">
        <f>A3338</f>
        <v>46048</v>
      </c>
      <c r="B3339" s="40"/>
      <c r="C3339" s="40"/>
      <c r="D3339" s="41"/>
      <c r="E3339" s="43">
        <f>C3339</f>
        <v>0</v>
      </c>
      <c r="F3339" s="42"/>
    </row>
    <row r="3340" spans="1:6">
      <c r="A3340" s="39">
        <f>A3339</f>
        <v>46048</v>
      </c>
      <c r="B3340" s="40"/>
      <c r="C3340" s="40"/>
      <c r="D3340" s="41"/>
      <c r="E3340" s="43">
        <f>C3340</f>
        <v>0</v>
      </c>
      <c r="F3340" s="42"/>
    </row>
    <row r="3341" spans="1:6">
      <c r="A3341" s="39">
        <f>A3340</f>
        <v>46048</v>
      </c>
      <c r="B3341" s="40"/>
      <c r="C3341" s="40"/>
      <c r="D3341" s="41"/>
      <c r="E3341" s="43">
        <f>C3341</f>
        <v>0</v>
      </c>
      <c r="F3341" s="42"/>
    </row>
    <row r="3342" spans="1:6">
      <c r="A3342" s="39">
        <f>A3341</f>
        <v>46048</v>
      </c>
      <c r="B3342" s="40"/>
      <c r="C3342" s="40"/>
      <c r="D3342" s="41"/>
      <c r="E3342" s="43">
        <f>C3342</f>
        <v>0</v>
      </c>
      <c r="F3342" s="42"/>
    </row>
    <row r="3343" spans="1:6">
      <c r="A3343" s="39">
        <f>A3342</f>
        <v>46048</v>
      </c>
      <c r="B3343" s="40"/>
      <c r="C3343" s="40"/>
      <c r="D3343" s="41"/>
      <c r="E3343" s="43">
        <f>C3343</f>
        <v>0</v>
      </c>
      <c r="F3343" s="42"/>
    </row>
    <row r="3344" spans="1:6">
      <c r="A3344" s="39">
        <f>A3343</f>
        <v>46048</v>
      </c>
      <c r="B3344" s="40"/>
      <c r="C3344" s="40"/>
      <c r="D3344" s="41"/>
      <c r="E3344" s="43">
        <f>C3344</f>
        <v>0</v>
      </c>
      <c r="F3344" s="42"/>
    </row>
    <row r="3345" spans="1:6">
      <c r="A3345" s="39">
        <f>A3344</f>
        <v>46048</v>
      </c>
      <c r="B3345" s="40"/>
      <c r="C3345" s="40"/>
      <c r="D3345" s="41"/>
      <c r="E3345" s="43">
        <f>C3345</f>
        <v>0</v>
      </c>
      <c r="F3345" s="42"/>
    </row>
    <row r="3346" spans="1:6">
      <c r="A3346" s="39">
        <f>A3345</f>
        <v>46048</v>
      </c>
      <c r="B3346" s="40"/>
      <c r="C3346" s="40"/>
      <c r="D3346" s="41"/>
      <c r="E3346" s="43">
        <f>C3346</f>
        <v>0</v>
      </c>
      <c r="F3346" s="42"/>
    </row>
    <row r="3347" spans="1:6">
      <c r="A3347" s="39">
        <f>A3346</f>
        <v>46048</v>
      </c>
      <c r="B3347" s="40"/>
      <c r="C3347" s="40"/>
      <c r="D3347" s="41"/>
      <c r="E3347" s="43">
        <f>C3347</f>
        <v>0</v>
      </c>
      <c r="F3347" s="42"/>
    </row>
    <row r="3348" spans="1:6">
      <c r="A3348" s="39">
        <f>A3347</f>
        <v>46048</v>
      </c>
      <c r="B3348" s="40"/>
      <c r="C3348" s="40"/>
      <c r="D3348" s="41"/>
      <c r="E3348" s="43">
        <f>C3348</f>
        <v>0</v>
      </c>
      <c r="F3348" s="42"/>
    </row>
    <row r="3349" spans="1:6">
      <c r="A3349" s="39">
        <f>A3348</f>
        <v>46048</v>
      </c>
      <c r="B3349" s="40"/>
      <c r="C3349" s="40"/>
      <c r="D3349" s="41"/>
      <c r="E3349" s="43">
        <f>C3349</f>
        <v>0</v>
      </c>
      <c r="F3349" s="42"/>
    </row>
    <row r="3350" spans="1:6">
      <c r="A3350" s="39">
        <f>A3349</f>
        <v>46048</v>
      </c>
      <c r="B3350" s="40"/>
      <c r="C3350" s="40"/>
      <c r="D3350" s="41"/>
      <c r="E3350" s="43">
        <f>C3350</f>
        <v>0</v>
      </c>
      <c r="F3350" s="42"/>
    </row>
    <row r="3351" spans="1:6">
      <c r="A3351" s="39">
        <f>A3350</f>
        <v>46048</v>
      </c>
      <c r="B3351" s="40"/>
      <c r="C3351" s="40"/>
      <c r="D3351" s="41"/>
      <c r="E3351" s="43">
        <f>C3351</f>
        <v>0</v>
      </c>
      <c r="F3351" s="42"/>
    </row>
    <row r="3352" spans="1:6">
      <c r="A3352" s="39">
        <f>A3351</f>
        <v>46048</v>
      </c>
      <c r="B3352" s="40"/>
      <c r="C3352" s="40"/>
      <c r="D3352" s="41"/>
      <c r="E3352" s="43">
        <f>C3352</f>
        <v>0</v>
      </c>
      <c r="F3352" s="42"/>
    </row>
    <row r="3353" spans="1:6">
      <c r="A3353" s="39">
        <f>A3352</f>
        <v>46048</v>
      </c>
      <c r="B3353" s="40"/>
      <c r="C3353" s="40"/>
      <c r="D3353" s="41"/>
      <c r="E3353" s="43">
        <f>C3353</f>
        <v>0</v>
      </c>
      <c r="F3353" s="42"/>
    </row>
    <row r="3354" spans="1:6">
      <c r="A3354" s="39">
        <f>A3353</f>
        <v>46048</v>
      </c>
      <c r="B3354" s="40"/>
      <c r="C3354" s="40"/>
      <c r="D3354" s="41"/>
      <c r="E3354" s="43">
        <f>C3354</f>
        <v>0</v>
      </c>
      <c r="F3354" s="42"/>
    </row>
    <row r="3355" spans="1:6">
      <c r="A3355" s="39">
        <f>A3354</f>
        <v>46048</v>
      </c>
      <c r="B3355" s="40"/>
      <c r="C3355" s="40"/>
      <c r="D3355" s="41"/>
      <c r="E3355" s="43">
        <f>C3355</f>
        <v>0</v>
      </c>
      <c r="F3355" s="42"/>
    </row>
    <row r="3356" spans="1:6">
      <c r="A3356" s="39">
        <f>A3355</f>
        <v>46048</v>
      </c>
      <c r="B3356" s="40"/>
      <c r="C3356" s="40"/>
      <c r="D3356" s="41"/>
      <c r="E3356" s="43">
        <f>C3356</f>
        <v>0</v>
      </c>
      <c r="F3356" s="42"/>
    </row>
    <row r="3357" spans="1:6">
      <c r="A3357" s="39">
        <f>A3356</f>
        <v>46048</v>
      </c>
      <c r="B3357" s="40"/>
      <c r="C3357" s="40"/>
      <c r="D3357" s="41"/>
      <c r="E3357" s="43">
        <f>C3357</f>
        <v>0</v>
      </c>
      <c r="F3357" s="42"/>
    </row>
    <row r="3358" spans="1:6">
      <c r="A3358" s="39">
        <f>A3357</f>
        <v>46048</v>
      </c>
      <c r="B3358" s="40"/>
      <c r="C3358" s="40"/>
      <c r="D3358" s="41"/>
      <c r="E3358" s="43">
        <f>C3358</f>
        <v>0</v>
      </c>
      <c r="F3358" s="42"/>
    </row>
    <row r="3359" spans="1:6">
      <c r="A3359" s="39">
        <f>A3358</f>
        <v>46048</v>
      </c>
      <c r="B3359" s="40"/>
      <c r="C3359" s="40"/>
      <c r="D3359" s="41"/>
      <c r="E3359" s="43">
        <f>C3359</f>
        <v>0</v>
      </c>
      <c r="F3359" s="42"/>
    </row>
    <row r="3360" spans="1:6">
      <c r="A3360" s="39">
        <f>A3359</f>
        <v>46048</v>
      </c>
      <c r="B3360" s="40"/>
      <c r="C3360" s="40"/>
      <c r="D3360" s="41"/>
      <c r="E3360" s="43">
        <f>C3360</f>
        <v>0</v>
      </c>
      <c r="F3360" s="42"/>
    </row>
    <row r="3361" spans="1:6">
      <c r="A3361" s="39">
        <f>A3360</f>
        <v>46048</v>
      </c>
      <c r="B3361" s="40"/>
      <c r="C3361" s="40"/>
      <c r="D3361" s="41"/>
      <c r="E3361" s="43">
        <f>C3361</f>
        <v>0</v>
      </c>
      <c r="F3361" s="42"/>
    </row>
    <row r="3362" spans="1:6">
      <c r="A3362" s="39">
        <f>A3361</f>
        <v>46048</v>
      </c>
      <c r="B3362" s="40"/>
      <c r="C3362" s="40"/>
      <c r="D3362" s="41"/>
      <c r="E3362" s="43">
        <f>C3362</f>
        <v>0</v>
      </c>
      <c r="F3362" s="42"/>
    </row>
    <row r="3363" spans="1:6">
      <c r="A3363" s="39">
        <f>A3362</f>
        <v>46048</v>
      </c>
      <c r="B3363" s="40"/>
      <c r="C3363" s="40"/>
      <c r="D3363" s="41"/>
      <c r="E3363" s="43">
        <f>C3363</f>
        <v>0</v>
      </c>
      <c r="F3363" s="42"/>
    </row>
    <row r="3364" spans="1:6">
      <c r="A3364" s="39">
        <f>A3363</f>
        <v>46048</v>
      </c>
      <c r="B3364" s="40"/>
      <c r="C3364" s="40"/>
      <c r="D3364" s="41"/>
      <c r="E3364" s="43">
        <f>C3364</f>
        <v>0</v>
      </c>
      <c r="F3364" s="42"/>
    </row>
    <row r="3365" spans="1:6">
      <c r="A3365" s="39">
        <f>A3364</f>
        <v>46048</v>
      </c>
      <c r="B3365" s="40"/>
      <c r="C3365" s="40"/>
      <c r="D3365" s="41"/>
      <c r="E3365" s="43">
        <f>C3365</f>
        <v>0</v>
      </c>
      <c r="F3365" s="42"/>
    </row>
    <row r="3366" spans="1:6">
      <c r="A3366" s="39">
        <f>A3365</f>
        <v>46048</v>
      </c>
      <c r="B3366" s="40"/>
      <c r="C3366" s="40"/>
      <c r="D3366" s="41"/>
      <c r="E3366" s="43">
        <f>C3366</f>
        <v>0</v>
      </c>
      <c r="F3366" s="42"/>
    </row>
    <row r="3367" spans="1:6">
      <c r="A3367" s="39">
        <f>A3366</f>
        <v>46048</v>
      </c>
      <c r="B3367" s="40"/>
      <c r="C3367" s="40"/>
      <c r="D3367" s="41"/>
      <c r="E3367" s="43">
        <f>C3367</f>
        <v>0</v>
      </c>
      <c r="F3367" s="42"/>
    </row>
    <row r="3368" spans="1:6">
      <c r="A3368" s="39">
        <f>A3367</f>
        <v>46048</v>
      </c>
      <c r="B3368" s="40"/>
      <c r="C3368" s="40"/>
      <c r="D3368" s="41"/>
      <c r="E3368" s="43">
        <f>C3368</f>
        <v>0</v>
      </c>
      <c r="F3368" s="42"/>
    </row>
    <row r="3369" spans="1:6">
      <c r="A3369" s="39">
        <f>A3368</f>
        <v>46048</v>
      </c>
      <c r="B3369" s="40"/>
      <c r="C3369" s="40"/>
      <c r="D3369" s="41"/>
      <c r="E3369" s="43">
        <f>C3369</f>
        <v>0</v>
      </c>
      <c r="F3369" s="42"/>
    </row>
    <row r="3370" spans="1:6">
      <c r="A3370" s="39">
        <f>A3369</f>
        <v>46048</v>
      </c>
      <c r="B3370" s="40"/>
      <c r="C3370" s="40"/>
      <c r="D3370" s="41"/>
      <c r="E3370" s="43">
        <f>C3370</f>
        <v>0</v>
      </c>
      <c r="F3370" s="42"/>
    </row>
    <row r="3371" spans="1:6">
      <c r="A3371" s="39">
        <f>A3370</f>
        <v>46048</v>
      </c>
      <c r="B3371" s="40"/>
      <c r="C3371" s="40"/>
      <c r="D3371" s="41"/>
      <c r="E3371" s="43">
        <f>C3371</f>
        <v>0</v>
      </c>
      <c r="F3371" s="42"/>
    </row>
    <row r="3372" spans="1:6">
      <c r="A3372" s="39">
        <f>A3371</f>
        <v>46048</v>
      </c>
      <c r="B3372" s="40"/>
      <c r="C3372" s="40"/>
      <c r="D3372" s="41"/>
      <c r="E3372" s="43">
        <f>C3372</f>
        <v>0</v>
      </c>
      <c r="F3372" s="42"/>
    </row>
    <row r="3373" spans="1:6">
      <c r="A3373" s="39">
        <f>A3372</f>
        <v>46048</v>
      </c>
      <c r="B3373" s="40"/>
      <c r="C3373" s="40"/>
      <c r="D3373" s="41"/>
      <c r="E3373" s="43">
        <f>C3373</f>
        <v>0</v>
      </c>
      <c r="F3373" s="42"/>
    </row>
    <row r="3374" spans="1:6">
      <c r="A3374" s="39">
        <f>A3373</f>
        <v>46048</v>
      </c>
      <c r="B3374" s="40"/>
      <c r="C3374" s="40"/>
      <c r="D3374" s="41"/>
      <c r="E3374" s="43">
        <f>C3374</f>
        <v>0</v>
      </c>
      <c r="F3374" s="42"/>
    </row>
    <row r="3375" spans="1:6">
      <c r="A3375" s="39">
        <f>A3374</f>
        <v>46048</v>
      </c>
      <c r="B3375" s="40"/>
      <c r="C3375" s="40"/>
      <c r="D3375" s="41"/>
      <c r="E3375" s="43">
        <f>C3375</f>
        <v>0</v>
      </c>
      <c r="F3375" s="42"/>
    </row>
    <row r="3376" spans="1:6">
      <c r="A3376" s="39">
        <f>A3375</f>
        <v>46048</v>
      </c>
      <c r="B3376" s="40"/>
      <c r="C3376" s="40"/>
      <c r="D3376" s="41"/>
      <c r="E3376" s="43">
        <f>C3376</f>
        <v>0</v>
      </c>
      <c r="F3376" s="42"/>
    </row>
    <row r="3377" spans="1:6">
      <c r="A3377" s="39">
        <f>A3376</f>
        <v>46048</v>
      </c>
      <c r="B3377" s="40"/>
      <c r="C3377" s="40"/>
      <c r="D3377" s="41"/>
      <c r="E3377" s="43">
        <f>C3377</f>
        <v>0</v>
      </c>
      <c r="F3377" s="42"/>
    </row>
    <row r="3378" spans="1:6">
      <c r="A3378" s="39">
        <f>A3377</f>
        <v>46048</v>
      </c>
      <c r="B3378" s="40"/>
      <c r="C3378" s="40"/>
      <c r="D3378" s="41"/>
      <c r="E3378" s="43">
        <f>C3378</f>
        <v>0</v>
      </c>
      <c r="F3378" s="42"/>
    </row>
    <row r="3379" spans="1:6">
      <c r="A3379" s="39">
        <f>A3378</f>
        <v>46048</v>
      </c>
      <c r="B3379" s="40"/>
      <c r="C3379" s="40"/>
      <c r="D3379" s="41"/>
      <c r="E3379" s="43">
        <f>C3379</f>
        <v>0</v>
      </c>
      <c r="F3379" s="42"/>
    </row>
    <row r="3380" spans="1:6">
      <c r="A3380" s="39">
        <f>A3379</f>
        <v>46048</v>
      </c>
      <c r="B3380" s="40"/>
      <c r="C3380" s="40"/>
      <c r="D3380" s="41"/>
      <c r="E3380" s="43">
        <f>C3380</f>
        <v>0</v>
      </c>
      <c r="F3380" s="42"/>
    </row>
    <row r="3381" spans="1:6">
      <c r="A3381" s="39">
        <f>A3380</f>
        <v>46048</v>
      </c>
      <c r="B3381" s="40"/>
      <c r="C3381" s="40"/>
      <c r="D3381" s="41"/>
      <c r="E3381" s="43">
        <f>C3381</f>
        <v>0</v>
      </c>
      <c r="F3381" s="42"/>
    </row>
    <row r="3382" spans="1:6">
      <c r="A3382" s="39">
        <f>A3381</f>
        <v>46048</v>
      </c>
      <c r="B3382" s="40"/>
      <c r="C3382" s="40"/>
      <c r="D3382" s="41"/>
      <c r="E3382" s="43">
        <f>C3382</f>
        <v>0</v>
      </c>
      <c r="F3382" s="42"/>
    </row>
    <row r="3383" spans="1:6">
      <c r="A3383" s="39">
        <f>A3382</f>
        <v>46048</v>
      </c>
      <c r="B3383" s="40"/>
      <c r="C3383" s="40"/>
      <c r="D3383" s="41"/>
      <c r="E3383" s="43">
        <f>C3383</f>
        <v>0</v>
      </c>
      <c r="F3383" s="42"/>
    </row>
    <row r="3384" spans="1:6">
      <c r="A3384" s="39">
        <f>A3383</f>
        <v>46048</v>
      </c>
      <c r="B3384" s="40"/>
      <c r="C3384" s="40"/>
      <c r="D3384" s="41"/>
      <c r="E3384" s="43">
        <f>C3384</f>
        <v>0</v>
      </c>
      <c r="F3384" s="42"/>
    </row>
    <row r="3385" spans="1:6">
      <c r="A3385" s="39">
        <f>A3384</f>
        <v>46048</v>
      </c>
      <c r="B3385" s="40"/>
      <c r="C3385" s="40"/>
      <c r="D3385" s="41"/>
      <c r="E3385" s="43">
        <f>C3385</f>
        <v>0</v>
      </c>
      <c r="F3385" s="42"/>
    </row>
    <row r="3386" spans="1:6">
      <c r="A3386" s="39">
        <f>A3385</f>
        <v>46048</v>
      </c>
      <c r="B3386" s="40"/>
      <c r="C3386" s="40"/>
      <c r="D3386" s="41"/>
      <c r="E3386" s="43">
        <f>C3386</f>
        <v>0</v>
      </c>
      <c r="F3386" s="42"/>
    </row>
    <row r="3387" spans="1:6">
      <c r="A3387" s="39">
        <f>A3386</f>
        <v>46048</v>
      </c>
      <c r="B3387" s="40"/>
      <c r="C3387" s="40"/>
      <c r="D3387" s="41"/>
      <c r="E3387" s="43">
        <f>C3387</f>
        <v>0</v>
      </c>
      <c r="F3387" s="42"/>
    </row>
    <row r="3388" spans="1:6">
      <c r="A3388" s="39">
        <f>A3387</f>
        <v>46048</v>
      </c>
      <c r="B3388" s="40"/>
      <c r="C3388" s="40"/>
      <c r="D3388" s="41"/>
      <c r="E3388" s="43">
        <f>C3388</f>
        <v>0</v>
      </c>
      <c r="F3388" s="42"/>
    </row>
    <row r="3389" spans="1:6">
      <c r="A3389" s="39">
        <f>A3388</f>
        <v>46048</v>
      </c>
      <c r="B3389" s="40"/>
      <c r="C3389" s="40"/>
      <c r="D3389" s="41"/>
      <c r="E3389" s="43">
        <f>C3389</f>
        <v>0</v>
      </c>
      <c r="F3389" s="42"/>
    </row>
    <row r="3390" spans="1:6">
      <c r="A3390" s="39">
        <f>A3389</f>
        <v>46048</v>
      </c>
      <c r="B3390" s="40"/>
      <c r="C3390" s="40"/>
      <c r="D3390" s="41"/>
      <c r="E3390" s="43">
        <f>C3390</f>
        <v>0</v>
      </c>
      <c r="F3390" s="42"/>
    </row>
    <row r="3391" spans="1:6">
      <c r="A3391" s="39">
        <f>A3390</f>
        <v>46048</v>
      </c>
      <c r="B3391" s="40"/>
      <c r="C3391" s="40"/>
      <c r="D3391" s="41"/>
      <c r="E3391" s="43">
        <f>C3391</f>
        <v>0</v>
      </c>
      <c r="F3391" s="42"/>
    </row>
    <row r="3392" spans="1:6">
      <c r="A3392" s="39">
        <f>A3391</f>
        <v>46048</v>
      </c>
      <c r="B3392" s="40"/>
      <c r="C3392" s="40"/>
      <c r="D3392" s="41"/>
      <c r="E3392" s="43">
        <f>C3392</f>
        <v>0</v>
      </c>
      <c r="F3392" s="42"/>
    </row>
    <row r="3393" spans="1:6">
      <c r="A3393" s="39">
        <f>A3392</f>
        <v>46048</v>
      </c>
      <c r="B3393" s="40"/>
      <c r="C3393" s="40"/>
      <c r="D3393" s="41"/>
      <c r="E3393" s="43">
        <f>C3393</f>
        <v>0</v>
      </c>
      <c r="F3393" s="42"/>
    </row>
    <row r="3394" spans="1:6">
      <c r="A3394" s="39">
        <f>A3393</f>
        <v>46048</v>
      </c>
      <c r="B3394" s="40"/>
      <c r="C3394" s="40"/>
      <c r="D3394" s="41"/>
      <c r="E3394" s="43">
        <f>C3394</f>
        <v>0</v>
      </c>
      <c r="F3394" s="42"/>
    </row>
    <row r="3395" spans="1:6">
      <c r="A3395" s="39">
        <f>A3394</f>
        <v>46048</v>
      </c>
      <c r="B3395" s="40"/>
      <c r="C3395" s="40"/>
      <c r="D3395" s="41"/>
      <c r="E3395" s="43">
        <f>C3395</f>
        <v>0</v>
      </c>
      <c r="F3395" s="42"/>
    </row>
    <row r="3396" spans="1:6">
      <c r="A3396" s="39">
        <f>A3395</f>
        <v>46048</v>
      </c>
      <c r="B3396" s="40"/>
      <c r="C3396" s="40"/>
      <c r="D3396" s="41"/>
      <c r="E3396" s="43">
        <f>C3396</f>
        <v>0</v>
      </c>
      <c r="F3396" s="42"/>
    </row>
    <row r="3397" spans="1:6">
      <c r="A3397" s="39">
        <f>A3396</f>
        <v>46048</v>
      </c>
      <c r="B3397" s="40"/>
      <c r="C3397" s="40"/>
      <c r="D3397" s="41"/>
      <c r="E3397" s="43">
        <f>C3397</f>
        <v>0</v>
      </c>
      <c r="F3397" s="42"/>
    </row>
    <row r="3398" spans="1:6">
      <c r="A3398" s="39">
        <f>A3397</f>
        <v>46048</v>
      </c>
      <c r="B3398" s="40"/>
      <c r="C3398" s="40"/>
      <c r="D3398" s="41"/>
      <c r="E3398" s="43">
        <f>C3398</f>
        <v>0</v>
      </c>
      <c r="F3398" s="42"/>
    </row>
    <row r="3399" spans="1:6">
      <c r="A3399" s="39">
        <f>A3398</f>
        <v>46048</v>
      </c>
      <c r="B3399" s="40"/>
      <c r="C3399" s="40"/>
      <c r="D3399" s="41"/>
      <c r="E3399" s="43">
        <f>C3399</f>
        <v>0</v>
      </c>
      <c r="F3399" s="42"/>
    </row>
    <row r="3400" spans="1:6">
      <c r="A3400" s="39">
        <f>A3399</f>
        <v>46048</v>
      </c>
      <c r="B3400" s="40"/>
      <c r="C3400" s="40"/>
      <c r="D3400" s="41"/>
      <c r="E3400" s="43">
        <f>C3400</f>
        <v>0</v>
      </c>
      <c r="F3400" s="42"/>
    </row>
    <row r="3401" spans="1:6">
      <c r="A3401" s="39">
        <f>A3400</f>
        <v>46048</v>
      </c>
      <c r="B3401" s="40"/>
      <c r="C3401" s="40"/>
      <c r="D3401" s="41"/>
      <c r="E3401" s="43">
        <f>C3401</f>
        <v>0</v>
      </c>
      <c r="F3401" s="42"/>
    </row>
    <row r="3402" spans="1:6">
      <c r="A3402" s="39">
        <f>A3401</f>
        <v>46048</v>
      </c>
      <c r="B3402" s="40"/>
      <c r="C3402" s="40"/>
      <c r="D3402" s="41"/>
      <c r="E3402" s="43">
        <f>C3402</f>
        <v>0</v>
      </c>
      <c r="F3402" s="42"/>
    </row>
    <row r="3403" spans="1:6">
      <c r="A3403" s="39">
        <f>A3402</f>
        <v>46048</v>
      </c>
      <c r="B3403" s="40"/>
      <c r="C3403" s="40"/>
      <c r="D3403" s="41"/>
      <c r="E3403" s="43">
        <f>C3403</f>
        <v>0</v>
      </c>
      <c r="F3403" s="42"/>
    </row>
    <row r="3404" spans="1:6">
      <c r="A3404" s="39">
        <f>A3403</f>
        <v>46048</v>
      </c>
      <c r="B3404" s="40"/>
      <c r="C3404" s="40"/>
      <c r="D3404" s="41"/>
      <c r="E3404" s="43">
        <f>C3404</f>
        <v>0</v>
      </c>
      <c r="F3404" s="42"/>
    </row>
    <row r="3405" spans="1:6">
      <c r="A3405" s="39">
        <f>A3404</f>
        <v>46048</v>
      </c>
      <c r="B3405" s="40"/>
      <c r="C3405" s="40"/>
      <c r="D3405" s="41"/>
      <c r="E3405" s="43">
        <f>C3405</f>
        <v>0</v>
      </c>
      <c r="F3405" s="42"/>
    </row>
    <row r="3406" spans="1:6">
      <c r="A3406" s="39">
        <f>A3405</f>
        <v>46048</v>
      </c>
      <c r="B3406" s="40"/>
      <c r="C3406" s="40"/>
      <c r="D3406" s="41"/>
      <c r="E3406" s="43">
        <f>C3406</f>
        <v>0</v>
      </c>
      <c r="F3406" s="42"/>
    </row>
    <row r="3407" spans="1:6">
      <c r="A3407" s="39">
        <f>A3406</f>
        <v>46048</v>
      </c>
      <c r="B3407" s="40"/>
      <c r="C3407" s="40"/>
      <c r="D3407" s="41"/>
      <c r="E3407" s="43">
        <f>C3407</f>
        <v>0</v>
      </c>
      <c r="F3407" s="42"/>
    </row>
    <row r="3408" spans="1:6">
      <c r="A3408" s="39">
        <f>A3407</f>
        <v>46048</v>
      </c>
      <c r="B3408" s="40"/>
      <c r="C3408" s="40"/>
      <c r="D3408" s="41"/>
      <c r="E3408" s="43">
        <f>C3408</f>
        <v>0</v>
      </c>
      <c r="F3408" s="42"/>
    </row>
    <row r="3409" spans="1:6">
      <c r="A3409" s="39">
        <f>A3408</f>
        <v>46048</v>
      </c>
      <c r="B3409" s="40"/>
      <c r="C3409" s="40"/>
      <c r="D3409" s="41"/>
      <c r="E3409" s="43">
        <f>C3409</f>
        <v>0</v>
      </c>
      <c r="F3409" s="42"/>
    </row>
    <row r="3410" spans="1:6">
      <c r="A3410" s="39">
        <f>A3409</f>
        <v>46048</v>
      </c>
      <c r="B3410" s="40"/>
      <c r="C3410" s="40"/>
      <c r="D3410" s="41"/>
      <c r="E3410" s="43">
        <f>C3410</f>
        <v>0</v>
      </c>
      <c r="F3410" s="42"/>
    </row>
    <row r="3411" spans="1:6">
      <c r="A3411" s="39">
        <f>A3410</f>
        <v>46048</v>
      </c>
      <c r="B3411" s="40"/>
      <c r="C3411" s="40"/>
      <c r="D3411" s="41"/>
      <c r="E3411" s="43">
        <f>C3411</f>
        <v>0</v>
      </c>
      <c r="F3411" s="42"/>
    </row>
    <row r="3412" spans="1:6">
      <c r="A3412" s="39">
        <f>A3411</f>
        <v>46048</v>
      </c>
      <c r="B3412" s="40"/>
      <c r="C3412" s="40"/>
      <c r="D3412" s="41"/>
      <c r="E3412" s="43">
        <f>C3412</f>
        <v>0</v>
      </c>
      <c r="F3412" s="42"/>
    </row>
    <row r="3413" spans="1:6">
      <c r="A3413" s="39">
        <f>A3412</f>
        <v>46048</v>
      </c>
      <c r="B3413" s="40"/>
      <c r="C3413" s="40"/>
      <c r="D3413" s="41"/>
      <c r="E3413" s="43">
        <f>C3413</f>
        <v>0</v>
      </c>
      <c r="F3413" s="42"/>
    </row>
    <row r="3414" spans="1:6">
      <c r="A3414" s="39">
        <f>A3413</f>
        <v>46048</v>
      </c>
      <c r="B3414" s="40"/>
      <c r="C3414" s="40"/>
      <c r="D3414" s="41"/>
      <c r="E3414" s="43">
        <f>C3414</f>
        <v>0</v>
      </c>
      <c r="F3414" s="42"/>
    </row>
    <row r="3415" spans="1:6">
      <c r="A3415" s="39">
        <f>A3414</f>
        <v>46048</v>
      </c>
      <c r="B3415" s="40"/>
      <c r="C3415" s="40"/>
      <c r="D3415" s="41"/>
      <c r="E3415" s="43">
        <f>C3415</f>
        <v>0</v>
      </c>
      <c r="F3415" s="42"/>
    </row>
    <row r="3416" spans="1:6">
      <c r="A3416" s="39">
        <f>A3415</f>
        <v>46048</v>
      </c>
      <c r="B3416" s="40"/>
      <c r="C3416" s="40"/>
      <c r="D3416" s="41"/>
      <c r="E3416" s="43">
        <f>C3416</f>
        <v>0</v>
      </c>
      <c r="F3416" s="42"/>
    </row>
    <row r="3417" spans="1:6">
      <c r="A3417" s="39">
        <f>A3416</f>
        <v>46048</v>
      </c>
      <c r="B3417" s="40"/>
      <c r="C3417" s="40"/>
      <c r="D3417" s="41"/>
      <c r="E3417" s="43">
        <f>C3417</f>
        <v>0</v>
      </c>
      <c r="F3417" s="42"/>
    </row>
    <row r="3418" spans="1:6">
      <c r="A3418" s="39">
        <f>A3417</f>
        <v>46048</v>
      </c>
      <c r="B3418" s="40"/>
      <c r="C3418" s="40"/>
      <c r="D3418" s="41"/>
      <c r="E3418" s="43">
        <f>C3418</f>
        <v>0</v>
      </c>
      <c r="F3418" s="42"/>
    </row>
    <row r="3419" spans="1:6">
      <c r="A3419" s="39">
        <f>A3418</f>
        <v>46048</v>
      </c>
      <c r="B3419" s="40"/>
      <c r="C3419" s="40"/>
      <c r="D3419" s="41"/>
      <c r="E3419" s="43">
        <f>C3419</f>
        <v>0</v>
      </c>
      <c r="F3419" s="42"/>
    </row>
    <row r="3420" spans="1:6">
      <c r="A3420" s="39">
        <f>A3419</f>
        <v>46048</v>
      </c>
      <c r="B3420" s="40"/>
      <c r="C3420" s="40"/>
      <c r="D3420" s="41"/>
      <c r="E3420" s="43">
        <f>C3420</f>
        <v>0</v>
      </c>
      <c r="F3420" s="42"/>
    </row>
    <row r="3421" spans="1:6">
      <c r="A3421" s="39">
        <f>A3420</f>
        <v>46048</v>
      </c>
      <c r="B3421" s="40"/>
      <c r="C3421" s="40"/>
      <c r="D3421" s="41"/>
      <c r="E3421" s="43">
        <f>C3421</f>
        <v>0</v>
      </c>
      <c r="F3421" s="42"/>
    </row>
    <row r="3422" spans="1:6">
      <c r="A3422" s="39">
        <f>A3421</f>
        <v>46048</v>
      </c>
      <c r="B3422" s="40"/>
      <c r="C3422" s="40"/>
      <c r="D3422" s="41"/>
      <c r="E3422" s="43">
        <f>C3422</f>
        <v>0</v>
      </c>
      <c r="F3422" s="42"/>
    </row>
    <row r="3423" spans="1:6">
      <c r="A3423" s="39">
        <f>A3422</f>
        <v>46048</v>
      </c>
      <c r="B3423" s="40"/>
      <c r="C3423" s="40"/>
      <c r="D3423" s="41"/>
      <c r="E3423" s="43">
        <f>C3423</f>
        <v>0</v>
      </c>
      <c r="F3423" s="42"/>
    </row>
    <row r="3424" spans="1:6">
      <c r="A3424" s="39">
        <f>A3423</f>
        <v>46048</v>
      </c>
      <c r="B3424" s="40"/>
      <c r="C3424" s="40"/>
      <c r="D3424" s="41"/>
      <c r="E3424" s="43">
        <f>C3424</f>
        <v>0</v>
      </c>
      <c r="F3424" s="42"/>
    </row>
    <row r="3425" spans="1:6">
      <c r="A3425" s="39">
        <f>A3424</f>
        <v>46048</v>
      </c>
      <c r="B3425" s="40"/>
      <c r="C3425" s="40"/>
      <c r="D3425" s="41"/>
      <c r="E3425" s="43">
        <f>C3425</f>
        <v>0</v>
      </c>
      <c r="F3425" s="42"/>
    </row>
    <row r="3426" spans="1:6">
      <c r="A3426" s="39">
        <f>A3425</f>
        <v>46048</v>
      </c>
      <c r="B3426" s="40"/>
      <c r="C3426" s="40"/>
      <c r="D3426" s="41"/>
      <c r="E3426" s="43">
        <f>C3426</f>
        <v>0</v>
      </c>
      <c r="F3426" s="42"/>
    </row>
    <row r="3427" spans="1:6">
      <c r="A3427" s="39">
        <f>A3426</f>
        <v>46048</v>
      </c>
      <c r="B3427" s="40"/>
      <c r="C3427" s="40"/>
      <c r="D3427" s="41"/>
      <c r="E3427" s="43">
        <f>C3427</f>
        <v>0</v>
      </c>
      <c r="F3427" s="42"/>
    </row>
    <row r="3428" spans="1:6">
      <c r="A3428" s="39">
        <f>A3427</f>
        <v>46048</v>
      </c>
      <c r="B3428" s="40"/>
      <c r="C3428" s="40"/>
      <c r="D3428" s="41"/>
      <c r="E3428" s="43">
        <f>C3428</f>
        <v>0</v>
      </c>
      <c r="F3428" s="42"/>
    </row>
    <row r="3429" spans="1:6">
      <c r="A3429" s="39">
        <f>A3428</f>
        <v>46048</v>
      </c>
      <c r="B3429" s="40"/>
      <c r="C3429" s="40"/>
      <c r="D3429" s="41"/>
      <c r="E3429" s="43">
        <f>C3429</f>
        <v>0</v>
      </c>
      <c r="F3429" s="42"/>
    </row>
    <row r="3430" spans="1:6">
      <c r="A3430" s="39">
        <f>A3429</f>
        <v>46048</v>
      </c>
      <c r="B3430" s="40"/>
      <c r="C3430" s="40"/>
      <c r="D3430" s="41"/>
      <c r="E3430" s="43">
        <f>C3430</f>
        <v>0</v>
      </c>
      <c r="F3430" s="42"/>
    </row>
    <row r="3431" spans="1:6">
      <c r="A3431" s="39">
        <f>A3430</f>
        <v>46048</v>
      </c>
      <c r="B3431" s="40"/>
      <c r="C3431" s="40"/>
      <c r="D3431" s="41"/>
      <c r="E3431" s="43">
        <f>C3431</f>
        <v>0</v>
      </c>
      <c r="F3431" s="42"/>
    </row>
    <row r="3432" spans="1:6">
      <c r="A3432" s="39">
        <f>A3431</f>
        <v>46048</v>
      </c>
      <c r="B3432" s="40"/>
      <c r="C3432" s="40"/>
      <c r="D3432" s="41"/>
      <c r="E3432" s="43">
        <f>C3432</f>
        <v>0</v>
      </c>
      <c r="F3432" s="42"/>
    </row>
    <row r="3433" spans="1:6">
      <c r="A3433" s="39">
        <f>A3432</f>
        <v>46048</v>
      </c>
      <c r="B3433" s="40"/>
      <c r="C3433" s="40"/>
      <c r="D3433" s="41"/>
      <c r="E3433" s="43">
        <f>C3433</f>
        <v>0</v>
      </c>
      <c r="F3433" s="42"/>
    </row>
    <row r="3434" spans="1:6">
      <c r="A3434" s="39">
        <f>A3433</f>
        <v>46048</v>
      </c>
      <c r="B3434" s="40"/>
      <c r="C3434" s="40"/>
      <c r="D3434" s="41"/>
      <c r="E3434" s="43">
        <f>C3434</f>
        <v>0</v>
      </c>
      <c r="F3434" s="42"/>
    </row>
    <row r="3435" spans="1:6">
      <c r="A3435" s="39">
        <f>A3434</f>
        <v>46048</v>
      </c>
      <c r="B3435" s="40"/>
      <c r="C3435" s="40"/>
      <c r="D3435" s="41"/>
      <c r="E3435" s="43">
        <f>C3435</f>
        <v>0</v>
      </c>
      <c r="F3435" s="42"/>
    </row>
    <row r="3436" spans="1:6">
      <c r="A3436" s="39">
        <f>A3435</f>
        <v>46048</v>
      </c>
      <c r="B3436" s="40"/>
      <c r="C3436" s="40"/>
      <c r="D3436" s="41"/>
      <c r="E3436" s="43">
        <f>C3436</f>
        <v>0</v>
      </c>
      <c r="F3436" s="42"/>
    </row>
    <row r="3437" spans="1:6">
      <c r="A3437" s="39">
        <f>A3436</f>
        <v>46048</v>
      </c>
      <c r="B3437" s="40"/>
      <c r="C3437" s="40"/>
      <c r="D3437" s="41"/>
      <c r="E3437" s="43">
        <f>C3437</f>
        <v>0</v>
      </c>
      <c r="F3437" s="42"/>
    </row>
    <row r="3438" spans="1:6">
      <c r="A3438" s="39">
        <f>A3437</f>
        <v>46048</v>
      </c>
      <c r="B3438" s="40"/>
      <c r="C3438" s="40"/>
      <c r="D3438" s="41"/>
      <c r="E3438" s="43">
        <f>C3438</f>
        <v>0</v>
      </c>
      <c r="F3438" s="42"/>
    </row>
    <row r="3439" spans="1:6">
      <c r="A3439" s="39">
        <f>A3438</f>
        <v>46048</v>
      </c>
      <c r="B3439" s="40"/>
      <c r="C3439" s="40"/>
      <c r="D3439" s="41"/>
      <c r="E3439" s="43">
        <f>C3439</f>
        <v>0</v>
      </c>
      <c r="F3439" s="42"/>
    </row>
    <row r="3440" spans="1:6">
      <c r="A3440" s="39">
        <f>A3439</f>
        <v>46048</v>
      </c>
      <c r="B3440" s="40"/>
      <c r="C3440" s="40"/>
      <c r="D3440" s="41"/>
      <c r="E3440" s="43">
        <f>C3440</f>
        <v>0</v>
      </c>
      <c r="F3440" s="42"/>
    </row>
    <row r="3441" spans="1:6">
      <c r="A3441" s="39">
        <f>A3440</f>
        <v>46048</v>
      </c>
      <c r="B3441" s="40"/>
      <c r="C3441" s="40"/>
      <c r="D3441" s="41"/>
      <c r="E3441" s="43">
        <f>C3441</f>
        <v>0</v>
      </c>
      <c r="F3441" s="42"/>
    </row>
    <row r="3442" spans="1:6">
      <c r="A3442" s="39">
        <f>A3441</f>
        <v>46048</v>
      </c>
      <c r="B3442" s="40"/>
      <c r="C3442" s="40"/>
      <c r="D3442" s="41"/>
      <c r="E3442" s="43">
        <f>C3442</f>
        <v>0</v>
      </c>
      <c r="F3442" s="42"/>
    </row>
    <row r="3443" spans="1:6">
      <c r="A3443" s="39">
        <f>A3442</f>
        <v>46048</v>
      </c>
      <c r="B3443" s="40"/>
      <c r="C3443" s="40"/>
      <c r="D3443" s="41"/>
      <c r="E3443" s="43">
        <f>C3443</f>
        <v>0</v>
      </c>
      <c r="F3443" s="42"/>
    </row>
    <row r="3444" spans="1:6">
      <c r="A3444" s="39">
        <f>A3443</f>
        <v>46048</v>
      </c>
      <c r="B3444" s="40"/>
      <c r="C3444" s="40"/>
      <c r="D3444" s="41"/>
      <c r="E3444" s="43">
        <f>C3444</f>
        <v>0</v>
      </c>
      <c r="F3444" s="42"/>
    </row>
    <row r="3445" spans="1:6">
      <c r="A3445" s="39">
        <f>A3444</f>
        <v>46048</v>
      </c>
      <c r="B3445" s="40"/>
      <c r="C3445" s="40"/>
      <c r="D3445" s="41"/>
      <c r="E3445" s="43">
        <f>C3445</f>
        <v>0</v>
      </c>
      <c r="F3445" s="42"/>
    </row>
    <row r="3446" spans="1:6">
      <c r="A3446" s="39">
        <f>A3445</f>
        <v>46048</v>
      </c>
      <c r="B3446" s="40"/>
      <c r="C3446" s="40"/>
      <c r="D3446" s="41"/>
      <c r="E3446" s="43">
        <f>C3446</f>
        <v>0</v>
      </c>
      <c r="F3446" s="42"/>
    </row>
    <row r="3447" spans="1:6">
      <c r="A3447" s="39">
        <f>A3446</f>
        <v>46048</v>
      </c>
      <c r="B3447" s="40"/>
      <c r="C3447" s="40"/>
      <c r="D3447" s="41"/>
      <c r="E3447" s="43">
        <f>C3447</f>
        <v>0</v>
      </c>
      <c r="F3447" s="42"/>
    </row>
    <row r="3448" spans="1:6">
      <c r="A3448" s="39">
        <f>A3447</f>
        <v>46048</v>
      </c>
      <c r="B3448" s="40"/>
      <c r="C3448" s="40"/>
      <c r="D3448" s="41"/>
      <c r="E3448" s="43">
        <f>C3448</f>
        <v>0</v>
      </c>
      <c r="F3448" s="42"/>
    </row>
    <row r="3449" spans="1:6">
      <c r="A3449" s="39">
        <f>A3448</f>
        <v>46048</v>
      </c>
      <c r="B3449" s="40"/>
      <c r="C3449" s="40"/>
      <c r="D3449" s="41"/>
      <c r="E3449" s="43">
        <f>C3449</f>
        <v>0</v>
      </c>
      <c r="F3449" s="42"/>
    </row>
    <row r="3450" spans="1:6">
      <c r="A3450" s="39">
        <f>A3449</f>
        <v>46048</v>
      </c>
      <c r="B3450" s="40"/>
      <c r="C3450" s="40"/>
      <c r="D3450" s="41"/>
      <c r="E3450" s="43">
        <f>C3450</f>
        <v>0</v>
      </c>
      <c r="F3450" s="42"/>
    </row>
    <row r="3451" spans="1:6">
      <c r="A3451" s="39">
        <f>A3450</f>
        <v>46048</v>
      </c>
      <c r="B3451" s="40"/>
      <c r="C3451" s="40"/>
      <c r="D3451" s="41"/>
      <c r="E3451" s="43">
        <f>C3451</f>
        <v>0</v>
      </c>
      <c r="F3451" s="42"/>
    </row>
    <row r="3452" spans="1:6">
      <c r="A3452" s="39">
        <f>A3451</f>
        <v>46048</v>
      </c>
      <c r="B3452" s="40"/>
      <c r="C3452" s="40"/>
      <c r="D3452" s="41"/>
      <c r="E3452" s="43">
        <f>C3452</f>
        <v>0</v>
      </c>
      <c r="F3452" s="42"/>
    </row>
    <row r="3453" spans="1:6">
      <c r="A3453" s="39">
        <f>A3452</f>
        <v>46048</v>
      </c>
      <c r="B3453" s="40"/>
      <c r="C3453" s="40"/>
      <c r="D3453" s="41"/>
      <c r="E3453" s="43">
        <f>C3453</f>
        <v>0</v>
      </c>
      <c r="F3453" s="42"/>
    </row>
    <row r="3454" spans="1:6">
      <c r="A3454" s="39">
        <f>A3453</f>
        <v>46048</v>
      </c>
      <c r="B3454" s="40"/>
      <c r="C3454" s="40"/>
      <c r="D3454" s="41"/>
      <c r="E3454" s="43">
        <f>C3454</f>
        <v>0</v>
      </c>
      <c r="F3454" s="42"/>
    </row>
    <row r="3455" spans="1:6">
      <c r="A3455" s="39">
        <f>A3454</f>
        <v>46048</v>
      </c>
      <c r="B3455" s="40"/>
      <c r="C3455" s="40"/>
      <c r="D3455" s="41"/>
      <c r="E3455" s="43">
        <f>C3455</f>
        <v>0</v>
      </c>
      <c r="F3455" s="42"/>
    </row>
    <row r="3456" spans="1:6">
      <c r="A3456" s="39">
        <f>A3455</f>
        <v>46048</v>
      </c>
      <c r="B3456" s="40"/>
      <c r="C3456" s="40"/>
      <c r="D3456" s="41"/>
      <c r="E3456" s="43">
        <f>C3456</f>
        <v>0</v>
      </c>
      <c r="F3456" s="42"/>
    </row>
    <row r="3457" spans="1:6">
      <c r="A3457" s="39">
        <f>A3456</f>
        <v>46048</v>
      </c>
      <c r="B3457" s="40"/>
      <c r="C3457" s="40"/>
      <c r="D3457" s="41"/>
      <c r="E3457" s="43">
        <f>C3457</f>
        <v>0</v>
      </c>
      <c r="F3457" s="42"/>
    </row>
    <row r="3458" spans="1:6">
      <c r="A3458" s="39">
        <f>A3457</f>
        <v>46048</v>
      </c>
      <c r="B3458" s="40"/>
      <c r="C3458" s="40"/>
      <c r="D3458" s="41"/>
      <c r="E3458" s="43">
        <f>C3458</f>
        <v>0</v>
      </c>
      <c r="F3458" s="42"/>
    </row>
    <row r="3459" spans="1:6">
      <c r="A3459" s="39">
        <f>A3458</f>
        <v>46048</v>
      </c>
      <c r="B3459" s="40"/>
      <c r="C3459" s="40"/>
      <c r="D3459" s="41"/>
      <c r="E3459" s="43">
        <f>C3459</f>
        <v>0</v>
      </c>
      <c r="F3459" s="42"/>
    </row>
    <row r="3460" spans="1:6">
      <c r="A3460" s="39">
        <f>A3459</f>
        <v>46048</v>
      </c>
      <c r="B3460" s="40"/>
      <c r="C3460" s="40"/>
      <c r="D3460" s="41"/>
      <c r="E3460" s="43">
        <f>C3460</f>
        <v>0</v>
      </c>
      <c r="F3460" s="42"/>
    </row>
    <row r="3461" spans="1:6">
      <c r="A3461" s="39">
        <f>A3460</f>
        <v>46048</v>
      </c>
      <c r="B3461" s="40"/>
      <c r="C3461" s="40"/>
      <c r="D3461" s="41"/>
      <c r="E3461" s="43">
        <f>C3461</f>
        <v>0</v>
      </c>
      <c r="F3461" s="42"/>
    </row>
    <row r="3462" spans="1:6">
      <c r="A3462" s="39">
        <f>A3461</f>
        <v>46048</v>
      </c>
      <c r="B3462" s="40"/>
      <c r="C3462" s="40"/>
      <c r="D3462" s="41"/>
      <c r="E3462" s="43">
        <f>C3462</f>
        <v>0</v>
      </c>
      <c r="F3462" s="42"/>
    </row>
    <row r="3463" spans="1:6">
      <c r="A3463" s="39">
        <f>A3462</f>
        <v>46048</v>
      </c>
      <c r="B3463" s="40"/>
      <c r="C3463" s="40"/>
      <c r="D3463" s="41"/>
      <c r="E3463" s="43">
        <f>C3463</f>
        <v>0</v>
      </c>
      <c r="F3463" s="42"/>
    </row>
    <row r="3464" spans="1:6">
      <c r="A3464" s="39">
        <f>A3463</f>
        <v>46048</v>
      </c>
      <c r="B3464" s="40"/>
      <c r="C3464" s="40"/>
      <c r="D3464" s="41"/>
      <c r="E3464" s="43">
        <f>C3464</f>
        <v>0</v>
      </c>
      <c r="F3464" s="42"/>
    </row>
    <row r="3465" spans="1:6">
      <c r="A3465" s="39">
        <f>A3464</f>
        <v>46048</v>
      </c>
      <c r="B3465" s="40"/>
      <c r="C3465" s="40"/>
      <c r="D3465" s="41"/>
      <c r="E3465" s="43">
        <f>C3465</f>
        <v>0</v>
      </c>
      <c r="F3465" s="42"/>
    </row>
    <row r="3466" spans="1:6">
      <c r="A3466" s="39">
        <f>A3465</f>
        <v>46048</v>
      </c>
      <c r="B3466" s="40"/>
      <c r="C3466" s="40"/>
      <c r="D3466" s="41"/>
      <c r="E3466" s="43">
        <f>C3466</f>
        <v>0</v>
      </c>
      <c r="F3466" s="42"/>
    </row>
    <row r="3467" spans="1:6">
      <c r="A3467" s="39">
        <f>A3466</f>
        <v>46048</v>
      </c>
      <c r="B3467" s="40"/>
      <c r="C3467" s="40"/>
      <c r="D3467" s="41"/>
      <c r="E3467" s="43">
        <f>C3467</f>
        <v>0</v>
      </c>
      <c r="F3467" s="42"/>
    </row>
    <row r="3468" spans="1:6">
      <c r="A3468" s="39">
        <f>A3467</f>
        <v>46048</v>
      </c>
      <c r="B3468" s="40"/>
      <c r="C3468" s="40"/>
      <c r="D3468" s="41"/>
      <c r="E3468" s="43">
        <f>C3468</f>
        <v>0</v>
      </c>
      <c r="F3468" s="42"/>
    </row>
    <row r="3469" spans="1:6">
      <c r="A3469" s="39">
        <f>A3468</f>
        <v>46048</v>
      </c>
      <c r="B3469" s="40"/>
      <c r="C3469" s="40"/>
      <c r="D3469" s="41"/>
      <c r="E3469" s="43">
        <f>C3469</f>
        <v>0</v>
      </c>
      <c r="F3469" s="42"/>
    </row>
    <row r="3470" spans="1:6">
      <c r="A3470" s="39">
        <f>A3469</f>
        <v>46048</v>
      </c>
      <c r="B3470" s="40"/>
      <c r="C3470" s="40"/>
      <c r="D3470" s="41"/>
      <c r="E3470" s="43">
        <f>C3470</f>
        <v>0</v>
      </c>
      <c r="F3470" s="42"/>
    </row>
    <row r="3471" spans="1:6">
      <c r="A3471" s="39">
        <f>A3470</f>
        <v>46048</v>
      </c>
      <c r="B3471" s="40"/>
      <c r="C3471" s="40"/>
      <c r="D3471" s="41"/>
      <c r="E3471" s="43">
        <f>C3471</f>
        <v>0</v>
      </c>
      <c r="F3471" s="42"/>
    </row>
    <row r="3472" spans="1:6">
      <c r="A3472" s="39">
        <f>A3471</f>
        <v>46048</v>
      </c>
      <c r="B3472" s="40"/>
      <c r="C3472" s="40"/>
      <c r="D3472" s="41"/>
      <c r="E3472" s="43">
        <f>C3472</f>
        <v>0</v>
      </c>
      <c r="F3472" s="42"/>
    </row>
    <row r="3473" spans="1:6">
      <c r="A3473" s="39">
        <f>A3472</f>
        <v>46048</v>
      </c>
      <c r="B3473" s="40"/>
      <c r="C3473" s="40"/>
      <c r="D3473" s="41"/>
      <c r="E3473" s="43">
        <f>C3473</f>
        <v>0</v>
      </c>
      <c r="F3473" s="42"/>
    </row>
    <row r="3474" spans="1:6">
      <c r="A3474" s="39">
        <f>A3473</f>
        <v>46048</v>
      </c>
      <c r="B3474" s="40"/>
      <c r="C3474" s="40"/>
      <c r="D3474" s="41"/>
      <c r="E3474" s="43">
        <f>C3474</f>
        <v>0</v>
      </c>
      <c r="F3474" s="42"/>
    </row>
    <row r="3475" spans="1:6">
      <c r="A3475" s="39">
        <f>A3474</f>
        <v>46048</v>
      </c>
      <c r="B3475" s="40"/>
      <c r="C3475" s="40"/>
      <c r="D3475" s="41"/>
      <c r="E3475" s="43">
        <f>C3475</f>
        <v>0</v>
      </c>
      <c r="F3475" s="42"/>
    </row>
    <row r="3476" spans="1:6">
      <c r="A3476" s="39">
        <f>A3475</f>
        <v>46048</v>
      </c>
      <c r="B3476" s="40"/>
      <c r="C3476" s="40"/>
      <c r="D3476" s="41"/>
      <c r="E3476" s="43">
        <f>C3476</f>
        <v>0</v>
      </c>
      <c r="F3476" s="42"/>
    </row>
    <row r="3477" spans="1:6">
      <c r="A3477" s="39">
        <f>A3476</f>
        <v>46048</v>
      </c>
      <c r="B3477" s="40"/>
      <c r="C3477" s="40"/>
      <c r="D3477" s="41"/>
      <c r="E3477" s="43">
        <f>C3477</f>
        <v>0</v>
      </c>
      <c r="F3477" s="42"/>
    </row>
    <row r="3478" spans="1:6">
      <c r="A3478" s="39">
        <f>A3477</f>
        <v>46048</v>
      </c>
      <c r="B3478" s="40"/>
      <c r="C3478" s="40"/>
      <c r="D3478" s="41"/>
      <c r="E3478" s="43">
        <f>C3478</f>
        <v>0</v>
      </c>
      <c r="F3478" s="42"/>
    </row>
    <row r="3479" spans="1:6">
      <c r="A3479" s="39">
        <f>A3478</f>
        <v>46048</v>
      </c>
      <c r="B3479" s="40"/>
      <c r="C3479" s="40"/>
      <c r="D3479" s="41"/>
      <c r="E3479" s="43">
        <f>C3479</f>
        <v>0</v>
      </c>
      <c r="F3479" s="42"/>
    </row>
    <row r="3480" spans="1:6">
      <c r="A3480" s="39">
        <f>A3479</f>
        <v>46048</v>
      </c>
      <c r="B3480" s="40"/>
      <c r="C3480" s="40"/>
      <c r="D3480" s="41"/>
      <c r="E3480" s="43">
        <f>C3480</f>
        <v>0</v>
      </c>
      <c r="F3480" s="42"/>
    </row>
    <row r="3481" spans="1:6">
      <c r="A3481" s="39">
        <f>A3480</f>
        <v>46048</v>
      </c>
      <c r="B3481" s="40"/>
      <c r="C3481" s="40"/>
      <c r="D3481" s="41"/>
      <c r="E3481" s="43">
        <f>C3481</f>
        <v>0</v>
      </c>
      <c r="F3481" s="42"/>
    </row>
    <row r="3482" spans="1:6">
      <c r="A3482" s="39">
        <f>A3481</f>
        <v>46048</v>
      </c>
      <c r="B3482" s="40"/>
      <c r="C3482" s="40"/>
      <c r="D3482" s="41"/>
      <c r="E3482" s="43">
        <f>C3482</f>
        <v>0</v>
      </c>
      <c r="F3482" s="42"/>
    </row>
    <row r="3483" spans="1:6">
      <c r="A3483" s="39">
        <f>A3482</f>
        <v>46048</v>
      </c>
      <c r="B3483" s="40"/>
      <c r="C3483" s="40"/>
      <c r="D3483" s="41"/>
      <c r="E3483" s="43">
        <f>C3483</f>
        <v>0</v>
      </c>
      <c r="F3483" s="42"/>
    </row>
    <row r="3484" spans="1:6">
      <c r="A3484" s="39">
        <f>A3483</f>
        <v>46048</v>
      </c>
      <c r="B3484" s="40"/>
      <c r="C3484" s="40"/>
      <c r="D3484" s="41"/>
      <c r="E3484" s="43">
        <f>C3484</f>
        <v>0</v>
      </c>
      <c r="F3484" s="42"/>
    </row>
    <row r="3485" spans="1:6">
      <c r="A3485" s="39">
        <f>A3484</f>
        <v>46048</v>
      </c>
      <c r="B3485" s="40"/>
      <c r="C3485" s="40"/>
      <c r="D3485" s="41"/>
      <c r="E3485" s="43">
        <f>C3485</f>
        <v>0</v>
      </c>
      <c r="F3485" s="42"/>
    </row>
    <row r="3486" spans="1:6">
      <c r="A3486" s="39">
        <f>A3485</f>
        <v>46048</v>
      </c>
      <c r="B3486" s="40"/>
      <c r="C3486" s="40"/>
      <c r="D3486" s="41"/>
      <c r="E3486" s="43">
        <f>C3486</f>
        <v>0</v>
      </c>
      <c r="F3486" s="42"/>
    </row>
    <row r="3487" spans="1:6">
      <c r="A3487" s="39">
        <f>A3486</f>
        <v>46048</v>
      </c>
      <c r="B3487" s="40"/>
      <c r="C3487" s="40"/>
      <c r="D3487" s="41"/>
      <c r="E3487" s="43">
        <f>C3487</f>
        <v>0</v>
      </c>
      <c r="F3487" s="42"/>
    </row>
    <row r="3488" spans="1:6">
      <c r="A3488" s="39">
        <f>A3487</f>
        <v>46048</v>
      </c>
      <c r="B3488" s="40"/>
      <c r="C3488" s="40"/>
      <c r="D3488" s="41"/>
      <c r="E3488" s="43">
        <f>C3488</f>
        <v>0</v>
      </c>
      <c r="F3488" s="42"/>
    </row>
    <row r="3489" spans="1:6">
      <c r="A3489" s="39">
        <f>A3488</f>
        <v>46048</v>
      </c>
      <c r="B3489" s="40"/>
      <c r="C3489" s="40"/>
      <c r="D3489" s="41"/>
      <c r="E3489" s="43">
        <f>C3489</f>
        <v>0</v>
      </c>
      <c r="F3489" s="42"/>
    </row>
    <row r="3490" spans="1:6">
      <c r="A3490" s="39">
        <f>A3489</f>
        <v>46048</v>
      </c>
      <c r="B3490" s="40"/>
      <c r="C3490" s="40"/>
      <c r="D3490" s="41"/>
      <c r="E3490" s="43">
        <f>C3490</f>
        <v>0</v>
      </c>
      <c r="F3490" s="42"/>
    </row>
    <row r="3491" spans="1:6">
      <c r="A3491" s="39">
        <f>A3490</f>
        <v>46048</v>
      </c>
      <c r="B3491" s="40"/>
      <c r="C3491" s="40"/>
      <c r="D3491" s="41"/>
      <c r="E3491" s="43">
        <f>C3491</f>
        <v>0</v>
      </c>
      <c r="F3491" s="42"/>
    </row>
    <row r="3492" spans="1:6">
      <c r="A3492" s="39">
        <f>A3491</f>
        <v>46048</v>
      </c>
      <c r="B3492" s="40"/>
      <c r="C3492" s="40"/>
      <c r="D3492" s="41"/>
      <c r="E3492" s="43">
        <f>C3492</f>
        <v>0</v>
      </c>
      <c r="F3492" s="42"/>
    </row>
    <row r="3493" spans="1:6">
      <c r="A3493" s="39">
        <f>A3492</f>
        <v>46048</v>
      </c>
      <c r="B3493" s="40"/>
      <c r="C3493" s="40"/>
      <c r="D3493" s="41"/>
      <c r="E3493" s="43">
        <f>C3493</f>
        <v>0</v>
      </c>
      <c r="F3493" s="42"/>
    </row>
    <row r="3494" spans="1:6">
      <c r="A3494" s="39">
        <f>A3493</f>
        <v>46048</v>
      </c>
      <c r="B3494" s="40"/>
      <c r="C3494" s="40"/>
      <c r="D3494" s="41"/>
      <c r="E3494" s="43">
        <f>C3494</f>
        <v>0</v>
      </c>
      <c r="F3494" s="42"/>
    </row>
    <row r="3495" spans="1:6">
      <c r="A3495" s="39">
        <f>A3494</f>
        <v>46048</v>
      </c>
      <c r="B3495" s="40"/>
      <c r="C3495" s="40"/>
      <c r="D3495" s="41"/>
      <c r="E3495" s="43">
        <f>C3495</f>
        <v>0</v>
      </c>
      <c r="F3495" s="42"/>
    </row>
    <row r="3496" spans="1:6">
      <c r="A3496" s="39">
        <f>A3495</f>
        <v>46048</v>
      </c>
      <c r="B3496" s="40"/>
      <c r="C3496" s="40"/>
      <c r="D3496" s="41"/>
      <c r="E3496" s="43">
        <f>C3496</f>
        <v>0</v>
      </c>
      <c r="F3496" s="42"/>
    </row>
    <row r="3497" spans="1:6">
      <c r="A3497" s="39">
        <f>A3496</f>
        <v>46048</v>
      </c>
      <c r="B3497" s="40"/>
      <c r="C3497" s="40"/>
      <c r="D3497" s="41"/>
      <c r="E3497" s="43">
        <f>C3497</f>
        <v>0</v>
      </c>
      <c r="F3497" s="42"/>
    </row>
    <row r="3498" spans="1:6">
      <c r="A3498" s="39">
        <f>A3497</f>
        <v>46048</v>
      </c>
      <c r="B3498" s="40"/>
      <c r="C3498" s="40"/>
      <c r="D3498" s="41"/>
      <c r="E3498" s="43">
        <f>C3498</f>
        <v>0</v>
      </c>
      <c r="F3498" s="42"/>
    </row>
    <row r="3499" spans="1:6">
      <c r="A3499" s="39">
        <f>A3498</f>
        <v>46048</v>
      </c>
      <c r="B3499" s="40"/>
      <c r="C3499" s="40"/>
      <c r="D3499" s="41"/>
      <c r="E3499" s="43">
        <f>C3499</f>
        <v>0</v>
      </c>
      <c r="F3499" s="42"/>
    </row>
    <row r="3500" spans="1:6">
      <c r="A3500" s="39">
        <f>A3499</f>
        <v>46048</v>
      </c>
      <c r="B3500" s="40"/>
      <c r="C3500" s="40"/>
      <c r="D3500" s="41"/>
      <c r="E3500" s="43">
        <f>C3500</f>
        <v>0</v>
      </c>
      <c r="F3500" s="42"/>
    </row>
    <row r="3501" spans="1:6">
      <c r="A3501" s="39">
        <f>A3500</f>
        <v>46048</v>
      </c>
      <c r="B3501" s="40"/>
      <c r="C3501" s="40"/>
      <c r="D3501" s="41"/>
      <c r="E3501" s="43">
        <f>C3501</f>
        <v>0</v>
      </c>
      <c r="F3501" s="42"/>
    </row>
    <row r="3502" spans="1:6">
      <c r="A3502" s="39">
        <f>A3501</f>
        <v>46048</v>
      </c>
      <c r="B3502" s="40"/>
      <c r="C3502" s="40"/>
      <c r="D3502" s="41"/>
      <c r="E3502" s="43">
        <f>C3502</f>
        <v>0</v>
      </c>
      <c r="F3502" s="42"/>
    </row>
    <row r="3503" spans="1:6">
      <c r="A3503" s="39">
        <f>A3502</f>
        <v>46048</v>
      </c>
      <c r="B3503" s="40"/>
      <c r="C3503" s="40"/>
      <c r="D3503" s="41"/>
      <c r="E3503" s="43">
        <f>C3503</f>
        <v>0</v>
      </c>
      <c r="F3503" s="42"/>
    </row>
    <row r="3504" spans="1:6">
      <c r="A3504" s="39">
        <f>A3503</f>
        <v>46048</v>
      </c>
      <c r="B3504" s="40"/>
      <c r="C3504" s="40"/>
      <c r="D3504" s="41"/>
      <c r="E3504" s="43">
        <f>C3504</f>
        <v>0</v>
      </c>
      <c r="F3504" s="42"/>
    </row>
    <row r="3505" spans="1:6">
      <c r="A3505" s="39">
        <f>A3504</f>
        <v>46048</v>
      </c>
      <c r="B3505" s="40"/>
      <c r="C3505" s="40"/>
      <c r="D3505" s="41"/>
      <c r="E3505" s="43">
        <f>C3505</f>
        <v>0</v>
      </c>
      <c r="F3505" s="42"/>
    </row>
    <row r="3506" spans="1:6">
      <c r="A3506" s="39">
        <f>A3505</f>
        <v>46048</v>
      </c>
      <c r="B3506" s="40"/>
      <c r="C3506" s="40"/>
      <c r="D3506" s="41"/>
      <c r="E3506" s="43">
        <f>C3506</f>
        <v>0</v>
      </c>
      <c r="F3506" s="42"/>
    </row>
    <row r="3507" spans="1:6">
      <c r="A3507" s="39">
        <f>A3506</f>
        <v>46048</v>
      </c>
      <c r="B3507" s="40"/>
      <c r="C3507" s="40"/>
      <c r="D3507" s="41"/>
      <c r="E3507" s="43">
        <f>C3507</f>
        <v>0</v>
      </c>
      <c r="F3507" s="42"/>
    </row>
    <row r="3508" spans="1:6">
      <c r="A3508" s="39">
        <f>A3507</f>
        <v>46048</v>
      </c>
      <c r="B3508" s="40"/>
      <c r="C3508" s="40"/>
      <c r="D3508" s="41"/>
      <c r="E3508" s="43">
        <f>C3508</f>
        <v>0</v>
      </c>
      <c r="F3508" s="42"/>
    </row>
    <row r="3509" spans="1:6">
      <c r="A3509" s="39">
        <f>A3508</f>
        <v>46048</v>
      </c>
      <c r="B3509" s="40"/>
      <c r="C3509" s="40"/>
      <c r="D3509" s="41"/>
      <c r="E3509" s="43">
        <f>C3509</f>
        <v>0</v>
      </c>
      <c r="F3509" s="42"/>
    </row>
    <row r="3510" spans="1:6">
      <c r="A3510" s="39">
        <f>A3509</f>
        <v>46048</v>
      </c>
      <c r="B3510" s="40"/>
      <c r="C3510" s="40"/>
      <c r="D3510" s="41"/>
      <c r="E3510" s="43">
        <f>C3510</f>
        <v>0</v>
      </c>
      <c r="F3510" s="42"/>
    </row>
    <row r="3511" spans="1:6">
      <c r="A3511" s="39">
        <f>A3510</f>
        <v>46048</v>
      </c>
      <c r="B3511" s="40"/>
      <c r="C3511" s="40"/>
      <c r="D3511" s="41"/>
      <c r="E3511" s="43">
        <f>C3511</f>
        <v>0</v>
      </c>
      <c r="F3511" s="42"/>
    </row>
    <row r="3512" spans="1:6">
      <c r="A3512" s="39">
        <f>A3511</f>
        <v>46048</v>
      </c>
      <c r="B3512" s="40"/>
      <c r="C3512" s="40"/>
      <c r="D3512" s="41"/>
      <c r="E3512" s="43">
        <f>C3512</f>
        <v>0</v>
      </c>
      <c r="F3512" s="42"/>
    </row>
    <row r="3513" spans="1:6">
      <c r="A3513" s="39">
        <f>A3512</f>
        <v>46048</v>
      </c>
      <c r="B3513" s="40"/>
      <c r="C3513" s="40"/>
      <c r="D3513" s="41"/>
      <c r="E3513" s="43">
        <f>C3513</f>
        <v>0</v>
      </c>
      <c r="F3513" s="42"/>
    </row>
    <row r="3514" spans="1:6">
      <c r="A3514" s="39">
        <f>A3513</f>
        <v>46048</v>
      </c>
      <c r="B3514" s="40"/>
      <c r="C3514" s="40"/>
      <c r="D3514" s="41"/>
      <c r="E3514" s="43">
        <f>C3514</f>
        <v>0</v>
      </c>
      <c r="F3514" s="42"/>
    </row>
    <row r="3515" spans="1:6">
      <c r="A3515" s="39">
        <f>A3514</f>
        <v>46048</v>
      </c>
      <c r="B3515" s="40"/>
      <c r="C3515" s="40"/>
      <c r="D3515" s="41"/>
      <c r="E3515" s="43">
        <f>C3515</f>
        <v>0</v>
      </c>
      <c r="F3515" s="42"/>
    </row>
    <row r="3516" spans="1:6">
      <c r="A3516" s="39">
        <f>A3515</f>
        <v>46048</v>
      </c>
      <c r="B3516" s="40"/>
      <c r="C3516" s="40"/>
      <c r="D3516" s="41"/>
      <c r="E3516" s="43">
        <f>C3516</f>
        <v>0</v>
      </c>
      <c r="F3516" s="42"/>
    </row>
    <row r="3517" spans="1:6">
      <c r="A3517" s="39">
        <f>A3516</f>
        <v>46048</v>
      </c>
      <c r="B3517" s="40"/>
      <c r="C3517" s="40"/>
      <c r="D3517" s="41"/>
      <c r="E3517" s="43">
        <f>C3517</f>
        <v>0</v>
      </c>
      <c r="F3517" s="42"/>
    </row>
    <row r="3518" spans="1:6">
      <c r="A3518" s="39">
        <f>A3517</f>
        <v>46048</v>
      </c>
      <c r="B3518" s="40"/>
      <c r="C3518" s="40"/>
      <c r="D3518" s="41"/>
      <c r="E3518" s="43">
        <f>C3518</f>
        <v>0</v>
      </c>
      <c r="F3518" s="42"/>
    </row>
    <row r="3519" spans="1:6">
      <c r="A3519" s="39">
        <f>A3518</f>
        <v>46048</v>
      </c>
      <c r="B3519" s="40"/>
      <c r="C3519" s="40"/>
      <c r="D3519" s="41"/>
      <c r="E3519" s="43">
        <f>C3519</f>
        <v>0</v>
      </c>
      <c r="F3519" s="42"/>
    </row>
    <row r="3520" spans="1:6">
      <c r="A3520" s="39">
        <f>A3519</f>
        <v>46048</v>
      </c>
      <c r="B3520" s="40"/>
      <c r="C3520" s="40"/>
      <c r="D3520" s="41"/>
      <c r="E3520" s="43">
        <f>C3520</f>
        <v>0</v>
      </c>
      <c r="F3520" s="42"/>
    </row>
    <row r="3521" spans="1:6">
      <c r="A3521" s="39">
        <f>A3520</f>
        <v>46048</v>
      </c>
      <c r="B3521" s="40"/>
      <c r="C3521" s="40"/>
      <c r="D3521" s="41"/>
      <c r="E3521" s="43">
        <f>C3521</f>
        <v>0</v>
      </c>
      <c r="F3521" s="42"/>
    </row>
    <row r="3522" spans="1:6">
      <c r="A3522" s="39">
        <f>A3521</f>
        <v>46048</v>
      </c>
      <c r="B3522" s="40"/>
      <c r="C3522" s="40"/>
      <c r="D3522" s="41"/>
      <c r="E3522" s="43">
        <f>C3522</f>
        <v>0</v>
      </c>
      <c r="F3522" s="42"/>
    </row>
    <row r="3523" spans="1:6">
      <c r="A3523" s="39">
        <f>A3522</f>
        <v>46048</v>
      </c>
      <c r="B3523" s="40"/>
      <c r="C3523" s="40"/>
      <c r="D3523" s="41"/>
      <c r="E3523" s="43">
        <f>C3523</f>
        <v>0</v>
      </c>
      <c r="F3523" s="42"/>
    </row>
    <row r="3524" spans="1:6">
      <c r="A3524" s="39">
        <f>A3523</f>
        <v>46048</v>
      </c>
      <c r="B3524" s="40"/>
      <c r="C3524" s="40"/>
      <c r="D3524" s="41"/>
      <c r="E3524" s="43">
        <f>C3524</f>
        <v>0</v>
      </c>
      <c r="F3524" s="42"/>
    </row>
    <row r="3525" spans="1:6">
      <c r="A3525" s="39">
        <f>A3524</f>
        <v>46048</v>
      </c>
      <c r="B3525" s="40"/>
      <c r="C3525" s="40"/>
      <c r="D3525" s="41"/>
      <c r="E3525" s="43">
        <f>C3525</f>
        <v>0</v>
      </c>
      <c r="F3525" s="42"/>
    </row>
    <row r="3526" spans="1:6">
      <c r="A3526" s="39">
        <f>A3525</f>
        <v>46048</v>
      </c>
      <c r="B3526" s="40"/>
      <c r="C3526" s="40"/>
      <c r="D3526" s="41"/>
      <c r="E3526" s="43">
        <f>C3526</f>
        <v>0</v>
      </c>
      <c r="F3526" s="42"/>
    </row>
    <row r="3527" spans="1:6">
      <c r="A3527" s="39">
        <f>A3526</f>
        <v>46048</v>
      </c>
      <c r="B3527" s="40"/>
      <c r="C3527" s="40"/>
      <c r="D3527" s="41"/>
      <c r="E3527" s="43">
        <f>C3527</f>
        <v>0</v>
      </c>
      <c r="F3527" s="42"/>
    </row>
    <row r="3528" spans="1:6">
      <c r="A3528" s="39">
        <f>A3527</f>
        <v>46048</v>
      </c>
      <c r="B3528" s="40"/>
      <c r="C3528" s="40"/>
      <c r="D3528" s="41"/>
      <c r="E3528" s="43">
        <f>C3528</f>
        <v>0</v>
      </c>
      <c r="F3528" s="42"/>
    </row>
    <row r="3529" spans="1:6">
      <c r="A3529" s="39">
        <f>A3528</f>
        <v>46048</v>
      </c>
      <c r="B3529" s="40"/>
      <c r="C3529" s="40"/>
      <c r="D3529" s="41"/>
      <c r="E3529" s="43">
        <f>C3529</f>
        <v>0</v>
      </c>
      <c r="F3529" s="42"/>
    </row>
    <row r="3530" spans="1:6">
      <c r="A3530" s="39">
        <f>A3529</f>
        <v>46048</v>
      </c>
      <c r="B3530" s="40"/>
      <c r="C3530" s="40"/>
      <c r="D3530" s="41"/>
      <c r="E3530" s="43">
        <f>C3530</f>
        <v>0</v>
      </c>
      <c r="F3530" s="42"/>
    </row>
    <row r="3531" spans="1:6">
      <c r="A3531" s="39">
        <f>A3530</f>
        <v>46048</v>
      </c>
      <c r="B3531" s="40"/>
      <c r="C3531" s="40"/>
      <c r="D3531" s="41"/>
      <c r="E3531" s="43">
        <f>C3531</f>
        <v>0</v>
      </c>
      <c r="F3531" s="42"/>
    </row>
    <row r="3532" spans="1:6">
      <c r="A3532" s="39">
        <f>A3531</f>
        <v>46048</v>
      </c>
      <c r="B3532" s="40"/>
      <c r="C3532" s="40"/>
      <c r="D3532" s="41"/>
      <c r="E3532" s="43">
        <f>C3532</f>
        <v>0</v>
      </c>
      <c r="F3532" s="42"/>
    </row>
    <row r="3533" spans="1:6">
      <c r="A3533" s="39">
        <f>A3532</f>
        <v>46048</v>
      </c>
      <c r="B3533" s="40"/>
      <c r="C3533" s="40"/>
      <c r="D3533" s="41"/>
      <c r="E3533" s="43">
        <f>C3533</f>
        <v>0</v>
      </c>
      <c r="F3533" s="42"/>
    </row>
    <row r="3534" spans="1:6">
      <c r="A3534" s="39">
        <f>A3533</f>
        <v>46048</v>
      </c>
      <c r="B3534" s="40"/>
      <c r="C3534" s="40"/>
      <c r="D3534" s="41"/>
      <c r="E3534" s="43">
        <f>C3534</f>
        <v>0</v>
      </c>
      <c r="F3534" s="42"/>
    </row>
    <row r="3535" spans="1:6">
      <c r="A3535" s="39">
        <f>A3534</f>
        <v>46048</v>
      </c>
      <c r="B3535" s="40"/>
      <c r="C3535" s="40"/>
      <c r="D3535" s="41"/>
      <c r="E3535" s="43">
        <f>C3535</f>
        <v>0</v>
      </c>
      <c r="F3535" s="42"/>
    </row>
    <row r="3536" spans="1:6">
      <c r="A3536" s="39">
        <f>A3535</f>
        <v>46048</v>
      </c>
      <c r="B3536" s="40"/>
      <c r="C3536" s="40"/>
      <c r="D3536" s="41"/>
      <c r="E3536" s="43">
        <f>C3536</f>
        <v>0</v>
      </c>
      <c r="F3536" s="42"/>
    </row>
    <row r="3537" spans="1:6">
      <c r="A3537" s="39">
        <f>A3536</f>
        <v>46048</v>
      </c>
      <c r="B3537" s="40"/>
      <c r="C3537" s="40"/>
      <c r="D3537" s="41"/>
      <c r="E3537" s="43">
        <f>C3537</f>
        <v>0</v>
      </c>
      <c r="F3537" s="42"/>
    </row>
    <row r="3538" spans="1:6">
      <c r="A3538" s="39">
        <f>A3537</f>
        <v>46048</v>
      </c>
      <c r="B3538" s="40"/>
      <c r="C3538" s="40"/>
      <c r="D3538" s="41"/>
      <c r="E3538" s="43">
        <f>C3538</f>
        <v>0</v>
      </c>
      <c r="F3538" s="42"/>
    </row>
    <row r="3539" spans="1:6">
      <c r="A3539" s="39">
        <f>A3538</f>
        <v>46048</v>
      </c>
      <c r="B3539" s="40"/>
      <c r="C3539" s="40"/>
      <c r="D3539" s="41"/>
      <c r="E3539" s="43">
        <f>C3539</f>
        <v>0</v>
      </c>
      <c r="F3539" s="42"/>
    </row>
    <row r="3540" spans="1:6">
      <c r="A3540" s="39">
        <f>A3539</f>
        <v>46048</v>
      </c>
      <c r="B3540" s="40"/>
      <c r="C3540" s="40"/>
      <c r="D3540" s="41"/>
      <c r="E3540" s="43">
        <f>C3540</f>
        <v>0</v>
      </c>
      <c r="F3540" s="42"/>
    </row>
    <row r="3541" spans="1:6">
      <c r="A3541" s="39">
        <f>A3540</f>
        <v>46048</v>
      </c>
      <c r="B3541" s="40"/>
      <c r="C3541" s="40"/>
      <c r="D3541" s="41"/>
      <c r="E3541" s="43">
        <f>C3541</f>
        <v>0</v>
      </c>
      <c r="F3541" s="42"/>
    </row>
    <row r="3542" spans="1:6">
      <c r="A3542" s="39">
        <f>A3541</f>
        <v>46048</v>
      </c>
      <c r="B3542" s="40"/>
      <c r="C3542" s="40"/>
      <c r="D3542" s="41"/>
      <c r="E3542" s="43">
        <f>C3542</f>
        <v>0</v>
      </c>
      <c r="F3542" s="42"/>
    </row>
    <row r="3543" spans="1:6">
      <c r="A3543" s="39">
        <f>A3542</f>
        <v>46048</v>
      </c>
      <c r="B3543" s="40"/>
      <c r="C3543" s="40"/>
      <c r="D3543" s="41"/>
      <c r="E3543" s="43">
        <f>C3543</f>
        <v>0</v>
      </c>
      <c r="F3543" s="42"/>
    </row>
    <row r="3544" spans="1:6">
      <c r="A3544" s="39">
        <f>A3543</f>
        <v>46048</v>
      </c>
      <c r="B3544" s="40"/>
      <c r="C3544" s="40"/>
      <c r="D3544" s="41"/>
      <c r="E3544" s="43">
        <f>C3544</f>
        <v>0</v>
      </c>
      <c r="F3544" s="42"/>
    </row>
    <row r="3545" spans="1:6">
      <c r="A3545" s="39">
        <f>A3544</f>
        <v>46048</v>
      </c>
      <c r="B3545" s="40"/>
      <c r="C3545" s="40"/>
      <c r="D3545" s="41"/>
      <c r="E3545" s="43">
        <f>C3545</f>
        <v>0</v>
      </c>
      <c r="F3545" s="42"/>
    </row>
    <row r="3546" spans="1:6">
      <c r="A3546" s="39">
        <f>A3545</f>
        <v>46048</v>
      </c>
      <c r="B3546" s="40"/>
      <c r="C3546" s="40"/>
      <c r="D3546" s="41"/>
      <c r="E3546" s="43">
        <f>C3546</f>
        <v>0</v>
      </c>
      <c r="F3546" s="42"/>
    </row>
    <row r="3547" spans="1:6">
      <c r="A3547" s="39">
        <f>A3546</f>
        <v>46048</v>
      </c>
      <c r="B3547" s="40"/>
      <c r="C3547" s="40"/>
      <c r="D3547" s="41"/>
      <c r="E3547" s="43">
        <f>C3547</f>
        <v>0</v>
      </c>
      <c r="F3547" s="42"/>
    </row>
    <row r="3548" spans="1:6">
      <c r="A3548" s="39">
        <f>A3547</f>
        <v>46048</v>
      </c>
      <c r="B3548" s="40"/>
      <c r="C3548" s="40"/>
      <c r="D3548" s="41"/>
      <c r="E3548" s="43">
        <f>C3548</f>
        <v>0</v>
      </c>
      <c r="F3548" s="42"/>
    </row>
    <row r="3549" spans="1:6">
      <c r="A3549" s="39">
        <f>A3548</f>
        <v>46048</v>
      </c>
      <c r="B3549" s="40"/>
      <c r="C3549" s="40"/>
      <c r="D3549" s="41"/>
      <c r="E3549" s="43">
        <f>C3549</f>
        <v>0</v>
      </c>
      <c r="F3549" s="42"/>
    </row>
    <row r="3550" spans="1:6">
      <c r="A3550" s="39">
        <f>A3549</f>
        <v>46048</v>
      </c>
      <c r="B3550" s="40"/>
      <c r="C3550" s="40"/>
      <c r="D3550" s="41"/>
      <c r="E3550" s="43">
        <f>C3550</f>
        <v>0</v>
      </c>
      <c r="F3550" s="42"/>
    </row>
    <row r="3551" spans="1:6">
      <c r="A3551" s="39">
        <f>A3550</f>
        <v>46048</v>
      </c>
      <c r="B3551" s="40"/>
      <c r="C3551" s="40"/>
      <c r="D3551" s="41"/>
      <c r="E3551" s="43">
        <f>C3551</f>
        <v>0</v>
      </c>
      <c r="F3551" s="42"/>
    </row>
    <row r="3552" spans="1:6">
      <c r="A3552" s="39">
        <f>A3551</f>
        <v>46048</v>
      </c>
      <c r="B3552" s="40"/>
      <c r="C3552" s="40"/>
      <c r="D3552" s="41"/>
      <c r="E3552" s="43">
        <f>C3552</f>
        <v>0</v>
      </c>
      <c r="F3552" s="42"/>
    </row>
    <row r="3553" spans="1:6">
      <c r="A3553" s="39">
        <f>A3552</f>
        <v>46048</v>
      </c>
      <c r="B3553" s="40"/>
      <c r="C3553" s="40"/>
      <c r="D3553" s="41"/>
      <c r="E3553" s="43">
        <f>C3553</f>
        <v>0</v>
      </c>
      <c r="F3553" s="42"/>
    </row>
    <row r="3554" spans="1:6">
      <c r="A3554" s="39">
        <f>A3553</f>
        <v>46048</v>
      </c>
      <c r="B3554" s="40"/>
      <c r="C3554" s="40"/>
      <c r="D3554" s="41"/>
      <c r="E3554" s="43">
        <f>C3554</f>
        <v>0</v>
      </c>
      <c r="F3554" s="42"/>
    </row>
    <row r="3555" spans="1:6">
      <c r="A3555" s="39">
        <f>A3554</f>
        <v>46048</v>
      </c>
      <c r="B3555" s="40"/>
      <c r="C3555" s="40"/>
      <c r="D3555" s="41"/>
      <c r="E3555" s="43">
        <f>C3555</f>
        <v>0</v>
      </c>
      <c r="F3555" s="42"/>
    </row>
    <row r="3556" spans="1:6">
      <c r="A3556" s="39">
        <f>A3555</f>
        <v>46048</v>
      </c>
      <c r="B3556" s="40"/>
      <c r="C3556" s="40"/>
      <c r="D3556" s="41"/>
      <c r="E3556" s="43">
        <f>C3556</f>
        <v>0</v>
      </c>
      <c r="F3556" s="42"/>
    </row>
    <row r="3557" spans="1:6">
      <c r="A3557" s="39">
        <f>A3556</f>
        <v>46048</v>
      </c>
      <c r="B3557" s="40"/>
      <c r="C3557" s="40"/>
      <c r="D3557" s="41"/>
      <c r="E3557" s="43">
        <f>C3557</f>
        <v>0</v>
      </c>
      <c r="F3557" s="42"/>
    </row>
    <row r="3558" spans="1:6">
      <c r="A3558" s="39">
        <f>A3557</f>
        <v>46048</v>
      </c>
      <c r="B3558" s="40"/>
      <c r="C3558" s="40"/>
      <c r="D3558" s="41"/>
      <c r="E3558" s="43">
        <f>C3558</f>
        <v>0</v>
      </c>
      <c r="F3558" s="42"/>
    </row>
    <row r="3559" spans="1:6">
      <c r="A3559" s="39">
        <f>A3558</f>
        <v>46048</v>
      </c>
      <c r="B3559" s="40"/>
      <c r="C3559" s="40"/>
      <c r="D3559" s="41"/>
      <c r="E3559" s="43">
        <f>C3559</f>
        <v>0</v>
      </c>
      <c r="F3559" s="42"/>
    </row>
    <row r="3560" spans="1:6">
      <c r="A3560" s="39">
        <f>A3559</f>
        <v>46048</v>
      </c>
      <c r="B3560" s="40"/>
      <c r="C3560" s="40"/>
      <c r="D3560" s="41"/>
      <c r="E3560" s="43">
        <f>C3560</f>
        <v>0</v>
      </c>
      <c r="F3560" s="42"/>
    </row>
    <row r="3561" spans="1:6">
      <c r="A3561" s="39">
        <f>A3560</f>
        <v>46048</v>
      </c>
      <c r="B3561" s="40"/>
      <c r="C3561" s="40"/>
      <c r="D3561" s="41"/>
      <c r="E3561" s="43">
        <f>C3561</f>
        <v>0</v>
      </c>
      <c r="F3561" s="42"/>
    </row>
    <row r="3562" spans="1:6">
      <c r="A3562" s="39">
        <f>A3561</f>
        <v>46048</v>
      </c>
      <c r="B3562" s="40"/>
      <c r="C3562" s="40"/>
      <c r="D3562" s="41"/>
      <c r="E3562" s="43">
        <f>C3562</f>
        <v>0</v>
      </c>
      <c r="F3562" s="42"/>
    </row>
    <row r="3563" spans="1:6">
      <c r="A3563" s="39">
        <f>A3562</f>
        <v>46048</v>
      </c>
      <c r="B3563" s="40"/>
      <c r="C3563" s="40"/>
      <c r="D3563" s="41"/>
      <c r="E3563" s="43">
        <f>C3563</f>
        <v>0</v>
      </c>
      <c r="F3563" s="42"/>
    </row>
    <row r="3564" spans="1:6">
      <c r="A3564" s="39">
        <f>A3563</f>
        <v>46048</v>
      </c>
      <c r="B3564" s="40"/>
      <c r="C3564" s="40"/>
      <c r="D3564" s="41"/>
      <c r="E3564" s="43">
        <f>C3564</f>
        <v>0</v>
      </c>
      <c r="F3564" s="42"/>
    </row>
    <row r="3565" spans="1:6">
      <c r="A3565" s="39">
        <f>A3564</f>
        <v>46048</v>
      </c>
      <c r="B3565" s="40"/>
      <c r="C3565" s="40"/>
      <c r="D3565" s="41"/>
      <c r="E3565" s="43">
        <f>C3565</f>
        <v>0</v>
      </c>
      <c r="F3565" s="42"/>
    </row>
    <row r="3566" spans="1:6">
      <c r="A3566" s="39">
        <f>A3565</f>
        <v>46048</v>
      </c>
      <c r="B3566" s="40"/>
      <c r="C3566" s="40"/>
      <c r="D3566" s="41"/>
      <c r="E3566" s="43">
        <f>C3566</f>
        <v>0</v>
      </c>
      <c r="F3566" s="42"/>
    </row>
    <row r="3567" spans="1:6">
      <c r="A3567" s="39">
        <f>A3566</f>
        <v>46048</v>
      </c>
      <c r="B3567" s="40"/>
      <c r="C3567" s="40"/>
      <c r="D3567" s="41"/>
      <c r="E3567" s="43">
        <f>C3567</f>
        <v>0</v>
      </c>
      <c r="F3567" s="42"/>
    </row>
    <row r="3568" spans="1:6">
      <c r="A3568" s="39">
        <f>A3567</f>
        <v>46048</v>
      </c>
      <c r="B3568" s="40"/>
      <c r="C3568" s="40"/>
      <c r="D3568" s="41"/>
      <c r="E3568" s="43">
        <f>C3568</f>
        <v>0</v>
      </c>
      <c r="F3568" s="42"/>
    </row>
    <row r="3569" spans="1:6">
      <c r="A3569" s="39">
        <f>A3568</f>
        <v>46048</v>
      </c>
      <c r="B3569" s="40"/>
      <c r="C3569" s="40"/>
      <c r="D3569" s="41"/>
      <c r="E3569" s="43">
        <f>C3569</f>
        <v>0</v>
      </c>
      <c r="F3569" s="42"/>
    </row>
    <row r="3570" spans="1:6">
      <c r="A3570" s="39">
        <f>A3569</f>
        <v>46048</v>
      </c>
      <c r="B3570" s="40"/>
      <c r="C3570" s="40"/>
      <c r="D3570" s="41"/>
      <c r="E3570" s="43">
        <f>C3570</f>
        <v>0</v>
      </c>
      <c r="F3570" s="42"/>
    </row>
    <row r="3571" spans="1:6">
      <c r="A3571" s="39">
        <f>A3570</f>
        <v>46048</v>
      </c>
      <c r="B3571" s="40"/>
      <c r="C3571" s="40"/>
      <c r="D3571" s="41"/>
      <c r="E3571" s="43">
        <f>C3571</f>
        <v>0</v>
      </c>
      <c r="F3571" s="42"/>
    </row>
    <row r="3572" spans="1:6">
      <c r="A3572" s="39">
        <f>A3571</f>
        <v>46048</v>
      </c>
      <c r="B3572" s="40"/>
      <c r="C3572" s="40"/>
      <c r="D3572" s="41"/>
      <c r="E3572" s="43">
        <f>C3572</f>
        <v>0</v>
      </c>
      <c r="F3572" s="42"/>
    </row>
    <row r="3573" spans="1:6">
      <c r="A3573" s="39">
        <f>A3572</f>
        <v>46048</v>
      </c>
      <c r="B3573" s="40"/>
      <c r="C3573" s="40"/>
      <c r="D3573" s="41"/>
      <c r="E3573" s="43">
        <f>C3573</f>
        <v>0</v>
      </c>
      <c r="F3573" s="42"/>
    </row>
    <row r="3574" spans="1:6">
      <c r="A3574" s="39">
        <f>A3573</f>
        <v>46048</v>
      </c>
      <c r="B3574" s="40"/>
      <c r="C3574" s="40"/>
      <c r="D3574" s="41"/>
      <c r="E3574" s="43">
        <f>C3574</f>
        <v>0</v>
      </c>
      <c r="F3574" s="42"/>
    </row>
    <row r="3575" spans="1:6">
      <c r="A3575" s="39">
        <f>A3574</f>
        <v>46048</v>
      </c>
      <c r="B3575" s="40"/>
      <c r="C3575" s="40"/>
      <c r="D3575" s="41"/>
      <c r="E3575" s="43">
        <f>C3575</f>
        <v>0</v>
      </c>
      <c r="F3575" s="42"/>
    </row>
    <row r="3576" spans="1:6">
      <c r="A3576" s="39">
        <f>A3575</f>
        <v>46048</v>
      </c>
      <c r="B3576" s="40"/>
      <c r="C3576" s="40"/>
      <c r="D3576" s="41"/>
      <c r="E3576" s="43">
        <f>C3576</f>
        <v>0</v>
      </c>
      <c r="F3576" s="42"/>
    </row>
    <row r="3577" spans="1:6">
      <c r="A3577" s="39">
        <f>A3576</f>
        <v>46048</v>
      </c>
      <c r="B3577" s="40"/>
      <c r="C3577" s="40"/>
      <c r="D3577" s="41"/>
      <c r="E3577" s="43">
        <f>C3577</f>
        <v>0</v>
      </c>
      <c r="F3577" s="42"/>
    </row>
    <row r="3578" spans="1:6">
      <c r="A3578" s="39">
        <f>A3577</f>
        <v>46048</v>
      </c>
      <c r="B3578" s="40"/>
      <c r="C3578" s="40"/>
      <c r="D3578" s="41"/>
      <c r="E3578" s="43">
        <f>C3578</f>
        <v>0</v>
      </c>
      <c r="F3578" s="42"/>
    </row>
    <row r="3579" spans="1:6">
      <c r="A3579" s="39">
        <f>A3578</f>
        <v>46048</v>
      </c>
      <c r="B3579" s="40"/>
      <c r="C3579" s="40"/>
      <c r="D3579" s="41"/>
      <c r="E3579" s="43">
        <f>C3579</f>
        <v>0</v>
      </c>
      <c r="F3579" s="42"/>
    </row>
    <row r="3580" spans="1:6">
      <c r="A3580" s="39">
        <f>A3579</f>
        <v>46048</v>
      </c>
      <c r="B3580" s="40"/>
      <c r="C3580" s="40"/>
      <c r="D3580" s="41"/>
      <c r="E3580" s="43">
        <f>C3580</f>
        <v>0</v>
      </c>
      <c r="F3580" s="42"/>
    </row>
    <row r="3581" spans="1:6">
      <c r="A3581" s="39">
        <f>A3580</f>
        <v>46048</v>
      </c>
      <c r="B3581" s="40"/>
      <c r="C3581" s="40"/>
      <c r="D3581" s="41"/>
      <c r="E3581" s="43">
        <f>C3581</f>
        <v>0</v>
      </c>
      <c r="F3581" s="42"/>
    </row>
    <row r="3582" spans="1:6">
      <c r="A3582" s="39">
        <f>A3581</f>
        <v>46048</v>
      </c>
      <c r="B3582" s="40"/>
      <c r="C3582" s="40"/>
      <c r="D3582" s="41"/>
      <c r="E3582" s="43">
        <f>C3582</f>
        <v>0</v>
      </c>
      <c r="F3582" s="42"/>
    </row>
    <row r="3583" spans="1:6">
      <c r="A3583" s="39">
        <f>A3582</f>
        <v>46048</v>
      </c>
      <c r="B3583" s="40"/>
      <c r="C3583" s="40"/>
      <c r="D3583" s="41"/>
      <c r="E3583" s="43">
        <f>C3583</f>
        <v>0</v>
      </c>
      <c r="F3583" s="42"/>
    </row>
    <row r="3584" spans="1:6">
      <c r="A3584" s="39">
        <f>A3583</f>
        <v>46048</v>
      </c>
      <c r="B3584" s="40"/>
      <c r="C3584" s="40"/>
      <c r="D3584" s="41"/>
      <c r="E3584" s="43">
        <f>C3584</f>
        <v>0</v>
      </c>
      <c r="F3584" s="42"/>
    </row>
    <row r="3585" spans="1:6">
      <c r="A3585" s="39">
        <f>A3584</f>
        <v>46048</v>
      </c>
      <c r="B3585" s="40"/>
      <c r="C3585" s="40"/>
      <c r="D3585" s="41"/>
      <c r="E3585" s="43">
        <f>C3585</f>
        <v>0</v>
      </c>
      <c r="F3585" s="42"/>
    </row>
    <row r="3586" spans="1:6">
      <c r="A3586" s="39">
        <f>A3585</f>
        <v>46048</v>
      </c>
      <c r="B3586" s="40"/>
      <c r="C3586" s="40"/>
      <c r="D3586" s="41"/>
      <c r="E3586" s="43">
        <f>C3586</f>
        <v>0</v>
      </c>
      <c r="F3586" s="42"/>
    </row>
    <row r="3587" spans="1:6">
      <c r="A3587" s="39">
        <f>A3586</f>
        <v>46048</v>
      </c>
      <c r="B3587" s="40"/>
      <c r="C3587" s="40"/>
      <c r="D3587" s="41"/>
      <c r="E3587" s="43">
        <f>C3587</f>
        <v>0</v>
      </c>
      <c r="F3587" s="42"/>
    </row>
    <row r="3588" spans="1:6">
      <c r="A3588" s="39">
        <f>A3587</f>
        <v>46048</v>
      </c>
      <c r="B3588" s="40"/>
      <c r="C3588" s="40"/>
      <c r="D3588" s="41"/>
      <c r="E3588" s="43">
        <f>C3588</f>
        <v>0</v>
      </c>
      <c r="F3588" s="42"/>
    </row>
    <row r="3589" spans="1:6">
      <c r="A3589" s="39">
        <f>A3588</f>
        <v>46048</v>
      </c>
      <c r="B3589" s="40"/>
      <c r="C3589" s="40"/>
      <c r="D3589" s="41"/>
      <c r="E3589" s="43">
        <f>C3589</f>
        <v>0</v>
      </c>
      <c r="F3589" s="42"/>
    </row>
    <row r="3590" spans="1:6">
      <c r="A3590" s="39">
        <f>A3589</f>
        <v>46048</v>
      </c>
      <c r="B3590" s="40"/>
      <c r="C3590" s="40"/>
      <c r="D3590" s="41"/>
      <c r="E3590" s="43">
        <f>C3590</f>
        <v>0</v>
      </c>
      <c r="F3590" s="42"/>
    </row>
    <row r="3591" spans="1:6">
      <c r="A3591" s="39">
        <f>A3590</f>
        <v>46048</v>
      </c>
      <c r="B3591" s="40"/>
      <c r="C3591" s="40"/>
      <c r="D3591" s="41"/>
      <c r="E3591" s="43">
        <f>C3591</f>
        <v>0</v>
      </c>
      <c r="F3591" s="42"/>
    </row>
    <row r="3592" spans="1:6">
      <c r="A3592" s="39">
        <f>A3591</f>
        <v>46048</v>
      </c>
      <c r="B3592" s="40"/>
      <c r="C3592" s="40"/>
      <c r="D3592" s="41"/>
      <c r="E3592" s="43">
        <f>C3592</f>
        <v>0</v>
      </c>
      <c r="F3592" s="42"/>
    </row>
    <row r="3593" spans="1:6">
      <c r="A3593" s="39">
        <f>A3592</f>
        <v>46048</v>
      </c>
      <c r="B3593" s="40"/>
      <c r="C3593" s="40"/>
      <c r="D3593" s="41"/>
      <c r="E3593" s="43">
        <f>C3593</f>
        <v>0</v>
      </c>
      <c r="F3593" s="42"/>
    </row>
    <row r="3594" spans="1:6">
      <c r="A3594" s="39">
        <f>A3593</f>
        <v>46048</v>
      </c>
      <c r="B3594" s="40"/>
      <c r="C3594" s="40"/>
      <c r="D3594" s="41"/>
      <c r="E3594" s="43">
        <f>C3594</f>
        <v>0</v>
      </c>
      <c r="F3594" s="42"/>
    </row>
    <row r="3595" spans="1:6">
      <c r="A3595" s="39">
        <f>A3594</f>
        <v>46048</v>
      </c>
      <c r="B3595" s="40"/>
      <c r="C3595" s="40"/>
      <c r="D3595" s="41"/>
      <c r="E3595" s="43">
        <f>C3595</f>
        <v>0</v>
      </c>
      <c r="F3595" s="42"/>
    </row>
    <row r="3596" spans="1:6">
      <c r="A3596" s="39">
        <f>A3595</f>
        <v>46048</v>
      </c>
      <c r="B3596" s="40"/>
      <c r="C3596" s="40"/>
      <c r="D3596" s="41"/>
      <c r="E3596" s="43">
        <f>C3596</f>
        <v>0</v>
      </c>
      <c r="F3596" s="42"/>
    </row>
    <row r="3597" spans="1:6">
      <c r="A3597" s="39">
        <f>A3596</f>
        <v>46048</v>
      </c>
      <c r="B3597" s="40"/>
      <c r="C3597" s="40"/>
      <c r="D3597" s="41"/>
      <c r="E3597" s="43">
        <f>C3597</f>
        <v>0</v>
      </c>
      <c r="F3597" s="42"/>
    </row>
    <row r="3598" spans="1:6">
      <c r="A3598" s="39">
        <f>A3597</f>
        <v>46048</v>
      </c>
      <c r="B3598" s="40"/>
      <c r="C3598" s="40"/>
      <c r="D3598" s="41"/>
      <c r="E3598" s="43">
        <f>C3598</f>
        <v>0</v>
      </c>
      <c r="F3598" s="42"/>
    </row>
    <row r="3599" spans="1:6">
      <c r="A3599" s="39">
        <f>A3598</f>
        <v>46048</v>
      </c>
      <c r="B3599" s="40"/>
      <c r="C3599" s="40"/>
      <c r="D3599" s="41"/>
      <c r="E3599" s="43">
        <f>C3599</f>
        <v>0</v>
      </c>
      <c r="F3599" s="42"/>
    </row>
    <row r="3600" spans="1:6">
      <c r="A3600" s="39">
        <f>A3599</f>
        <v>46048</v>
      </c>
      <c r="B3600" s="40"/>
      <c r="C3600" s="40"/>
      <c r="D3600" s="41"/>
      <c r="E3600" s="43">
        <f>C3600</f>
        <v>0</v>
      </c>
      <c r="F3600" s="42"/>
    </row>
    <row r="3601" spans="1:6">
      <c r="A3601" s="39">
        <f>A3600</f>
        <v>46048</v>
      </c>
      <c r="B3601" s="40"/>
      <c r="C3601" s="40"/>
      <c r="D3601" s="41"/>
      <c r="E3601" s="43">
        <f>C3601</f>
        <v>0</v>
      </c>
      <c r="F3601" s="42"/>
    </row>
    <row r="3602" spans="1:6">
      <c r="A3602" s="39">
        <f>A3601</f>
        <v>46048</v>
      </c>
      <c r="B3602" s="40"/>
      <c r="C3602" s="40"/>
      <c r="D3602" s="41"/>
      <c r="E3602" s="43">
        <f>C3602</f>
        <v>0</v>
      </c>
      <c r="F3602" s="42"/>
    </row>
    <row r="3603" spans="1:6">
      <c r="A3603" s="39">
        <f>A3602</f>
        <v>46048</v>
      </c>
      <c r="B3603" s="40"/>
      <c r="C3603" s="40"/>
      <c r="D3603" s="41"/>
      <c r="E3603" s="43">
        <f>C3603</f>
        <v>0</v>
      </c>
      <c r="F3603" s="42"/>
    </row>
    <row r="3604" spans="1:6">
      <c r="A3604" s="39">
        <f>A3603</f>
        <v>46048</v>
      </c>
      <c r="B3604" s="40"/>
      <c r="C3604" s="40"/>
      <c r="D3604" s="41"/>
      <c r="E3604" s="43">
        <f>C3604</f>
        <v>0</v>
      </c>
      <c r="F3604" s="42"/>
    </row>
    <row r="3605" spans="1:6">
      <c r="A3605" s="39">
        <f>A3604</f>
        <v>46048</v>
      </c>
      <c r="B3605" s="40"/>
      <c r="C3605" s="40"/>
      <c r="D3605" s="41"/>
      <c r="E3605" s="43">
        <f>C3605</f>
        <v>0</v>
      </c>
      <c r="F3605" s="42"/>
    </row>
    <row r="3606" spans="1:6">
      <c r="A3606" s="39">
        <f>A3605</f>
        <v>46048</v>
      </c>
      <c r="B3606" s="40"/>
      <c r="C3606" s="40"/>
      <c r="D3606" s="41"/>
      <c r="E3606" s="43">
        <f>C3606</f>
        <v>0</v>
      </c>
      <c r="F3606" s="42"/>
    </row>
    <row r="3607" spans="1:6">
      <c r="A3607" s="39">
        <f>A3606</f>
        <v>46048</v>
      </c>
      <c r="B3607" s="40"/>
      <c r="C3607" s="40"/>
      <c r="D3607" s="41"/>
      <c r="E3607" s="43">
        <f>C3607</f>
        <v>0</v>
      </c>
      <c r="F3607" s="42"/>
    </row>
    <row r="3608" spans="1:6">
      <c r="A3608" s="39">
        <f>A3607</f>
        <v>46048</v>
      </c>
      <c r="B3608" s="40"/>
      <c r="C3608" s="40"/>
      <c r="D3608" s="41"/>
      <c r="E3608" s="43">
        <f>C3608</f>
        <v>0</v>
      </c>
      <c r="F3608" s="42"/>
    </row>
    <row r="3609" spans="1:6">
      <c r="A3609" s="39">
        <f>A3608</f>
        <v>46048</v>
      </c>
      <c r="B3609" s="40"/>
      <c r="C3609" s="40"/>
      <c r="D3609" s="41"/>
      <c r="E3609" s="43">
        <f>C3609</f>
        <v>0</v>
      </c>
      <c r="F3609" s="42"/>
    </row>
    <row r="3610" spans="1:6">
      <c r="A3610" s="39">
        <f>A3609</f>
        <v>46048</v>
      </c>
      <c r="B3610" s="40"/>
      <c r="C3610" s="40"/>
      <c r="D3610" s="41"/>
      <c r="E3610" s="43">
        <f>C3610</f>
        <v>0</v>
      </c>
      <c r="F3610" s="42"/>
    </row>
    <row r="3611" spans="1:6">
      <c r="A3611" s="39">
        <f>A3610</f>
        <v>46048</v>
      </c>
      <c r="B3611" s="40"/>
      <c r="C3611" s="40"/>
      <c r="D3611" s="41"/>
      <c r="E3611" s="43">
        <f>C3611</f>
        <v>0</v>
      </c>
      <c r="F3611" s="42"/>
    </row>
    <row r="3612" spans="1:6">
      <c r="A3612" s="39">
        <f>A3611</f>
        <v>46048</v>
      </c>
      <c r="B3612" s="40"/>
      <c r="C3612" s="40"/>
      <c r="D3612" s="41"/>
      <c r="E3612" s="43">
        <f>C3612</f>
        <v>0</v>
      </c>
      <c r="F3612" s="42"/>
    </row>
    <row r="3613" spans="1:6">
      <c r="A3613" s="39">
        <f>A3612</f>
        <v>46048</v>
      </c>
      <c r="B3613" s="40"/>
      <c r="C3613" s="40"/>
      <c r="D3613" s="41"/>
      <c r="E3613" s="43">
        <f>C3613</f>
        <v>0</v>
      </c>
      <c r="F3613" s="42"/>
    </row>
    <row r="3614" spans="1:6">
      <c r="A3614" s="39">
        <f>A3613</f>
        <v>46048</v>
      </c>
      <c r="B3614" s="40"/>
      <c r="C3614" s="40"/>
      <c r="D3614" s="41"/>
      <c r="E3614" s="43">
        <f>C3614</f>
        <v>0</v>
      </c>
      <c r="F3614" s="42"/>
    </row>
    <row r="3615" spans="1:6">
      <c r="A3615" s="39">
        <f>A3614</f>
        <v>46048</v>
      </c>
      <c r="B3615" s="40"/>
      <c r="C3615" s="40"/>
      <c r="D3615" s="41"/>
      <c r="E3615" s="43">
        <f>C3615</f>
        <v>0</v>
      </c>
      <c r="F3615" s="42"/>
    </row>
    <row r="3616" spans="1:6">
      <c r="A3616" s="39">
        <f>A3615</f>
        <v>46048</v>
      </c>
      <c r="B3616" s="40"/>
      <c r="C3616" s="40"/>
      <c r="D3616" s="41"/>
      <c r="E3616" s="43">
        <f>C3616</f>
        <v>0</v>
      </c>
      <c r="F3616" s="42"/>
    </row>
    <row r="3617" spans="1:6">
      <c r="A3617" s="39">
        <f>A3616</f>
        <v>46048</v>
      </c>
      <c r="B3617" s="40"/>
      <c r="C3617" s="40"/>
      <c r="D3617" s="41"/>
      <c r="E3617" s="43">
        <f>C3617</f>
        <v>0</v>
      </c>
      <c r="F3617" s="42"/>
    </row>
    <row r="3618" spans="1:6">
      <c r="A3618" s="39">
        <f>A3617</f>
        <v>46048</v>
      </c>
      <c r="B3618" s="40"/>
      <c r="C3618" s="40"/>
      <c r="D3618" s="41"/>
      <c r="E3618" s="43">
        <f>C3618</f>
        <v>0</v>
      </c>
      <c r="F3618" s="42"/>
    </row>
    <row r="3619" spans="1:6">
      <c r="A3619" s="39">
        <f>A3618</f>
        <v>46048</v>
      </c>
      <c r="B3619" s="40"/>
      <c r="C3619" s="40"/>
      <c r="D3619" s="41"/>
      <c r="E3619" s="43">
        <f>C3619</f>
        <v>0</v>
      </c>
      <c r="F3619" s="42"/>
    </row>
    <row r="3620" spans="1:6">
      <c r="A3620" s="39">
        <f>A3619</f>
        <v>46048</v>
      </c>
      <c r="B3620" s="40"/>
      <c r="C3620" s="40"/>
      <c r="D3620" s="41"/>
      <c r="E3620" s="43">
        <f>C3620</f>
        <v>0</v>
      </c>
      <c r="F3620" s="42"/>
    </row>
    <row r="3621" spans="1:6">
      <c r="A3621" s="39">
        <f>A3620</f>
        <v>46048</v>
      </c>
      <c r="B3621" s="40"/>
      <c r="C3621" s="40"/>
      <c r="D3621" s="41"/>
      <c r="E3621" s="43">
        <f>C3621</f>
        <v>0</v>
      </c>
      <c r="F3621" s="42"/>
    </row>
    <row r="3622" spans="1:6">
      <c r="A3622" s="39">
        <f>A3621</f>
        <v>46048</v>
      </c>
      <c r="B3622" s="40"/>
      <c r="C3622" s="40"/>
      <c r="D3622" s="41"/>
      <c r="E3622" s="43">
        <f>C3622</f>
        <v>0</v>
      </c>
      <c r="F3622" s="42"/>
    </row>
    <row r="3623" spans="1:6">
      <c r="A3623" s="39">
        <f>A3622</f>
        <v>46048</v>
      </c>
      <c r="B3623" s="40"/>
      <c r="C3623" s="40"/>
      <c r="D3623" s="41"/>
      <c r="E3623" s="43">
        <f>C3623</f>
        <v>0</v>
      </c>
      <c r="F3623" s="42"/>
    </row>
    <row r="3624" spans="1:6">
      <c r="A3624" s="39">
        <f>A3623</f>
        <v>46048</v>
      </c>
      <c r="B3624" s="40"/>
      <c r="C3624" s="40"/>
      <c r="D3624" s="41"/>
      <c r="E3624" s="43">
        <f>C3624</f>
        <v>0</v>
      </c>
      <c r="F3624" s="42"/>
    </row>
    <row r="3625" spans="1:6">
      <c r="A3625" s="39">
        <f>A3624</f>
        <v>46048</v>
      </c>
      <c r="B3625" s="40"/>
      <c r="C3625" s="40"/>
      <c r="D3625" s="41"/>
      <c r="E3625" s="43">
        <f>C3625</f>
        <v>0</v>
      </c>
      <c r="F3625" s="42"/>
    </row>
    <row r="3626" spans="1:6">
      <c r="A3626" s="39">
        <f>A3625</f>
        <v>46048</v>
      </c>
      <c r="B3626" s="40"/>
      <c r="C3626" s="40"/>
      <c r="D3626" s="41"/>
      <c r="E3626" s="43">
        <f>C3626</f>
        <v>0</v>
      </c>
      <c r="F3626" s="42"/>
    </row>
    <row r="3627" spans="1:6">
      <c r="A3627" s="39">
        <f>A3626</f>
        <v>46048</v>
      </c>
      <c r="B3627" s="40"/>
      <c r="C3627" s="40"/>
      <c r="D3627" s="41"/>
      <c r="E3627" s="43">
        <f>C3627</f>
        <v>0</v>
      </c>
      <c r="F3627" s="42"/>
    </row>
    <row r="3628" spans="1:6">
      <c r="A3628" s="39">
        <f>A3627</f>
        <v>46048</v>
      </c>
      <c r="B3628" s="40"/>
      <c r="C3628" s="40"/>
      <c r="D3628" s="41"/>
      <c r="E3628" s="43">
        <f>C3628</f>
        <v>0</v>
      </c>
      <c r="F3628" s="42"/>
    </row>
    <row r="3629" spans="1:6">
      <c r="A3629" s="39">
        <f>A3628</f>
        <v>46048</v>
      </c>
      <c r="B3629" s="40"/>
      <c r="C3629" s="40"/>
      <c r="D3629" s="41"/>
      <c r="E3629" s="43">
        <f>C3629</f>
        <v>0</v>
      </c>
      <c r="F3629" s="42"/>
    </row>
    <row r="3630" spans="1:6">
      <c r="A3630" s="39">
        <f>A3629</f>
        <v>46048</v>
      </c>
      <c r="B3630" s="40"/>
      <c r="C3630" s="40"/>
      <c r="D3630" s="41"/>
      <c r="E3630" s="43">
        <f>C3630</f>
        <v>0</v>
      </c>
      <c r="F3630" s="42"/>
    </row>
    <row r="3631" spans="1:6">
      <c r="A3631" s="39">
        <f>A3630</f>
        <v>46048</v>
      </c>
      <c r="B3631" s="40"/>
      <c r="C3631" s="40"/>
      <c r="D3631" s="41"/>
      <c r="E3631" s="43">
        <f>C3631</f>
        <v>0</v>
      </c>
      <c r="F3631" s="42"/>
    </row>
    <row r="3632" spans="1:6">
      <c r="A3632" s="39">
        <f>A3631</f>
        <v>46048</v>
      </c>
      <c r="B3632" s="40"/>
      <c r="C3632" s="40"/>
      <c r="D3632" s="41"/>
      <c r="E3632" s="43">
        <f>C3632</f>
        <v>0</v>
      </c>
      <c r="F3632" s="42"/>
    </row>
    <row r="3633" spans="1:6">
      <c r="A3633" s="39">
        <f>A3632</f>
        <v>46048</v>
      </c>
      <c r="B3633" s="40"/>
      <c r="C3633" s="40"/>
      <c r="D3633" s="41"/>
      <c r="E3633" s="43">
        <f>C3633</f>
        <v>0</v>
      </c>
      <c r="F3633" s="42"/>
    </row>
    <row r="3634" spans="1:6">
      <c r="A3634" s="39">
        <f>A3633</f>
        <v>46048</v>
      </c>
      <c r="B3634" s="40"/>
      <c r="C3634" s="40"/>
      <c r="D3634" s="41"/>
      <c r="E3634" s="43">
        <f>C3634</f>
        <v>0</v>
      </c>
      <c r="F3634" s="42"/>
    </row>
    <row r="3635" spans="1:6">
      <c r="A3635" s="39">
        <f>A3634</f>
        <v>46048</v>
      </c>
      <c r="B3635" s="40"/>
      <c r="C3635" s="40"/>
      <c r="D3635" s="41"/>
      <c r="E3635" s="43">
        <f>C3635</f>
        <v>0</v>
      </c>
      <c r="F3635" s="42"/>
    </row>
    <row r="3636" spans="1:6">
      <c r="A3636" s="39">
        <f>A3635</f>
        <v>46048</v>
      </c>
      <c r="B3636" s="40"/>
      <c r="C3636" s="40"/>
      <c r="D3636" s="41"/>
      <c r="E3636" s="43">
        <f>C3636</f>
        <v>0</v>
      </c>
      <c r="F3636" s="42"/>
    </row>
    <row r="3637" spans="1:6">
      <c r="A3637" s="39">
        <f>A3636</f>
        <v>46048</v>
      </c>
      <c r="B3637" s="40"/>
      <c r="C3637" s="40"/>
      <c r="D3637" s="41"/>
      <c r="E3637" s="43">
        <f>C3637</f>
        <v>0</v>
      </c>
      <c r="F3637" s="42"/>
    </row>
    <row r="3638" spans="1:6">
      <c r="A3638" s="39">
        <f>A3637</f>
        <v>46048</v>
      </c>
      <c r="B3638" s="40"/>
      <c r="C3638" s="40"/>
      <c r="D3638" s="41"/>
      <c r="E3638" s="43">
        <f>C3638</f>
        <v>0</v>
      </c>
      <c r="F3638" s="42"/>
    </row>
    <row r="3639" spans="1:6">
      <c r="A3639" s="39">
        <f>A3638</f>
        <v>46048</v>
      </c>
      <c r="B3639" s="40"/>
      <c r="C3639" s="40"/>
      <c r="D3639" s="41"/>
      <c r="E3639" s="43">
        <f>C3639</f>
        <v>0</v>
      </c>
      <c r="F3639" s="42"/>
    </row>
    <row r="3640" spans="1:6">
      <c r="A3640" s="39">
        <f>A3639</f>
        <v>46048</v>
      </c>
      <c r="B3640" s="40"/>
      <c r="C3640" s="40"/>
      <c r="D3640" s="41"/>
      <c r="E3640" s="43">
        <f>C3640</f>
        <v>0</v>
      </c>
      <c r="F3640" s="42"/>
    </row>
    <row r="3641" spans="1:6">
      <c r="A3641" s="39">
        <f>A3640</f>
        <v>46048</v>
      </c>
      <c r="B3641" s="40"/>
      <c r="C3641" s="40"/>
      <c r="D3641" s="41"/>
      <c r="E3641" s="43">
        <f>C3641</f>
        <v>0</v>
      </c>
      <c r="F3641" s="42"/>
    </row>
    <row r="3642" spans="1:6">
      <c r="A3642" s="39">
        <f>A3641</f>
        <v>46048</v>
      </c>
      <c r="B3642" s="40"/>
      <c r="C3642" s="40"/>
      <c r="D3642" s="41"/>
      <c r="E3642" s="43">
        <f>C3642</f>
        <v>0</v>
      </c>
      <c r="F3642" s="42"/>
    </row>
    <row r="3643" spans="1:6">
      <c r="A3643" s="39">
        <f>A3642</f>
        <v>46048</v>
      </c>
      <c r="B3643" s="40"/>
      <c r="C3643" s="40"/>
      <c r="D3643" s="41"/>
      <c r="E3643" s="43">
        <f>C3643</f>
        <v>0</v>
      </c>
      <c r="F3643" s="42"/>
    </row>
    <row r="3644" spans="1:6">
      <c r="A3644" s="39">
        <f>A3643</f>
        <v>46048</v>
      </c>
      <c r="B3644" s="40"/>
      <c r="C3644" s="40"/>
      <c r="D3644" s="41"/>
      <c r="E3644" s="43">
        <f>C3644</f>
        <v>0</v>
      </c>
      <c r="F3644" s="42"/>
    </row>
    <row r="3645" spans="1:6">
      <c r="A3645" s="39">
        <f>A3644</f>
        <v>46048</v>
      </c>
      <c r="B3645" s="40"/>
      <c r="C3645" s="40"/>
      <c r="D3645" s="41"/>
      <c r="E3645" s="43">
        <f>C3645</f>
        <v>0</v>
      </c>
      <c r="F3645" s="42"/>
    </row>
    <row r="3646" spans="1:6">
      <c r="A3646" s="39">
        <f>A3645</f>
        <v>46048</v>
      </c>
      <c r="B3646" s="40"/>
      <c r="C3646" s="40"/>
      <c r="D3646" s="41"/>
      <c r="E3646" s="43">
        <f>C3646</f>
        <v>0</v>
      </c>
      <c r="F3646" s="42"/>
    </row>
    <row r="3647" spans="1:6">
      <c r="A3647" s="39">
        <f>A3646</f>
        <v>46048</v>
      </c>
      <c r="B3647" s="40"/>
      <c r="C3647" s="40"/>
      <c r="D3647" s="41"/>
      <c r="E3647" s="43">
        <f>C3647</f>
        <v>0</v>
      </c>
      <c r="F3647" s="42"/>
    </row>
    <row r="3648" spans="1:6">
      <c r="A3648" s="39">
        <f>A3647</f>
        <v>46048</v>
      </c>
      <c r="B3648" s="40"/>
      <c r="C3648" s="40"/>
      <c r="D3648" s="41"/>
      <c r="E3648" s="43">
        <f>C3648</f>
        <v>0</v>
      </c>
      <c r="F3648" s="42"/>
    </row>
    <row r="3649" spans="1:6">
      <c r="A3649" s="39">
        <f>A3648</f>
        <v>46048</v>
      </c>
      <c r="B3649" s="40"/>
      <c r="C3649" s="40"/>
      <c r="D3649" s="41"/>
      <c r="E3649" s="43">
        <f>C3649</f>
        <v>0</v>
      </c>
      <c r="F3649" s="42"/>
    </row>
    <row r="3650" spans="1:6">
      <c r="A3650" s="39">
        <f>A3649</f>
        <v>46048</v>
      </c>
      <c r="B3650" s="40"/>
      <c r="C3650" s="40"/>
      <c r="D3650" s="41"/>
      <c r="E3650" s="43">
        <f>C3650</f>
        <v>0</v>
      </c>
      <c r="F3650" s="42"/>
    </row>
    <row r="3651" spans="1:6">
      <c r="A3651" s="39">
        <f>A3650</f>
        <v>46048</v>
      </c>
      <c r="B3651" s="40"/>
      <c r="C3651" s="40"/>
      <c r="D3651" s="41"/>
      <c r="E3651" s="43">
        <f>C3651</f>
        <v>0</v>
      </c>
      <c r="F3651" s="42"/>
    </row>
    <row r="3652" spans="1:6">
      <c r="A3652" s="39">
        <f>A3651</f>
        <v>46048</v>
      </c>
      <c r="B3652" s="40"/>
      <c r="C3652" s="40"/>
      <c r="D3652" s="41"/>
      <c r="E3652" s="43">
        <f>C3652</f>
        <v>0</v>
      </c>
      <c r="F3652" s="42"/>
    </row>
    <row r="3653" spans="1:6">
      <c r="A3653" s="39">
        <f>A3652</f>
        <v>46048</v>
      </c>
      <c r="B3653" s="40"/>
      <c r="C3653" s="40"/>
      <c r="D3653" s="41"/>
      <c r="E3653" s="43">
        <f>C3653</f>
        <v>0</v>
      </c>
      <c r="F3653" s="42"/>
    </row>
    <row r="3654" spans="1:6">
      <c r="A3654" s="39">
        <f>A3653</f>
        <v>46048</v>
      </c>
      <c r="B3654" s="40"/>
      <c r="C3654" s="40"/>
      <c r="D3654" s="41"/>
      <c r="E3654" s="43">
        <f>C3654</f>
        <v>0</v>
      </c>
      <c r="F3654" s="42"/>
    </row>
    <row r="3655" spans="1:6">
      <c r="A3655" s="39">
        <f>A3654</f>
        <v>46048</v>
      </c>
      <c r="B3655" s="40"/>
      <c r="C3655" s="40"/>
      <c r="D3655" s="41"/>
      <c r="E3655" s="43">
        <f>C3655</f>
        <v>0</v>
      </c>
      <c r="F3655" s="42"/>
    </row>
    <row r="3656" spans="1:6">
      <c r="A3656" s="39">
        <f>A3655</f>
        <v>46048</v>
      </c>
      <c r="B3656" s="40"/>
      <c r="C3656" s="40"/>
      <c r="D3656" s="41"/>
      <c r="E3656" s="43">
        <f>C3656</f>
        <v>0</v>
      </c>
      <c r="F3656" s="42"/>
    </row>
    <row r="3657" spans="1:6">
      <c r="A3657" s="39">
        <f>A3656</f>
        <v>46048</v>
      </c>
      <c r="B3657" s="40"/>
      <c r="C3657" s="40"/>
      <c r="D3657" s="41"/>
      <c r="E3657" s="43">
        <f>C3657</f>
        <v>0</v>
      </c>
      <c r="F3657" s="42"/>
    </row>
    <row r="3658" spans="1:6">
      <c r="A3658" s="39">
        <f>A3657</f>
        <v>46048</v>
      </c>
      <c r="B3658" s="40"/>
      <c r="C3658" s="40"/>
      <c r="D3658" s="41"/>
      <c r="E3658" s="43">
        <f>C3658</f>
        <v>0</v>
      </c>
      <c r="F3658" s="42"/>
    </row>
    <row r="3659" spans="1:6">
      <c r="A3659" s="39">
        <f>A3658</f>
        <v>46048</v>
      </c>
      <c r="B3659" s="40"/>
      <c r="C3659" s="40"/>
      <c r="D3659" s="41"/>
      <c r="E3659" s="43">
        <f>C3659</f>
        <v>0</v>
      </c>
      <c r="F3659" s="42"/>
    </row>
    <row r="3660" spans="1:6">
      <c r="A3660" s="39">
        <f>A3659</f>
        <v>46048</v>
      </c>
      <c r="B3660" s="40"/>
      <c r="C3660" s="40"/>
      <c r="D3660" s="41"/>
      <c r="E3660" s="43">
        <f>C3660</f>
        <v>0</v>
      </c>
      <c r="F3660" s="42"/>
    </row>
    <row r="3661" spans="1:6">
      <c r="A3661" s="39">
        <f>A3660</f>
        <v>46048</v>
      </c>
      <c r="B3661" s="40"/>
      <c r="C3661" s="40"/>
      <c r="D3661" s="41"/>
      <c r="E3661" s="43">
        <f>C3661</f>
        <v>0</v>
      </c>
      <c r="F3661" s="42"/>
    </row>
    <row r="3662" spans="1:6">
      <c r="A3662" s="39">
        <f>A3661</f>
        <v>46048</v>
      </c>
      <c r="B3662" s="40"/>
      <c r="C3662" s="40"/>
      <c r="D3662" s="41"/>
      <c r="E3662" s="43">
        <f>C3662</f>
        <v>0</v>
      </c>
      <c r="F3662" s="42"/>
    </row>
    <row r="3663" spans="1:6">
      <c r="A3663" s="39">
        <f>A3662</f>
        <v>46048</v>
      </c>
      <c r="B3663" s="40"/>
      <c r="C3663" s="40"/>
      <c r="D3663" s="41"/>
      <c r="E3663" s="43">
        <f>C3663</f>
        <v>0</v>
      </c>
      <c r="F3663" s="42"/>
    </row>
    <row r="3664" spans="1:6">
      <c r="A3664" s="39">
        <f>A3663</f>
        <v>46048</v>
      </c>
      <c r="B3664" s="40"/>
      <c r="C3664" s="40"/>
      <c r="D3664" s="41"/>
      <c r="E3664" s="43">
        <f>C3664</f>
        <v>0</v>
      </c>
      <c r="F3664" s="42"/>
    </row>
    <row r="3665" spans="1:6">
      <c r="A3665" s="39">
        <f>A3664</f>
        <v>46048</v>
      </c>
      <c r="B3665" s="40"/>
      <c r="C3665" s="40"/>
      <c r="D3665" s="41"/>
      <c r="E3665" s="43">
        <f>C3665</f>
        <v>0</v>
      </c>
      <c r="F3665" s="42"/>
    </row>
    <row r="3666" spans="1:6">
      <c r="A3666" s="39">
        <f>A3665</f>
        <v>46048</v>
      </c>
      <c r="B3666" s="40"/>
      <c r="C3666" s="40"/>
      <c r="D3666" s="41"/>
      <c r="E3666" s="43">
        <f>C3666</f>
        <v>0</v>
      </c>
      <c r="F3666" s="42"/>
    </row>
    <row r="3667" spans="1:6">
      <c r="A3667" s="39">
        <f>A3666</f>
        <v>46048</v>
      </c>
      <c r="B3667" s="40"/>
      <c r="C3667" s="40"/>
      <c r="D3667" s="41"/>
      <c r="E3667" s="43">
        <f>C3667</f>
        <v>0</v>
      </c>
      <c r="F3667" s="42"/>
    </row>
    <row r="3668" spans="1:6">
      <c r="A3668" s="39">
        <f>A3667</f>
        <v>46048</v>
      </c>
      <c r="B3668" s="40"/>
      <c r="C3668" s="40"/>
      <c r="D3668" s="41"/>
      <c r="E3668" s="43">
        <f>C3668</f>
        <v>0</v>
      </c>
      <c r="F3668" s="42"/>
    </row>
    <row r="3669" spans="1:6">
      <c r="A3669" s="39">
        <f>A3668</f>
        <v>46048</v>
      </c>
      <c r="B3669" s="40"/>
      <c r="C3669" s="40"/>
      <c r="D3669" s="41"/>
      <c r="E3669" s="43">
        <f>C3669</f>
        <v>0</v>
      </c>
      <c r="F3669" s="42"/>
    </row>
    <row r="3670" spans="1:6">
      <c r="A3670" s="39">
        <f>A3669</f>
        <v>46048</v>
      </c>
      <c r="B3670" s="40"/>
      <c r="C3670" s="40"/>
      <c r="D3670" s="41"/>
      <c r="E3670" s="43">
        <f>C3670</f>
        <v>0</v>
      </c>
      <c r="F3670" s="42"/>
    </row>
    <row r="3671" spans="1:6">
      <c r="A3671" s="39">
        <f>A3670</f>
        <v>46048</v>
      </c>
      <c r="B3671" s="40"/>
      <c r="C3671" s="40"/>
      <c r="D3671" s="41"/>
      <c r="E3671" s="43">
        <f>C3671</f>
        <v>0</v>
      </c>
      <c r="F3671" s="42"/>
    </row>
    <row r="3672" spans="1:6">
      <c r="A3672" s="39">
        <f>A3671</f>
        <v>46048</v>
      </c>
      <c r="B3672" s="40"/>
      <c r="C3672" s="40"/>
      <c r="D3672" s="41"/>
      <c r="E3672" s="43">
        <f>C3672</f>
        <v>0</v>
      </c>
      <c r="F3672" s="42"/>
    </row>
    <row r="3673" spans="1:6">
      <c r="A3673" s="39">
        <f>A3672</f>
        <v>46048</v>
      </c>
      <c r="B3673" s="40"/>
      <c r="C3673" s="40"/>
      <c r="D3673" s="41"/>
      <c r="E3673" s="43">
        <f>C3673</f>
        <v>0</v>
      </c>
      <c r="F3673" s="42"/>
    </row>
    <row r="3674" spans="1:6">
      <c r="A3674" s="39">
        <f>A3673</f>
        <v>46048</v>
      </c>
      <c r="B3674" s="40"/>
      <c r="C3674" s="40"/>
      <c r="D3674" s="41"/>
      <c r="E3674" s="43">
        <f>C3674</f>
        <v>0</v>
      </c>
      <c r="F3674" s="42"/>
    </row>
    <row r="3675" spans="1:6">
      <c r="A3675" s="39">
        <f>A3674</f>
        <v>46048</v>
      </c>
      <c r="B3675" s="40"/>
      <c r="C3675" s="40"/>
      <c r="D3675" s="41"/>
      <c r="E3675" s="43">
        <f>C3675</f>
        <v>0</v>
      </c>
      <c r="F3675" s="42"/>
    </row>
    <row r="3676" spans="1:6">
      <c r="A3676" s="39">
        <f>A3675</f>
        <v>46048</v>
      </c>
      <c r="B3676" s="40"/>
      <c r="C3676" s="40"/>
      <c r="D3676" s="41"/>
      <c r="E3676" s="43">
        <f>C3676</f>
        <v>0</v>
      </c>
      <c r="F3676" s="42"/>
    </row>
    <row r="3677" spans="1:6">
      <c r="A3677" s="39">
        <f>A3676</f>
        <v>46048</v>
      </c>
      <c r="B3677" s="40"/>
      <c r="C3677" s="40"/>
      <c r="D3677" s="41"/>
      <c r="E3677" s="43">
        <f>C3677</f>
        <v>0</v>
      </c>
      <c r="F3677" s="42"/>
    </row>
    <row r="3678" spans="1:6">
      <c r="A3678" s="39">
        <f>A3677</f>
        <v>46048</v>
      </c>
      <c r="B3678" s="40"/>
      <c r="C3678" s="40"/>
      <c r="D3678" s="41"/>
      <c r="E3678" s="43">
        <f>C3678</f>
        <v>0</v>
      </c>
      <c r="F3678" s="42"/>
    </row>
    <row r="3679" spans="1:6">
      <c r="A3679" s="39">
        <f>A3678</f>
        <v>46048</v>
      </c>
      <c r="B3679" s="40"/>
      <c r="C3679" s="40"/>
      <c r="D3679" s="41"/>
      <c r="E3679" s="43">
        <f>C3679</f>
        <v>0</v>
      </c>
      <c r="F3679" s="42"/>
    </row>
    <row r="3680" spans="1:6">
      <c r="A3680" s="39">
        <f>A3679</f>
        <v>46048</v>
      </c>
      <c r="B3680" s="40"/>
      <c r="C3680" s="40"/>
      <c r="D3680" s="41"/>
      <c r="E3680" s="43">
        <f>C3680</f>
        <v>0</v>
      </c>
      <c r="F3680" s="42"/>
    </row>
    <row r="3681" spans="1:6">
      <c r="A3681" s="39">
        <f>A3680</f>
        <v>46048</v>
      </c>
      <c r="B3681" s="40"/>
      <c r="C3681" s="40"/>
      <c r="D3681" s="41"/>
      <c r="E3681" s="43">
        <f>C3681</f>
        <v>0</v>
      </c>
      <c r="F3681" s="42"/>
    </row>
    <row r="3682" spans="1:6">
      <c r="A3682" s="39">
        <f>A3681</f>
        <v>46048</v>
      </c>
      <c r="B3682" s="40"/>
      <c r="C3682" s="40"/>
      <c r="D3682" s="41"/>
      <c r="E3682" s="43">
        <f>C3682</f>
        <v>0</v>
      </c>
      <c r="F3682" s="42"/>
    </row>
    <row r="3683" spans="1:6">
      <c r="A3683" s="39">
        <f>A3682</f>
        <v>46048</v>
      </c>
      <c r="B3683" s="40"/>
      <c r="C3683" s="40"/>
      <c r="D3683" s="41"/>
      <c r="E3683" s="43">
        <f>C3683</f>
        <v>0</v>
      </c>
      <c r="F3683" s="42"/>
    </row>
    <row r="3684" spans="1:6">
      <c r="A3684" s="39">
        <f>A3683</f>
        <v>46048</v>
      </c>
      <c r="B3684" s="40"/>
      <c r="C3684" s="40"/>
      <c r="D3684" s="41"/>
      <c r="E3684" s="43">
        <f>C3684</f>
        <v>0</v>
      </c>
      <c r="F3684" s="42"/>
    </row>
    <row r="3685" spans="1:6">
      <c r="A3685" s="39">
        <f>A3684</f>
        <v>46048</v>
      </c>
      <c r="B3685" s="40"/>
      <c r="C3685" s="40"/>
      <c r="D3685" s="41"/>
      <c r="E3685" s="43">
        <f>C3685</f>
        <v>0</v>
      </c>
      <c r="F3685" s="42"/>
    </row>
    <row r="3686" spans="1:6">
      <c r="A3686" s="39">
        <f>A3685</f>
        <v>46048</v>
      </c>
      <c r="B3686" s="40"/>
      <c r="C3686" s="40"/>
      <c r="D3686" s="41"/>
      <c r="E3686" s="43">
        <f>C3686</f>
        <v>0</v>
      </c>
      <c r="F3686" s="42"/>
    </row>
    <row r="3687" spans="1:6">
      <c r="A3687" s="39">
        <f>A3686</f>
        <v>46048</v>
      </c>
      <c r="B3687" s="40"/>
      <c r="C3687" s="40"/>
      <c r="D3687" s="41"/>
      <c r="E3687" s="43">
        <f>C3687</f>
        <v>0</v>
      </c>
      <c r="F3687" s="42"/>
    </row>
    <row r="3688" spans="1:6">
      <c r="A3688" s="39">
        <f>A3687</f>
        <v>46048</v>
      </c>
      <c r="B3688" s="40"/>
      <c r="C3688" s="40"/>
      <c r="D3688" s="41"/>
      <c r="E3688" s="43">
        <f>C3688</f>
        <v>0</v>
      </c>
      <c r="F3688" s="42"/>
    </row>
    <row r="3689" spans="1:6">
      <c r="A3689" s="39">
        <f>A3688</f>
        <v>46048</v>
      </c>
      <c r="B3689" s="40"/>
      <c r="C3689" s="40"/>
      <c r="D3689" s="41"/>
      <c r="E3689" s="43">
        <f>C3689</f>
        <v>0</v>
      </c>
      <c r="F3689" s="42"/>
    </row>
    <row r="3690" spans="1:6">
      <c r="A3690" s="39">
        <f>A3689</f>
        <v>46048</v>
      </c>
      <c r="B3690" s="40"/>
      <c r="C3690" s="40"/>
      <c r="D3690" s="41"/>
      <c r="E3690" s="43">
        <f>C3690</f>
        <v>0</v>
      </c>
      <c r="F3690" s="42"/>
    </row>
    <row r="3691" spans="1:6">
      <c r="A3691" s="39">
        <f>A3690</f>
        <v>46048</v>
      </c>
      <c r="B3691" s="40"/>
      <c r="C3691" s="40"/>
      <c r="D3691" s="41"/>
      <c r="E3691" s="43">
        <f>C3691</f>
        <v>0</v>
      </c>
      <c r="F3691" s="42"/>
    </row>
    <row r="3692" spans="1:6">
      <c r="A3692" s="39">
        <f>A3691</f>
        <v>46048</v>
      </c>
      <c r="B3692" s="40"/>
      <c r="C3692" s="40"/>
      <c r="D3692" s="41"/>
      <c r="E3692" s="43">
        <f>C3692</f>
        <v>0</v>
      </c>
      <c r="F3692" s="42"/>
    </row>
    <row r="3693" spans="1:6">
      <c r="A3693" s="39">
        <f>A3692</f>
        <v>46048</v>
      </c>
      <c r="B3693" s="40"/>
      <c r="C3693" s="40"/>
      <c r="D3693" s="41"/>
      <c r="E3693" s="43">
        <f>C3693</f>
        <v>0</v>
      </c>
      <c r="F3693" s="42"/>
    </row>
    <row r="3694" spans="1:6">
      <c r="A3694" s="39">
        <f>A3693</f>
        <v>46048</v>
      </c>
      <c r="B3694" s="40"/>
      <c r="C3694" s="40"/>
      <c r="D3694" s="41"/>
      <c r="E3694" s="43">
        <f>C3694</f>
        <v>0</v>
      </c>
      <c r="F3694" s="42"/>
    </row>
    <row r="3695" spans="1:6">
      <c r="A3695" s="39">
        <f>A3694</f>
        <v>46048</v>
      </c>
      <c r="B3695" s="40"/>
      <c r="C3695" s="40"/>
      <c r="D3695" s="41"/>
      <c r="E3695" s="43">
        <f>C3695</f>
        <v>0</v>
      </c>
      <c r="F3695" s="42"/>
    </row>
    <row r="3696" spans="1:6">
      <c r="A3696" s="39">
        <f>A3695</f>
        <v>46048</v>
      </c>
      <c r="B3696" s="40"/>
      <c r="C3696" s="40"/>
      <c r="D3696" s="41"/>
      <c r="E3696" s="43">
        <f>C3696</f>
        <v>0</v>
      </c>
      <c r="F3696" s="42"/>
    </row>
    <row r="3697" spans="1:6">
      <c r="A3697" s="39">
        <f>A3696</f>
        <v>46048</v>
      </c>
      <c r="B3697" s="40"/>
      <c r="C3697" s="40"/>
      <c r="D3697" s="41"/>
      <c r="E3697" s="43">
        <f>C3697</f>
        <v>0</v>
      </c>
      <c r="F3697" s="42"/>
    </row>
    <row r="3698" spans="1:6">
      <c r="A3698" s="39">
        <f>A3697</f>
        <v>46048</v>
      </c>
      <c r="B3698" s="40"/>
      <c r="C3698" s="40"/>
      <c r="D3698" s="41"/>
      <c r="E3698" s="43">
        <f>C3698</f>
        <v>0</v>
      </c>
      <c r="F3698" s="42"/>
    </row>
    <row r="3699" spans="1:6">
      <c r="A3699" s="39">
        <f>A3698</f>
        <v>46048</v>
      </c>
      <c r="B3699" s="40"/>
      <c r="C3699" s="40"/>
      <c r="D3699" s="41"/>
      <c r="E3699" s="43">
        <f>C3699</f>
        <v>0</v>
      </c>
      <c r="F3699" s="42"/>
    </row>
    <row r="3700" spans="1:6">
      <c r="A3700" s="39">
        <f>A3699</f>
        <v>46048</v>
      </c>
      <c r="B3700" s="40"/>
      <c r="C3700" s="40"/>
      <c r="D3700" s="41"/>
      <c r="E3700" s="43">
        <f>C3700</f>
        <v>0</v>
      </c>
      <c r="F3700" s="42"/>
    </row>
    <row r="3701" spans="1:6">
      <c r="A3701" s="39">
        <f>A3700</f>
        <v>46048</v>
      </c>
      <c r="B3701" s="40"/>
      <c r="C3701" s="40"/>
      <c r="D3701" s="41"/>
      <c r="E3701" s="43">
        <f>C3701</f>
        <v>0</v>
      </c>
      <c r="F3701" s="42"/>
    </row>
    <row r="3702" spans="1:6">
      <c r="A3702" s="39">
        <f>A3701</f>
        <v>46048</v>
      </c>
      <c r="B3702" s="40"/>
      <c r="C3702" s="40"/>
      <c r="D3702" s="41"/>
      <c r="E3702" s="43">
        <f>C3702</f>
        <v>0</v>
      </c>
      <c r="F3702" s="42"/>
    </row>
    <row r="3703" spans="1:6">
      <c r="A3703" s="39">
        <f>A3702</f>
        <v>46048</v>
      </c>
      <c r="B3703" s="40"/>
      <c r="C3703" s="40"/>
      <c r="D3703" s="41"/>
      <c r="E3703" s="43">
        <f>C3703</f>
        <v>0</v>
      </c>
      <c r="F3703" s="42"/>
    </row>
    <row r="3704" spans="1:6">
      <c r="A3704" s="39">
        <f>A3703</f>
        <v>46048</v>
      </c>
      <c r="B3704" s="40"/>
      <c r="C3704" s="40"/>
      <c r="D3704" s="41"/>
      <c r="E3704" s="43">
        <f>C3704</f>
        <v>0</v>
      </c>
      <c r="F3704" s="42"/>
    </row>
    <row r="3705" spans="1:6">
      <c r="A3705" s="39">
        <f>A3704</f>
        <v>46048</v>
      </c>
      <c r="B3705" s="40"/>
      <c r="C3705" s="40"/>
      <c r="D3705" s="41"/>
      <c r="E3705" s="43">
        <f>C3705</f>
        <v>0</v>
      </c>
      <c r="F3705" s="42"/>
    </row>
    <row r="3706" spans="1:6">
      <c r="A3706" s="39">
        <f>A3705</f>
        <v>46048</v>
      </c>
      <c r="B3706" s="40"/>
      <c r="C3706" s="40"/>
      <c r="D3706" s="41"/>
      <c r="E3706" s="43">
        <f>C3706</f>
        <v>0</v>
      </c>
      <c r="F3706" s="42"/>
    </row>
    <row r="3707" spans="1:6">
      <c r="A3707" s="39">
        <f>A3706</f>
        <v>46048</v>
      </c>
      <c r="B3707" s="40"/>
      <c r="C3707" s="40"/>
      <c r="D3707" s="41"/>
      <c r="E3707" s="43">
        <f>C3707</f>
        <v>0</v>
      </c>
      <c r="F3707" s="42"/>
    </row>
    <row r="3708" spans="1:6">
      <c r="A3708" s="39">
        <f>A3707</f>
        <v>46048</v>
      </c>
      <c r="B3708" s="40"/>
      <c r="C3708" s="40"/>
      <c r="D3708" s="41"/>
      <c r="E3708" s="43">
        <f>C3708</f>
        <v>0</v>
      </c>
      <c r="F3708" s="42"/>
    </row>
    <row r="3709" spans="1:6">
      <c r="A3709" s="39">
        <f>A3708</f>
        <v>46048</v>
      </c>
      <c r="B3709" s="40"/>
      <c r="C3709" s="40"/>
      <c r="D3709" s="41"/>
      <c r="E3709" s="43">
        <f>C3709</f>
        <v>0</v>
      </c>
      <c r="F3709" s="42"/>
    </row>
    <row r="3710" spans="1:6">
      <c r="A3710" s="39">
        <f>A3709</f>
        <v>46048</v>
      </c>
      <c r="B3710" s="40"/>
      <c r="C3710" s="40"/>
      <c r="D3710" s="41"/>
      <c r="E3710" s="43">
        <f>C3710</f>
        <v>0</v>
      </c>
      <c r="F3710" s="42"/>
    </row>
    <row r="3711" spans="1:6">
      <c r="A3711" s="39">
        <f>A3710</f>
        <v>46048</v>
      </c>
      <c r="B3711" s="40"/>
      <c r="C3711" s="40"/>
      <c r="D3711" s="41"/>
      <c r="E3711" s="43">
        <f>C3711</f>
        <v>0</v>
      </c>
      <c r="F3711" s="42"/>
    </row>
    <row r="3712" spans="1:6">
      <c r="A3712" s="39">
        <f>A3711</f>
        <v>46048</v>
      </c>
      <c r="B3712" s="40"/>
      <c r="C3712" s="40"/>
      <c r="D3712" s="41"/>
      <c r="E3712" s="43">
        <f>C3712</f>
        <v>0</v>
      </c>
      <c r="F3712" s="42"/>
    </row>
    <row r="3713" spans="1:6">
      <c r="A3713" s="39">
        <f>A3712</f>
        <v>46048</v>
      </c>
      <c r="B3713" s="40"/>
      <c r="C3713" s="40"/>
      <c r="D3713" s="41"/>
      <c r="E3713" s="43">
        <f>C3713</f>
        <v>0</v>
      </c>
      <c r="F3713" s="42"/>
    </row>
    <row r="3714" spans="1:6">
      <c r="A3714" s="39">
        <f>A3713</f>
        <v>46048</v>
      </c>
      <c r="B3714" s="40"/>
      <c r="C3714" s="40"/>
      <c r="D3714" s="41"/>
      <c r="E3714" s="43">
        <f>C3714</f>
        <v>0</v>
      </c>
      <c r="F3714" s="42"/>
    </row>
    <row r="3715" spans="1:6">
      <c r="A3715" s="39">
        <f>A3714</f>
        <v>46048</v>
      </c>
      <c r="B3715" s="40"/>
      <c r="C3715" s="40"/>
      <c r="D3715" s="41"/>
      <c r="E3715" s="43">
        <f>C3715</f>
        <v>0</v>
      </c>
      <c r="F3715" s="42"/>
    </row>
    <row r="3716" spans="1:6">
      <c r="A3716" s="39">
        <f>A3715</f>
        <v>46048</v>
      </c>
      <c r="B3716" s="40"/>
      <c r="C3716" s="40"/>
      <c r="D3716" s="41"/>
      <c r="E3716" s="43">
        <f>C3716</f>
        <v>0</v>
      </c>
      <c r="F3716" s="42"/>
    </row>
    <row r="3717" spans="1:6">
      <c r="A3717" s="39">
        <f>A3716</f>
        <v>46048</v>
      </c>
      <c r="B3717" s="40"/>
      <c r="C3717" s="40"/>
      <c r="D3717" s="41"/>
      <c r="E3717" s="43">
        <f>C3717</f>
        <v>0</v>
      </c>
      <c r="F3717" s="42"/>
    </row>
    <row r="3718" spans="1:6">
      <c r="A3718" s="39">
        <f>A3717</f>
        <v>46048</v>
      </c>
      <c r="B3718" s="40"/>
      <c r="C3718" s="40"/>
      <c r="D3718" s="41"/>
      <c r="E3718" s="43">
        <f>C3718</f>
        <v>0</v>
      </c>
      <c r="F3718" s="42"/>
    </row>
    <row r="3719" spans="1:6">
      <c r="A3719" s="39">
        <f>A3718</f>
        <v>46048</v>
      </c>
      <c r="B3719" s="40"/>
      <c r="C3719" s="40"/>
      <c r="D3719" s="41"/>
      <c r="E3719" s="43">
        <f>C3719</f>
        <v>0</v>
      </c>
      <c r="F3719" s="42"/>
    </row>
    <row r="3720" spans="1:6">
      <c r="A3720" s="39">
        <f>A3719</f>
        <v>46048</v>
      </c>
      <c r="B3720" s="40"/>
      <c r="C3720" s="40"/>
      <c r="D3720" s="41"/>
      <c r="E3720" s="43">
        <f>C3720</f>
        <v>0</v>
      </c>
      <c r="F3720" s="42"/>
    </row>
    <row r="3721" spans="1:6">
      <c r="A3721" s="39">
        <f>A3720</f>
        <v>46048</v>
      </c>
      <c r="B3721" s="40"/>
      <c r="C3721" s="40"/>
      <c r="D3721" s="41"/>
      <c r="E3721" s="43">
        <f>C3721</f>
        <v>0</v>
      </c>
      <c r="F3721" s="42"/>
    </row>
    <row r="3722" spans="1:6">
      <c r="A3722" s="39">
        <f>A3721</f>
        <v>46048</v>
      </c>
      <c r="B3722" s="40"/>
      <c r="C3722" s="40"/>
      <c r="D3722" s="41"/>
      <c r="E3722" s="43">
        <f>C3722</f>
        <v>0</v>
      </c>
      <c r="F3722" s="42"/>
    </row>
    <row r="3723" spans="1:6">
      <c r="A3723" s="39">
        <f>A3722</f>
        <v>46048</v>
      </c>
      <c r="B3723" s="40"/>
      <c r="C3723" s="40"/>
      <c r="D3723" s="41"/>
      <c r="E3723" s="43">
        <f>C3723</f>
        <v>0</v>
      </c>
      <c r="F3723" s="42"/>
    </row>
    <row r="3724" spans="1:6">
      <c r="A3724" s="39">
        <f>A3723</f>
        <v>46048</v>
      </c>
      <c r="B3724" s="40"/>
      <c r="C3724" s="40"/>
      <c r="D3724" s="41"/>
      <c r="E3724" s="43">
        <f>C3724</f>
        <v>0</v>
      </c>
      <c r="F3724" s="42"/>
    </row>
    <row r="3725" spans="1:6">
      <c r="A3725" s="39">
        <f>A3724</f>
        <v>46048</v>
      </c>
      <c r="B3725" s="40"/>
      <c r="C3725" s="40"/>
      <c r="D3725" s="41"/>
      <c r="E3725" s="43">
        <f>C3725</f>
        <v>0</v>
      </c>
      <c r="F3725" s="42"/>
    </row>
    <row r="3726" spans="1:6">
      <c r="A3726" s="39">
        <f>A3725</f>
        <v>46048</v>
      </c>
      <c r="B3726" s="40"/>
      <c r="C3726" s="40"/>
      <c r="D3726" s="41"/>
      <c r="E3726" s="43">
        <f>C3726</f>
        <v>0</v>
      </c>
      <c r="F3726" s="42"/>
    </row>
    <row r="3727" spans="1:6">
      <c r="A3727" s="39">
        <f>A3726</f>
        <v>46048</v>
      </c>
      <c r="B3727" s="40"/>
      <c r="C3727" s="40"/>
      <c r="D3727" s="41"/>
      <c r="E3727" s="43">
        <f>C3727</f>
        <v>0</v>
      </c>
      <c r="F3727" s="42"/>
    </row>
    <row r="3728" spans="1:6">
      <c r="A3728" s="39">
        <f>A3727</f>
        <v>46048</v>
      </c>
      <c r="B3728" s="40"/>
      <c r="C3728" s="40"/>
      <c r="D3728" s="41"/>
      <c r="E3728" s="43">
        <f>C3728</f>
        <v>0</v>
      </c>
      <c r="F3728" s="42"/>
    </row>
    <row r="3729" spans="1:6">
      <c r="A3729" s="39">
        <f>A3728</f>
        <v>46048</v>
      </c>
      <c r="B3729" s="40"/>
      <c r="C3729" s="40"/>
      <c r="D3729" s="41"/>
      <c r="E3729" s="43">
        <f>C3729</f>
        <v>0</v>
      </c>
      <c r="F3729" s="42"/>
    </row>
    <row r="3730" spans="1:6">
      <c r="A3730" s="39">
        <f>A3729</f>
        <v>46048</v>
      </c>
      <c r="B3730" s="40"/>
      <c r="C3730" s="40"/>
      <c r="D3730" s="41"/>
      <c r="E3730" s="43">
        <f>C3730</f>
        <v>0</v>
      </c>
      <c r="F3730" s="42"/>
    </row>
    <row r="3731" spans="1:6">
      <c r="A3731" s="39">
        <f>A3730</f>
        <v>46048</v>
      </c>
      <c r="B3731" s="40"/>
      <c r="C3731" s="40"/>
      <c r="D3731" s="41"/>
      <c r="E3731" s="43">
        <f>C3731</f>
        <v>0</v>
      </c>
      <c r="F3731" s="42"/>
    </row>
    <row r="3732" spans="1:6">
      <c r="A3732" s="39">
        <f>A3731</f>
        <v>46048</v>
      </c>
      <c r="B3732" s="40"/>
      <c r="C3732" s="40"/>
      <c r="D3732" s="41"/>
      <c r="E3732" s="43">
        <f>C3732</f>
        <v>0</v>
      </c>
      <c r="F3732" s="42"/>
    </row>
    <row r="3733" spans="1:6">
      <c r="A3733" s="39">
        <f>A3732</f>
        <v>46048</v>
      </c>
      <c r="B3733" s="40"/>
      <c r="C3733" s="40"/>
      <c r="D3733" s="41"/>
      <c r="E3733" s="43">
        <f>C3733</f>
        <v>0</v>
      </c>
      <c r="F3733" s="42"/>
    </row>
    <row r="3734" spans="1:6">
      <c r="A3734" s="39">
        <f>A3733</f>
        <v>46048</v>
      </c>
      <c r="B3734" s="40"/>
      <c r="C3734" s="40"/>
      <c r="D3734" s="41"/>
      <c r="E3734" s="43">
        <f>C3734</f>
        <v>0</v>
      </c>
      <c r="F3734" s="42"/>
    </row>
    <row r="3735" spans="1:6">
      <c r="A3735" s="39">
        <f>A3734</f>
        <v>46048</v>
      </c>
      <c r="B3735" s="40"/>
      <c r="C3735" s="40"/>
      <c r="D3735" s="41"/>
      <c r="E3735" s="43">
        <f>C3735</f>
        <v>0</v>
      </c>
      <c r="F3735" s="42"/>
    </row>
    <row r="3736" spans="1:6">
      <c r="A3736" s="39">
        <f>A3735</f>
        <v>46048</v>
      </c>
      <c r="B3736" s="40"/>
      <c r="C3736" s="40"/>
      <c r="D3736" s="41"/>
      <c r="E3736" s="43">
        <f>C3736</f>
        <v>0</v>
      </c>
      <c r="F3736" s="42"/>
    </row>
    <row r="3737" spans="1:6">
      <c r="A3737" s="39">
        <f>A3736</f>
        <v>46048</v>
      </c>
      <c r="B3737" s="40"/>
      <c r="C3737" s="40"/>
      <c r="D3737" s="41"/>
      <c r="E3737" s="43">
        <f>C3737</f>
        <v>0</v>
      </c>
      <c r="F3737" s="42"/>
    </row>
    <row r="3738" spans="1:6">
      <c r="A3738" s="39">
        <f>A3737</f>
        <v>46048</v>
      </c>
      <c r="B3738" s="40"/>
      <c r="C3738" s="40"/>
      <c r="D3738" s="41"/>
      <c r="E3738" s="43">
        <f>C3738</f>
        <v>0</v>
      </c>
      <c r="F3738" s="42"/>
    </row>
    <row r="3739" spans="1:6">
      <c r="A3739" s="39">
        <f>A3738</f>
        <v>46048</v>
      </c>
      <c r="B3739" s="40"/>
      <c r="C3739" s="40"/>
      <c r="D3739" s="41"/>
      <c r="E3739" s="43">
        <f>C3739</f>
        <v>0</v>
      </c>
      <c r="F3739" s="42"/>
    </row>
    <row r="3740" spans="1:6">
      <c r="A3740" s="39">
        <f>A3739</f>
        <v>46048</v>
      </c>
      <c r="B3740" s="40"/>
      <c r="C3740" s="40"/>
      <c r="D3740" s="41"/>
      <c r="E3740" s="43">
        <f>C3740</f>
        <v>0</v>
      </c>
      <c r="F3740" s="42"/>
    </row>
    <row r="3741" spans="1:6">
      <c r="A3741" s="39">
        <f>A3740</f>
        <v>46048</v>
      </c>
      <c r="B3741" s="40"/>
      <c r="C3741" s="40"/>
      <c r="D3741" s="41"/>
      <c r="E3741" s="43">
        <f>C3741</f>
        <v>0</v>
      </c>
      <c r="F3741" s="42"/>
    </row>
    <row r="3742" spans="1:6">
      <c r="A3742" s="39">
        <f>A3741</f>
        <v>46048</v>
      </c>
      <c r="B3742" s="40"/>
      <c r="C3742" s="40"/>
      <c r="D3742" s="41"/>
      <c r="E3742" s="43">
        <f>C3742</f>
        <v>0</v>
      </c>
      <c r="F3742" s="42"/>
    </row>
    <row r="3743" spans="1:6">
      <c r="A3743" s="39">
        <f>A3742</f>
        <v>46048</v>
      </c>
      <c r="B3743" s="40"/>
      <c r="C3743" s="40"/>
      <c r="D3743" s="41"/>
      <c r="E3743" s="43">
        <f>C3743</f>
        <v>0</v>
      </c>
      <c r="F3743" s="42"/>
    </row>
    <row r="3744" spans="1:6">
      <c r="A3744" s="39">
        <f>A3743</f>
        <v>46048</v>
      </c>
      <c r="B3744" s="40"/>
      <c r="C3744" s="40"/>
      <c r="D3744" s="41"/>
      <c r="E3744" s="43">
        <f>C3744</f>
        <v>0</v>
      </c>
      <c r="F3744" s="42"/>
    </row>
    <row r="3745" spans="1:6">
      <c r="A3745" s="39">
        <f>A3744</f>
        <v>46048</v>
      </c>
      <c r="B3745" s="40"/>
      <c r="C3745" s="40"/>
      <c r="D3745" s="41"/>
      <c r="E3745" s="43">
        <f>C3745</f>
        <v>0</v>
      </c>
      <c r="F3745" s="42"/>
    </row>
    <row r="3746" spans="1:6">
      <c r="A3746" s="39">
        <f>A3745</f>
        <v>46048</v>
      </c>
      <c r="B3746" s="40"/>
      <c r="C3746" s="40"/>
      <c r="D3746" s="41"/>
      <c r="E3746" s="43">
        <f>C3746</f>
        <v>0</v>
      </c>
      <c r="F3746" s="42"/>
    </row>
    <row r="3747" spans="1:6">
      <c r="A3747" s="39">
        <f>A3746</f>
        <v>46048</v>
      </c>
      <c r="B3747" s="40"/>
      <c r="C3747" s="40"/>
      <c r="D3747" s="41"/>
      <c r="E3747" s="43">
        <f>C3747</f>
        <v>0</v>
      </c>
      <c r="F3747" s="42"/>
    </row>
    <row r="3748" spans="1:6">
      <c r="A3748" s="39">
        <f>A3747</f>
        <v>46048</v>
      </c>
      <c r="B3748" s="40"/>
      <c r="C3748" s="40"/>
      <c r="D3748" s="41"/>
      <c r="E3748" s="43">
        <f>C3748</f>
        <v>0</v>
      </c>
      <c r="F3748" s="42"/>
    </row>
    <row r="3749" spans="1:6">
      <c r="A3749" s="39">
        <f>A3748</f>
        <v>46048</v>
      </c>
      <c r="B3749" s="40"/>
      <c r="C3749" s="40"/>
      <c r="D3749" s="41"/>
      <c r="E3749" s="43">
        <f>C3749</f>
        <v>0</v>
      </c>
      <c r="F3749" s="42"/>
    </row>
    <row r="3750" spans="1:6">
      <c r="A3750" s="39">
        <f>A3749</f>
        <v>46048</v>
      </c>
      <c r="B3750" s="40"/>
      <c r="C3750" s="40"/>
      <c r="D3750" s="41"/>
      <c r="E3750" s="43">
        <f>C3750</f>
        <v>0</v>
      </c>
      <c r="F3750" s="42"/>
    </row>
    <row r="3751" spans="1:6">
      <c r="A3751" s="39">
        <f>A3750</f>
        <v>46048</v>
      </c>
      <c r="B3751" s="40"/>
      <c r="C3751" s="40"/>
      <c r="D3751" s="41"/>
      <c r="E3751" s="43">
        <f>C3751</f>
        <v>0</v>
      </c>
      <c r="F3751" s="42"/>
    </row>
    <row r="3752" spans="1:6">
      <c r="A3752" s="39">
        <f>A3751</f>
        <v>46048</v>
      </c>
      <c r="B3752" s="40"/>
      <c r="C3752" s="40"/>
      <c r="D3752" s="41"/>
      <c r="E3752" s="43">
        <f>C3752</f>
        <v>0</v>
      </c>
      <c r="F3752" s="42"/>
    </row>
    <row r="3753" spans="1:6">
      <c r="A3753" s="39">
        <f>A3752</f>
        <v>46048</v>
      </c>
      <c r="B3753" s="40"/>
      <c r="C3753" s="40"/>
      <c r="D3753" s="41"/>
      <c r="E3753" s="43">
        <f>C3753</f>
        <v>0</v>
      </c>
      <c r="F3753" s="42"/>
    </row>
    <row r="3754" spans="1:6">
      <c r="A3754" s="39">
        <f>A3753</f>
        <v>46048</v>
      </c>
      <c r="B3754" s="40"/>
      <c r="C3754" s="40"/>
      <c r="D3754" s="41"/>
      <c r="E3754" s="43">
        <f>C3754</f>
        <v>0</v>
      </c>
      <c r="F3754" s="42"/>
    </row>
    <row r="3755" spans="1:6">
      <c r="A3755" s="39">
        <f>A3754</f>
        <v>46048</v>
      </c>
      <c r="B3755" s="40"/>
      <c r="C3755" s="40"/>
      <c r="D3755" s="41"/>
      <c r="E3755" s="43">
        <f>C3755</f>
        <v>0</v>
      </c>
      <c r="F3755" s="42"/>
    </row>
    <row r="3756" spans="1:6">
      <c r="A3756" s="39">
        <f>A3755</f>
        <v>46048</v>
      </c>
      <c r="B3756" s="40"/>
      <c r="C3756" s="40"/>
      <c r="D3756" s="41"/>
      <c r="E3756" s="43">
        <f>C3756</f>
        <v>0</v>
      </c>
      <c r="F3756" s="42"/>
    </row>
    <row r="3757" spans="1:6">
      <c r="A3757" s="39">
        <f>A3756</f>
        <v>46048</v>
      </c>
      <c r="B3757" s="40"/>
      <c r="C3757" s="40"/>
      <c r="D3757" s="41"/>
      <c r="E3757" s="43">
        <f>C3757</f>
        <v>0</v>
      </c>
      <c r="F3757" s="42"/>
    </row>
    <row r="3758" spans="1:6">
      <c r="A3758" s="39">
        <f>A3757</f>
        <v>46048</v>
      </c>
      <c r="B3758" s="40"/>
      <c r="C3758" s="40"/>
      <c r="D3758" s="41"/>
      <c r="E3758" s="43">
        <f>C3758</f>
        <v>0</v>
      </c>
      <c r="F3758" s="42"/>
    </row>
    <row r="3759" spans="1:6">
      <c r="A3759" s="39">
        <f>A3758</f>
        <v>46048</v>
      </c>
      <c r="B3759" s="40"/>
      <c r="C3759" s="40"/>
      <c r="D3759" s="41"/>
      <c r="E3759" s="43">
        <f>C3759</f>
        <v>0</v>
      </c>
      <c r="F3759" s="42"/>
    </row>
    <row r="3760" spans="1:6">
      <c r="A3760" s="39">
        <f>A3759</f>
        <v>46048</v>
      </c>
      <c r="B3760" s="40"/>
      <c r="C3760" s="40"/>
      <c r="D3760" s="41"/>
      <c r="E3760" s="43">
        <f>C3760</f>
        <v>0</v>
      </c>
      <c r="F3760" s="42"/>
    </row>
    <row r="3761" spans="1:6">
      <c r="A3761" s="39">
        <f>A3760</f>
        <v>46048</v>
      </c>
      <c r="B3761" s="40"/>
      <c r="C3761" s="40"/>
      <c r="D3761" s="41"/>
      <c r="E3761" s="43">
        <f>C3761</f>
        <v>0</v>
      </c>
      <c r="F3761" s="42"/>
    </row>
    <row r="3762" spans="1:6">
      <c r="A3762" s="39">
        <f>A3761</f>
        <v>46048</v>
      </c>
      <c r="B3762" s="40"/>
      <c r="C3762" s="40"/>
      <c r="D3762" s="41"/>
      <c r="E3762" s="43">
        <f>C3762</f>
        <v>0</v>
      </c>
      <c r="F3762" s="42"/>
    </row>
    <row r="3763" spans="1:6">
      <c r="A3763" s="39">
        <f>A3762</f>
        <v>46048</v>
      </c>
      <c r="B3763" s="40"/>
      <c r="C3763" s="40"/>
      <c r="D3763" s="41"/>
      <c r="E3763" s="43">
        <f>C3763</f>
        <v>0</v>
      </c>
      <c r="F3763" s="42"/>
    </row>
    <row r="3764" spans="1:6">
      <c r="A3764" s="39">
        <f>A3763</f>
        <v>46048</v>
      </c>
      <c r="B3764" s="40"/>
      <c r="C3764" s="40"/>
      <c r="D3764" s="41"/>
      <c r="E3764" s="43">
        <f>C3764</f>
        <v>0</v>
      </c>
      <c r="F3764" s="42"/>
    </row>
    <row r="3765" spans="1:6">
      <c r="A3765" s="39">
        <f>A3764</f>
        <v>46048</v>
      </c>
      <c r="B3765" s="40"/>
      <c r="C3765" s="40"/>
      <c r="D3765" s="41"/>
      <c r="E3765" s="43">
        <f>C3765</f>
        <v>0</v>
      </c>
      <c r="F3765" s="42"/>
    </row>
    <row r="3766" spans="1:6">
      <c r="A3766" s="39">
        <f>A3765</f>
        <v>46048</v>
      </c>
      <c r="B3766" s="40"/>
      <c r="C3766" s="40"/>
      <c r="D3766" s="41"/>
      <c r="E3766" s="43">
        <f>C3766</f>
        <v>0</v>
      </c>
      <c r="F3766" s="42"/>
    </row>
    <row r="3767" spans="1:6">
      <c r="A3767" s="39">
        <f>A3766</f>
        <v>46048</v>
      </c>
      <c r="B3767" s="40"/>
      <c r="C3767" s="40"/>
      <c r="D3767" s="41"/>
      <c r="E3767" s="43">
        <f>C3767</f>
        <v>0</v>
      </c>
      <c r="F3767" s="42"/>
    </row>
    <row r="3768" spans="1:6">
      <c r="A3768" s="39">
        <f>A3767</f>
        <v>46048</v>
      </c>
      <c r="B3768" s="40"/>
      <c r="C3768" s="40"/>
      <c r="D3768" s="41"/>
      <c r="E3768" s="43">
        <f>C3768</f>
        <v>0</v>
      </c>
      <c r="F3768" s="42"/>
    </row>
    <row r="3769" spans="1:6">
      <c r="A3769" s="39">
        <f>A3768</f>
        <v>46048</v>
      </c>
      <c r="B3769" s="40"/>
      <c r="C3769" s="40"/>
      <c r="D3769" s="41"/>
      <c r="E3769" s="43">
        <f>C3769</f>
        <v>0</v>
      </c>
      <c r="F3769" s="42"/>
    </row>
    <row r="3770" spans="1:6">
      <c r="A3770" s="39">
        <f>A3769</f>
        <v>46048</v>
      </c>
      <c r="B3770" s="40"/>
      <c r="C3770" s="40"/>
      <c r="D3770" s="41"/>
      <c r="E3770" s="43">
        <f>C3770</f>
        <v>0</v>
      </c>
      <c r="F3770" s="42"/>
    </row>
    <row r="3771" spans="1:6">
      <c r="A3771" s="39">
        <f>A3770</f>
        <v>46048</v>
      </c>
      <c r="B3771" s="40"/>
      <c r="C3771" s="40"/>
      <c r="D3771" s="41"/>
      <c r="E3771" s="43">
        <f>C3771</f>
        <v>0</v>
      </c>
      <c r="F3771" s="42"/>
    </row>
    <row r="3772" spans="1:6">
      <c r="A3772" s="39">
        <f>A3771</f>
        <v>46048</v>
      </c>
      <c r="B3772" s="40"/>
      <c r="C3772" s="40"/>
      <c r="D3772" s="41"/>
      <c r="E3772" s="43">
        <f>C3772</f>
        <v>0</v>
      </c>
      <c r="F3772" s="42"/>
    </row>
    <row r="3773" spans="1:6">
      <c r="A3773" s="39">
        <f>A3772</f>
        <v>46048</v>
      </c>
      <c r="B3773" s="40"/>
      <c r="C3773" s="40"/>
      <c r="D3773" s="41"/>
      <c r="E3773" s="43">
        <f>C3773</f>
        <v>0</v>
      </c>
      <c r="F3773" s="42"/>
    </row>
    <row r="3774" spans="1:6">
      <c r="A3774" s="39">
        <f>A3773</f>
        <v>46048</v>
      </c>
      <c r="B3774" s="40"/>
      <c r="C3774" s="40"/>
      <c r="D3774" s="41"/>
      <c r="E3774" s="43">
        <f>C3774</f>
        <v>0</v>
      </c>
      <c r="F3774" s="42"/>
    </row>
    <row r="3775" spans="1:6">
      <c r="A3775" s="39">
        <f>A3774</f>
        <v>46048</v>
      </c>
      <c r="B3775" s="40"/>
      <c r="C3775" s="40"/>
      <c r="D3775" s="41"/>
      <c r="E3775" s="43">
        <f>C3775</f>
        <v>0</v>
      </c>
      <c r="F3775" s="42"/>
    </row>
    <row r="3776" spans="1:6">
      <c r="A3776" s="39">
        <f>A3775</f>
        <v>46048</v>
      </c>
      <c r="B3776" s="40"/>
      <c r="C3776" s="40"/>
      <c r="D3776" s="41"/>
      <c r="E3776" s="43">
        <f>C3776</f>
        <v>0</v>
      </c>
      <c r="F3776" s="42"/>
    </row>
    <row r="3777" spans="1:6">
      <c r="A3777" s="39">
        <f>A3776</f>
        <v>46048</v>
      </c>
      <c r="B3777" s="40"/>
      <c r="C3777" s="40"/>
      <c r="D3777" s="41"/>
      <c r="E3777" s="43">
        <f>C3777</f>
        <v>0</v>
      </c>
      <c r="F3777" s="42"/>
    </row>
    <row r="3778" spans="1:6">
      <c r="A3778" s="39">
        <f>A3777</f>
        <v>46048</v>
      </c>
      <c r="B3778" s="40"/>
      <c r="C3778" s="40"/>
      <c r="D3778" s="41"/>
      <c r="E3778" s="43">
        <f>C3778</f>
        <v>0</v>
      </c>
      <c r="F3778" s="42"/>
    </row>
    <row r="3779" spans="1:6">
      <c r="A3779" s="39">
        <f>A3778</f>
        <v>46048</v>
      </c>
      <c r="B3779" s="40"/>
      <c r="C3779" s="40"/>
      <c r="D3779" s="41"/>
      <c r="E3779" s="43">
        <f>C3779</f>
        <v>0</v>
      </c>
      <c r="F3779" s="42"/>
    </row>
    <row r="3780" spans="1:6">
      <c r="A3780" s="39">
        <f>A3779</f>
        <v>46048</v>
      </c>
      <c r="B3780" s="40"/>
      <c r="C3780" s="40"/>
      <c r="D3780" s="41"/>
      <c r="E3780" s="43">
        <f>C3780</f>
        <v>0</v>
      </c>
      <c r="F3780" s="42"/>
    </row>
    <row r="3781" spans="1:6">
      <c r="A3781" s="39">
        <f>A3780</f>
        <v>46048</v>
      </c>
      <c r="B3781" s="40"/>
      <c r="C3781" s="40"/>
      <c r="D3781" s="41"/>
      <c r="E3781" s="43">
        <f>C3781</f>
        <v>0</v>
      </c>
      <c r="F3781" s="42"/>
    </row>
    <row r="3782" spans="1:6">
      <c r="A3782" s="39">
        <f>A3781</f>
        <v>46048</v>
      </c>
      <c r="B3782" s="40"/>
      <c r="C3782" s="40"/>
      <c r="D3782" s="41"/>
      <c r="E3782" s="43">
        <f>C3782</f>
        <v>0</v>
      </c>
      <c r="F3782" s="42"/>
    </row>
    <row r="3783" spans="1:6">
      <c r="A3783" s="39">
        <f>A3782</f>
        <v>46048</v>
      </c>
      <c r="B3783" s="40"/>
      <c r="C3783" s="40"/>
      <c r="D3783" s="41"/>
      <c r="E3783" s="43">
        <f>C3783</f>
        <v>0</v>
      </c>
      <c r="F3783" s="42"/>
    </row>
    <row r="3784" spans="1:6">
      <c r="A3784" s="39">
        <f>A3783</f>
        <v>46048</v>
      </c>
      <c r="B3784" s="40"/>
      <c r="C3784" s="40"/>
      <c r="D3784" s="41"/>
      <c r="E3784" s="43">
        <f>C3784</f>
        <v>0</v>
      </c>
      <c r="F3784" s="42"/>
    </row>
    <row r="3785" spans="1:6">
      <c r="A3785" s="39">
        <f>A3784</f>
        <v>46048</v>
      </c>
      <c r="B3785" s="40"/>
      <c r="C3785" s="40"/>
      <c r="D3785" s="41"/>
      <c r="E3785" s="43">
        <f>C3785</f>
        <v>0</v>
      </c>
      <c r="F3785" s="42"/>
    </row>
    <row r="3786" spans="1:6">
      <c r="A3786" s="39">
        <f>A3785</f>
        <v>46048</v>
      </c>
      <c r="B3786" s="40"/>
      <c r="C3786" s="40"/>
      <c r="D3786" s="41"/>
      <c r="E3786" s="43">
        <f>C3786</f>
        <v>0</v>
      </c>
      <c r="F3786" s="42"/>
    </row>
    <row r="3787" spans="1:6">
      <c r="A3787" s="39">
        <f>A3786</f>
        <v>46048</v>
      </c>
      <c r="B3787" s="40"/>
      <c r="C3787" s="40"/>
      <c r="D3787" s="41"/>
      <c r="E3787" s="43">
        <f>C3787</f>
        <v>0</v>
      </c>
      <c r="F3787" s="42"/>
    </row>
    <row r="3788" spans="1:6">
      <c r="A3788" s="39">
        <f>A3787</f>
        <v>46048</v>
      </c>
      <c r="B3788" s="40"/>
      <c r="C3788" s="40"/>
      <c r="D3788" s="41"/>
      <c r="E3788" s="43">
        <f>C3788</f>
        <v>0</v>
      </c>
      <c r="F3788" s="42"/>
    </row>
    <row r="3789" spans="1:6">
      <c r="A3789" s="39">
        <f>A3788</f>
        <v>46048</v>
      </c>
      <c r="B3789" s="40"/>
      <c r="C3789" s="40"/>
      <c r="D3789" s="41"/>
      <c r="E3789" s="43">
        <f>C3789</f>
        <v>0</v>
      </c>
      <c r="F3789" s="42"/>
    </row>
    <row r="3790" spans="1:6">
      <c r="A3790" s="39">
        <f>A3789</f>
        <v>46048</v>
      </c>
      <c r="B3790" s="40"/>
      <c r="C3790" s="40"/>
      <c r="D3790" s="41"/>
      <c r="E3790" s="43">
        <f>C3790</f>
        <v>0</v>
      </c>
      <c r="F3790" s="42"/>
    </row>
    <row r="3791" spans="1:6">
      <c r="A3791" s="39">
        <f>A3790</f>
        <v>46048</v>
      </c>
      <c r="B3791" s="40"/>
      <c r="C3791" s="40"/>
      <c r="D3791" s="41"/>
      <c r="E3791" s="43">
        <f>C3791</f>
        <v>0</v>
      </c>
      <c r="F3791" s="42"/>
    </row>
    <row r="3792" spans="1:6">
      <c r="A3792" s="39">
        <f>A3791</f>
        <v>46048</v>
      </c>
      <c r="B3792" s="40"/>
      <c r="C3792" s="40"/>
      <c r="D3792" s="41"/>
      <c r="E3792" s="43">
        <f>C3792</f>
        <v>0</v>
      </c>
      <c r="F3792" s="42"/>
    </row>
    <row r="3793" spans="1:6">
      <c r="A3793" s="39">
        <f>A3792</f>
        <v>46048</v>
      </c>
      <c r="B3793" s="40"/>
      <c r="C3793" s="40"/>
      <c r="D3793" s="41"/>
      <c r="E3793" s="43">
        <f>C3793</f>
        <v>0</v>
      </c>
      <c r="F3793" s="42"/>
    </row>
    <row r="3794" spans="1:6">
      <c r="A3794" s="39">
        <f>A3793</f>
        <v>46048</v>
      </c>
      <c r="B3794" s="40"/>
      <c r="C3794" s="40"/>
      <c r="D3794" s="41"/>
      <c r="E3794" s="43">
        <f>C3794</f>
        <v>0</v>
      </c>
      <c r="F3794" s="42"/>
    </row>
    <row r="3795" spans="1:6">
      <c r="A3795" s="39">
        <f>A3794</f>
        <v>46048</v>
      </c>
      <c r="B3795" s="40"/>
      <c r="C3795" s="40"/>
      <c r="D3795" s="41"/>
      <c r="E3795" s="43">
        <f>C3795</f>
        <v>0</v>
      </c>
      <c r="F3795" s="42"/>
    </row>
    <row r="3796" spans="1:6">
      <c r="A3796" s="39">
        <f>A3795</f>
        <v>46048</v>
      </c>
      <c r="B3796" s="40"/>
      <c r="C3796" s="40"/>
      <c r="D3796" s="41"/>
      <c r="E3796" s="43">
        <f>C3796</f>
        <v>0</v>
      </c>
      <c r="F3796" s="42"/>
    </row>
    <row r="3797" spans="1:6">
      <c r="A3797" s="39">
        <f>A3796</f>
        <v>46048</v>
      </c>
      <c r="B3797" s="40"/>
      <c r="C3797" s="40"/>
      <c r="D3797" s="41"/>
      <c r="E3797" s="43">
        <f>C3797</f>
        <v>0</v>
      </c>
      <c r="F3797" s="42"/>
    </row>
    <row r="3798" spans="1:6">
      <c r="A3798" s="39">
        <f>A3797</f>
        <v>46048</v>
      </c>
      <c r="B3798" s="40"/>
      <c r="C3798" s="40"/>
      <c r="D3798" s="41"/>
      <c r="E3798" s="43">
        <f>C3798</f>
        <v>0</v>
      </c>
      <c r="F3798" s="42"/>
    </row>
    <row r="3799" spans="1:6">
      <c r="A3799" s="39">
        <f>A3798</f>
        <v>46048</v>
      </c>
      <c r="B3799" s="40"/>
      <c r="C3799" s="40"/>
      <c r="D3799" s="41"/>
      <c r="E3799" s="43">
        <f>C3799</f>
        <v>0</v>
      </c>
      <c r="F3799" s="42"/>
    </row>
    <row r="3800" spans="1:6">
      <c r="A3800" s="39">
        <f>A3799</f>
        <v>46048</v>
      </c>
      <c r="B3800" s="40"/>
      <c r="C3800" s="40"/>
      <c r="D3800" s="41"/>
      <c r="E3800" s="43">
        <f>C3800</f>
        <v>0</v>
      </c>
      <c r="F3800" s="42"/>
    </row>
    <row r="3801" spans="1:6">
      <c r="A3801" s="39">
        <f>A3800</f>
        <v>46048</v>
      </c>
      <c r="B3801" s="40"/>
      <c r="C3801" s="40"/>
      <c r="D3801" s="41"/>
      <c r="E3801" s="43">
        <f>C3801</f>
        <v>0</v>
      </c>
      <c r="F3801" s="42"/>
    </row>
    <row r="3802" spans="1:6">
      <c r="A3802" s="39">
        <f>A3801</f>
        <v>46048</v>
      </c>
      <c r="B3802" s="40"/>
      <c r="C3802" s="40"/>
      <c r="D3802" s="41"/>
      <c r="E3802" s="43">
        <f>C3802</f>
        <v>0</v>
      </c>
      <c r="F3802" s="42"/>
    </row>
    <row r="3803" spans="1:6">
      <c r="A3803" s="39">
        <f>A3802</f>
        <v>46048</v>
      </c>
      <c r="B3803" s="40"/>
      <c r="C3803" s="40"/>
      <c r="D3803" s="41"/>
      <c r="E3803" s="43">
        <f>C3803</f>
        <v>0</v>
      </c>
      <c r="F3803" s="42"/>
    </row>
    <row r="3804" spans="1:6">
      <c r="A3804" s="39">
        <f>A3803</f>
        <v>46048</v>
      </c>
      <c r="B3804" s="40"/>
      <c r="C3804" s="40"/>
      <c r="D3804" s="41"/>
      <c r="E3804" s="43">
        <f>C3804</f>
        <v>0</v>
      </c>
      <c r="F3804" s="42"/>
    </row>
    <row r="3805" spans="1:6">
      <c r="A3805" s="39">
        <f>A3804</f>
        <v>46048</v>
      </c>
      <c r="B3805" s="40"/>
      <c r="C3805" s="40"/>
      <c r="D3805" s="41"/>
      <c r="E3805" s="43">
        <f>C3805</f>
        <v>0</v>
      </c>
      <c r="F3805" s="42"/>
    </row>
    <row r="3806" spans="1:6">
      <c r="A3806" s="39">
        <f>A3805</f>
        <v>46048</v>
      </c>
      <c r="B3806" s="40"/>
      <c r="C3806" s="40"/>
      <c r="D3806" s="41"/>
      <c r="E3806" s="43">
        <f>C3806</f>
        <v>0</v>
      </c>
      <c r="F3806" s="42"/>
    </row>
    <row r="3807" spans="1:6">
      <c r="A3807" s="39">
        <f>A3806</f>
        <v>46048</v>
      </c>
      <c r="B3807" s="40"/>
      <c r="C3807" s="40"/>
      <c r="D3807" s="41"/>
      <c r="E3807" s="43">
        <f>C3807</f>
        <v>0</v>
      </c>
      <c r="F3807" s="42"/>
    </row>
    <row r="3808" spans="1:6">
      <c r="A3808" s="39">
        <f>A3807</f>
        <v>46048</v>
      </c>
      <c r="B3808" s="40"/>
      <c r="C3808" s="40"/>
      <c r="D3808" s="41"/>
      <c r="E3808" s="43">
        <f>C3808</f>
        <v>0</v>
      </c>
      <c r="F3808" s="42"/>
    </row>
    <row r="3809" spans="1:6">
      <c r="A3809" s="39">
        <f>A3808</f>
        <v>46048</v>
      </c>
      <c r="B3809" s="40"/>
      <c r="C3809" s="40"/>
      <c r="D3809" s="41"/>
      <c r="E3809" s="43">
        <f>C3809</f>
        <v>0</v>
      </c>
      <c r="F3809" s="42"/>
    </row>
    <row r="3810" spans="1:6">
      <c r="A3810" s="39">
        <f>A3809</f>
        <v>46048</v>
      </c>
      <c r="B3810" s="40"/>
      <c r="C3810" s="40"/>
      <c r="D3810" s="41"/>
      <c r="E3810" s="43">
        <f>C3810</f>
        <v>0</v>
      </c>
      <c r="F3810" s="42"/>
    </row>
    <row r="3811" spans="1:6">
      <c r="A3811" s="39">
        <f>A3810</f>
        <v>46048</v>
      </c>
      <c r="B3811" s="40"/>
      <c r="C3811" s="40"/>
      <c r="D3811" s="41"/>
      <c r="E3811" s="43">
        <f>C3811</f>
        <v>0</v>
      </c>
      <c r="F3811" s="42"/>
    </row>
    <row r="3812" spans="1:6">
      <c r="A3812" s="39">
        <f>A3811</f>
        <v>46048</v>
      </c>
      <c r="B3812" s="40"/>
      <c r="C3812" s="40"/>
      <c r="D3812" s="41"/>
      <c r="E3812" s="43">
        <f>C3812</f>
        <v>0</v>
      </c>
      <c r="F3812" s="42"/>
    </row>
    <row r="3813" spans="1:6">
      <c r="A3813" s="39">
        <f>A3812</f>
        <v>46048</v>
      </c>
      <c r="B3813" s="40"/>
      <c r="C3813" s="40"/>
      <c r="D3813" s="41"/>
      <c r="E3813" s="43">
        <f>C3813</f>
        <v>0</v>
      </c>
      <c r="F3813" s="42"/>
    </row>
    <row r="3814" spans="1:6">
      <c r="A3814" s="39">
        <f>A3813</f>
        <v>46048</v>
      </c>
      <c r="B3814" s="40"/>
      <c r="C3814" s="40"/>
      <c r="D3814" s="41"/>
      <c r="E3814" s="43">
        <f>C3814</f>
        <v>0</v>
      </c>
      <c r="F3814" s="42"/>
    </row>
    <row r="3815" spans="1:6">
      <c r="A3815" s="39">
        <f>A3814</f>
        <v>46048</v>
      </c>
      <c r="B3815" s="40"/>
      <c r="C3815" s="40"/>
      <c r="D3815" s="41"/>
      <c r="E3815" s="43">
        <f>C3815</f>
        <v>0</v>
      </c>
      <c r="F3815" s="42"/>
    </row>
    <row r="3816" spans="1:6">
      <c r="A3816" s="39">
        <f>A3815</f>
        <v>46048</v>
      </c>
      <c r="B3816" s="40"/>
      <c r="C3816" s="40"/>
      <c r="D3816" s="41"/>
      <c r="E3816" s="43">
        <f>C3816</f>
        <v>0</v>
      </c>
      <c r="F3816" s="42"/>
    </row>
    <row r="3817" spans="1:6">
      <c r="A3817" s="39">
        <f>A3816</f>
        <v>46048</v>
      </c>
      <c r="B3817" s="40"/>
      <c r="C3817" s="40"/>
      <c r="D3817" s="41"/>
      <c r="E3817" s="43">
        <f>C3817</f>
        <v>0</v>
      </c>
      <c r="F3817" s="42"/>
    </row>
    <row r="3818" spans="1:6">
      <c r="A3818" s="39">
        <f>A3817</f>
        <v>46048</v>
      </c>
      <c r="B3818" s="40"/>
      <c r="C3818" s="40"/>
      <c r="D3818" s="41"/>
      <c r="E3818" s="43">
        <f>C3818</f>
        <v>0</v>
      </c>
      <c r="F3818" s="42"/>
    </row>
    <row r="3819" spans="1:6">
      <c r="A3819" s="39">
        <f>A3818</f>
        <v>46048</v>
      </c>
      <c r="B3819" s="40"/>
      <c r="C3819" s="40"/>
      <c r="D3819" s="41"/>
      <c r="E3819" s="43">
        <f>C3819</f>
        <v>0</v>
      </c>
      <c r="F3819" s="42"/>
    </row>
    <row r="3820" spans="1:6">
      <c r="A3820" s="39">
        <f>A3819</f>
        <v>46048</v>
      </c>
      <c r="B3820" s="40"/>
      <c r="C3820" s="40"/>
      <c r="D3820" s="41"/>
      <c r="E3820" s="43">
        <f>C3820</f>
        <v>0</v>
      </c>
      <c r="F3820" s="42"/>
    </row>
    <row r="3821" spans="1:6">
      <c r="A3821" s="39">
        <f>A3820</f>
        <v>46048</v>
      </c>
      <c r="B3821" s="40"/>
      <c r="C3821" s="40"/>
      <c r="D3821" s="41"/>
      <c r="E3821" s="43">
        <f>C3821</f>
        <v>0</v>
      </c>
      <c r="F3821" s="42"/>
    </row>
    <row r="3822" spans="1:6">
      <c r="A3822" s="39">
        <f>A3821</f>
        <v>46048</v>
      </c>
      <c r="B3822" s="40"/>
      <c r="C3822" s="40"/>
      <c r="D3822" s="41"/>
      <c r="E3822" s="43">
        <f>C3822</f>
        <v>0</v>
      </c>
      <c r="F3822" s="42"/>
    </row>
    <row r="3823" spans="1:6">
      <c r="A3823" s="39">
        <f>A3822</f>
        <v>46048</v>
      </c>
      <c r="B3823" s="40"/>
      <c r="C3823" s="40"/>
      <c r="D3823" s="41"/>
      <c r="E3823" s="43">
        <f>C3823</f>
        <v>0</v>
      </c>
      <c r="F3823" s="42"/>
    </row>
    <row r="3824" spans="1:6">
      <c r="A3824" s="39">
        <f>A3823</f>
        <v>46048</v>
      </c>
      <c r="B3824" s="40"/>
      <c r="C3824" s="40"/>
      <c r="D3824" s="41"/>
      <c r="E3824" s="43">
        <f>C3824</f>
        <v>0</v>
      </c>
      <c r="F3824" s="42"/>
    </row>
    <row r="3825" spans="1:6">
      <c r="A3825" s="39">
        <f>A3824</f>
        <v>46048</v>
      </c>
      <c r="B3825" s="40"/>
      <c r="C3825" s="40"/>
      <c r="D3825" s="41"/>
      <c r="E3825" s="43">
        <f>C3825</f>
        <v>0</v>
      </c>
      <c r="F3825" s="42"/>
    </row>
    <row r="3826" spans="1:6">
      <c r="A3826" s="39">
        <f>A3825</f>
        <v>46048</v>
      </c>
      <c r="B3826" s="40"/>
      <c r="C3826" s="40"/>
      <c r="D3826" s="41"/>
      <c r="E3826" s="43">
        <f>C3826</f>
        <v>0</v>
      </c>
      <c r="F3826" s="42"/>
    </row>
    <row r="3827" spans="1:6">
      <c r="A3827" s="39">
        <f>A3826</f>
        <v>46048</v>
      </c>
      <c r="B3827" s="40"/>
      <c r="C3827" s="40"/>
      <c r="D3827" s="41"/>
      <c r="E3827" s="43">
        <f>C3827</f>
        <v>0</v>
      </c>
      <c r="F3827" s="42"/>
    </row>
    <row r="3828" spans="1:6">
      <c r="A3828" s="39">
        <f>A3827</f>
        <v>46048</v>
      </c>
      <c r="B3828" s="40"/>
      <c r="C3828" s="40"/>
      <c r="D3828" s="41"/>
      <c r="E3828" s="43">
        <f>C3828</f>
        <v>0</v>
      </c>
      <c r="F3828" s="42"/>
    </row>
    <row r="3829" spans="1:6">
      <c r="A3829" s="39">
        <f>A3828</f>
        <v>46048</v>
      </c>
      <c r="B3829" s="40"/>
      <c r="C3829" s="40"/>
      <c r="D3829" s="41"/>
      <c r="E3829" s="43">
        <f>C3829</f>
        <v>0</v>
      </c>
      <c r="F3829" s="42"/>
    </row>
    <row r="3830" spans="1:6">
      <c r="A3830" s="39">
        <f>A3829</f>
        <v>46048</v>
      </c>
      <c r="B3830" s="40"/>
      <c r="C3830" s="40"/>
      <c r="D3830" s="41"/>
      <c r="E3830" s="43">
        <f>C3830</f>
        <v>0</v>
      </c>
      <c r="F3830" s="42"/>
    </row>
    <row r="3831" spans="1:6">
      <c r="A3831" s="39">
        <f>A3830</f>
        <v>46048</v>
      </c>
      <c r="B3831" s="40"/>
      <c r="C3831" s="40"/>
      <c r="D3831" s="41"/>
      <c r="E3831" s="43">
        <f>C3831</f>
        <v>0</v>
      </c>
      <c r="F3831" s="42"/>
    </row>
    <row r="3832" spans="1:6">
      <c r="A3832" s="39">
        <f>A3831</f>
        <v>46048</v>
      </c>
      <c r="B3832" s="40"/>
      <c r="C3832" s="40"/>
      <c r="D3832" s="41"/>
      <c r="E3832" s="43">
        <f>C3832</f>
        <v>0</v>
      </c>
      <c r="F3832" s="42"/>
    </row>
    <row r="3833" spans="1:6">
      <c r="A3833" s="39">
        <f>A3832</f>
        <v>46048</v>
      </c>
      <c r="B3833" s="40"/>
      <c r="C3833" s="40"/>
      <c r="D3833" s="41"/>
      <c r="E3833" s="43">
        <f>C3833</f>
        <v>0</v>
      </c>
      <c r="F3833" s="42"/>
    </row>
    <row r="3834" spans="1:6">
      <c r="A3834" s="39">
        <f>A3833</f>
        <v>46048</v>
      </c>
      <c r="B3834" s="40"/>
      <c r="C3834" s="40"/>
      <c r="D3834" s="41"/>
      <c r="E3834" s="43">
        <f>C3834</f>
        <v>0</v>
      </c>
      <c r="F3834" s="42"/>
    </row>
    <row r="3835" spans="1:6">
      <c r="A3835" s="39">
        <f>A3834</f>
        <v>46048</v>
      </c>
      <c r="B3835" s="40"/>
      <c r="C3835" s="40"/>
      <c r="D3835" s="41"/>
      <c r="E3835" s="43">
        <f>C3835</f>
        <v>0</v>
      </c>
      <c r="F3835" s="42"/>
    </row>
    <row r="3836" spans="1:6">
      <c r="A3836" s="39">
        <f>A3835</f>
        <v>46048</v>
      </c>
      <c r="B3836" s="40"/>
      <c r="C3836" s="40"/>
      <c r="D3836" s="41"/>
      <c r="E3836" s="43">
        <f>C3836</f>
        <v>0</v>
      </c>
      <c r="F3836" s="42"/>
    </row>
    <row r="3837" spans="1:6">
      <c r="A3837" s="39">
        <f>A3836</f>
        <v>46048</v>
      </c>
      <c r="B3837" s="40"/>
      <c r="C3837" s="40"/>
      <c r="D3837" s="41"/>
      <c r="E3837" s="43">
        <f>C3837</f>
        <v>0</v>
      </c>
      <c r="F3837" s="42"/>
    </row>
    <row r="3838" spans="1:6">
      <c r="A3838" s="39">
        <f>A3837</f>
        <v>46048</v>
      </c>
      <c r="B3838" s="40"/>
      <c r="C3838" s="40"/>
      <c r="D3838" s="41"/>
      <c r="E3838" s="43">
        <f>C3838</f>
        <v>0</v>
      </c>
      <c r="F3838" s="42"/>
    </row>
    <row r="3839" spans="1:6">
      <c r="A3839" s="39">
        <f>A3838</f>
        <v>46048</v>
      </c>
      <c r="B3839" s="40"/>
      <c r="C3839" s="40"/>
      <c r="D3839" s="41"/>
      <c r="E3839" s="43">
        <f>C3839</f>
        <v>0</v>
      </c>
      <c r="F3839" s="42"/>
    </row>
    <row r="3840" spans="1:6">
      <c r="A3840" s="39">
        <f>A3839</f>
        <v>46048</v>
      </c>
      <c r="B3840" s="40"/>
      <c r="C3840" s="40"/>
      <c r="D3840" s="41"/>
      <c r="E3840" s="43">
        <f>C3840</f>
        <v>0</v>
      </c>
      <c r="F3840" s="42"/>
    </row>
    <row r="3841" spans="1:6">
      <c r="A3841" s="39">
        <f>A3840</f>
        <v>46048</v>
      </c>
      <c r="B3841" s="40"/>
      <c r="C3841" s="40"/>
      <c r="D3841" s="41"/>
      <c r="E3841" s="43">
        <f>C3841</f>
        <v>0</v>
      </c>
      <c r="F3841" s="42"/>
    </row>
    <row r="3842" spans="1:6">
      <c r="A3842" s="39">
        <f>A3841</f>
        <v>46048</v>
      </c>
      <c r="B3842" s="40"/>
      <c r="C3842" s="40"/>
      <c r="D3842" s="41"/>
      <c r="E3842" s="43">
        <f>C3842</f>
        <v>0</v>
      </c>
      <c r="F3842" s="42"/>
    </row>
    <row r="3843" spans="1:6">
      <c r="A3843" s="39">
        <f>A3842</f>
        <v>46048</v>
      </c>
      <c r="B3843" s="40"/>
      <c r="C3843" s="40"/>
      <c r="D3843" s="41"/>
      <c r="E3843" s="43">
        <f>C3843</f>
        <v>0</v>
      </c>
      <c r="F3843" s="42"/>
    </row>
    <row r="3844" spans="1:6">
      <c r="A3844" s="39">
        <f>A3843</f>
        <v>46048</v>
      </c>
      <c r="B3844" s="40"/>
      <c r="C3844" s="40"/>
      <c r="D3844" s="41"/>
      <c r="E3844" s="43">
        <f>C3844</f>
        <v>0</v>
      </c>
      <c r="F3844" s="42"/>
    </row>
    <row r="3845" spans="1:6">
      <c r="A3845" s="39">
        <f>A3844</f>
        <v>46048</v>
      </c>
      <c r="B3845" s="40"/>
      <c r="C3845" s="40"/>
      <c r="D3845" s="41"/>
      <c r="E3845" s="43">
        <f>C3845</f>
        <v>0</v>
      </c>
      <c r="F3845" s="42"/>
    </row>
    <row r="3846" spans="1:6">
      <c r="A3846" s="39">
        <f>A3845</f>
        <v>46048</v>
      </c>
      <c r="B3846" s="40"/>
      <c r="C3846" s="40"/>
      <c r="D3846" s="41"/>
      <c r="E3846" s="43">
        <f>C3846</f>
        <v>0</v>
      </c>
      <c r="F3846" s="42"/>
    </row>
    <row r="3847" spans="1:6">
      <c r="A3847" s="39">
        <f>A3846</f>
        <v>46048</v>
      </c>
      <c r="B3847" s="40"/>
      <c r="C3847" s="40"/>
      <c r="D3847" s="41"/>
      <c r="E3847" s="43">
        <f>C3847</f>
        <v>0</v>
      </c>
      <c r="F3847" s="42"/>
    </row>
    <row r="3848" spans="1:6">
      <c r="A3848" s="39">
        <f>A3847</f>
        <v>46048</v>
      </c>
      <c r="B3848" s="40"/>
      <c r="C3848" s="40"/>
      <c r="D3848" s="41"/>
      <c r="E3848" s="43">
        <f>C3848</f>
        <v>0</v>
      </c>
      <c r="F3848" s="42"/>
    </row>
    <row r="3849" spans="1:6">
      <c r="A3849" s="39">
        <f>A3848</f>
        <v>46048</v>
      </c>
      <c r="B3849" s="40"/>
      <c r="C3849" s="40"/>
      <c r="D3849" s="41"/>
      <c r="E3849" s="43">
        <f>C3849</f>
        <v>0</v>
      </c>
      <c r="F3849" s="42"/>
    </row>
    <row r="3850" spans="1:6">
      <c r="A3850" s="39">
        <f>A3849</f>
        <v>46048</v>
      </c>
      <c r="B3850" s="40"/>
      <c r="C3850" s="40"/>
      <c r="D3850" s="41"/>
      <c r="E3850" s="43">
        <f>C3850</f>
        <v>0</v>
      </c>
      <c r="F3850" s="42"/>
    </row>
    <row r="3851" spans="1:6">
      <c r="A3851" s="39">
        <f>A3850</f>
        <v>46048</v>
      </c>
      <c r="B3851" s="40"/>
      <c r="C3851" s="40"/>
      <c r="D3851" s="41"/>
      <c r="E3851" s="43">
        <f>C3851</f>
        <v>0</v>
      </c>
      <c r="F3851" s="42"/>
    </row>
    <row r="3852" spans="1:6">
      <c r="A3852" s="39">
        <f>A3851</f>
        <v>46048</v>
      </c>
      <c r="B3852" s="40"/>
      <c r="C3852" s="40"/>
      <c r="D3852" s="41"/>
      <c r="E3852" s="43">
        <f>C3852</f>
        <v>0</v>
      </c>
      <c r="F3852" s="42"/>
    </row>
    <row r="3853" spans="1:6">
      <c r="A3853" s="39">
        <f>A3852</f>
        <v>46048</v>
      </c>
      <c r="B3853" s="40"/>
      <c r="C3853" s="40"/>
      <c r="D3853" s="41"/>
      <c r="E3853" s="43">
        <f>C3853</f>
        <v>0</v>
      </c>
      <c r="F3853" s="42"/>
    </row>
    <row r="3854" spans="1:6">
      <c r="A3854" s="39">
        <f>A3853</f>
        <v>46048</v>
      </c>
      <c r="B3854" s="40"/>
      <c r="C3854" s="40"/>
      <c r="D3854" s="41"/>
      <c r="E3854" s="43">
        <f>C3854</f>
        <v>0</v>
      </c>
      <c r="F3854" s="42"/>
    </row>
    <row r="3855" spans="1:6">
      <c r="A3855" s="39">
        <f>A3854</f>
        <v>46048</v>
      </c>
      <c r="B3855" s="40"/>
      <c r="C3855" s="40"/>
      <c r="D3855" s="41"/>
      <c r="E3855" s="43">
        <f>C3855</f>
        <v>0</v>
      </c>
      <c r="F3855" s="42"/>
    </row>
    <row r="3856" spans="1:6">
      <c r="A3856" s="39">
        <f>A3855</f>
        <v>46048</v>
      </c>
      <c r="B3856" s="40"/>
      <c r="C3856" s="40"/>
      <c r="D3856" s="41"/>
      <c r="E3856" s="43">
        <f>C3856</f>
        <v>0</v>
      </c>
      <c r="F3856" s="42"/>
    </row>
    <row r="3857" spans="1:6">
      <c r="A3857" s="39">
        <f>A3856</f>
        <v>46048</v>
      </c>
      <c r="B3857" s="40"/>
      <c r="C3857" s="40"/>
      <c r="D3857" s="41"/>
      <c r="E3857" s="43">
        <f>C3857</f>
        <v>0</v>
      </c>
      <c r="F3857" s="42"/>
    </row>
    <row r="3858" spans="1:6">
      <c r="A3858" s="39">
        <f>A3857</f>
        <v>46048</v>
      </c>
      <c r="B3858" s="40"/>
      <c r="C3858" s="40"/>
      <c r="D3858" s="41"/>
      <c r="E3858" s="43">
        <f>C3858</f>
        <v>0</v>
      </c>
      <c r="F3858" s="42"/>
    </row>
    <row r="3859" spans="1:6">
      <c r="A3859" s="39">
        <f>A3858</f>
        <v>46048</v>
      </c>
      <c r="B3859" s="40"/>
      <c r="C3859" s="40"/>
      <c r="D3859" s="41"/>
      <c r="E3859" s="43">
        <f>C3859</f>
        <v>0</v>
      </c>
      <c r="F3859" s="42"/>
    </row>
    <row r="3860" spans="1:6">
      <c r="A3860" s="39">
        <f>A3859</f>
        <v>46048</v>
      </c>
      <c r="B3860" s="40"/>
      <c r="C3860" s="40"/>
      <c r="D3860" s="41"/>
      <c r="E3860" s="43">
        <f>C3860</f>
        <v>0</v>
      </c>
      <c r="F3860" s="42"/>
    </row>
    <row r="3861" spans="1:6">
      <c r="A3861" s="39">
        <f>A3860</f>
        <v>46048</v>
      </c>
      <c r="B3861" s="40"/>
      <c r="C3861" s="40"/>
      <c r="D3861" s="41"/>
      <c r="E3861" s="43">
        <f>C3861</f>
        <v>0</v>
      </c>
      <c r="F3861" s="42"/>
    </row>
    <row r="3862" spans="1:6">
      <c r="A3862" s="39">
        <f>A3861</f>
        <v>46048</v>
      </c>
      <c r="B3862" s="40"/>
      <c r="C3862" s="40"/>
      <c r="D3862" s="41"/>
      <c r="E3862" s="43">
        <f>C3862</f>
        <v>0</v>
      </c>
      <c r="F3862" s="42"/>
    </row>
    <row r="3863" spans="1:6">
      <c r="A3863" s="39">
        <f>A3862</f>
        <v>46048</v>
      </c>
      <c r="B3863" s="40"/>
      <c r="C3863" s="40"/>
      <c r="D3863" s="41"/>
      <c r="E3863" s="43">
        <f>C3863</f>
        <v>0</v>
      </c>
      <c r="F3863" s="42"/>
    </row>
    <row r="3864" spans="1:6">
      <c r="A3864" s="39">
        <f>A3863</f>
        <v>46048</v>
      </c>
      <c r="B3864" s="40"/>
      <c r="C3864" s="40"/>
      <c r="D3864" s="41"/>
      <c r="E3864" s="43">
        <f>C3864</f>
        <v>0</v>
      </c>
      <c r="F3864" s="42"/>
    </row>
    <row r="3865" spans="1:6">
      <c r="A3865" s="39">
        <f>A3864</f>
        <v>46048</v>
      </c>
      <c r="B3865" s="40"/>
      <c r="C3865" s="40"/>
      <c r="D3865" s="41"/>
      <c r="E3865" s="43">
        <f>C3865</f>
        <v>0</v>
      </c>
      <c r="F3865" s="42"/>
    </row>
    <row r="3866" spans="1:6">
      <c r="A3866" s="39">
        <f>A3865</f>
        <v>46048</v>
      </c>
      <c r="B3866" s="40"/>
      <c r="C3866" s="40"/>
      <c r="D3866" s="41"/>
      <c r="E3866" s="43">
        <f>C3866</f>
        <v>0</v>
      </c>
      <c r="F3866" s="42"/>
    </row>
    <row r="3867" spans="1:6">
      <c r="A3867" s="39">
        <f>A3866</f>
        <v>46048</v>
      </c>
      <c r="B3867" s="40"/>
      <c r="C3867" s="40"/>
      <c r="D3867" s="41"/>
      <c r="E3867" s="43">
        <f>C3867</f>
        <v>0</v>
      </c>
      <c r="F3867" s="42"/>
    </row>
    <row r="3868" spans="1:6">
      <c r="A3868" s="39">
        <f>A3867</f>
        <v>46048</v>
      </c>
      <c r="B3868" s="40"/>
      <c r="C3868" s="40"/>
      <c r="D3868" s="41"/>
      <c r="E3868" s="43">
        <f>C3868</f>
        <v>0</v>
      </c>
      <c r="F3868" s="42"/>
    </row>
    <row r="3869" spans="1:6">
      <c r="A3869" s="39">
        <f>A3868</f>
        <v>46048</v>
      </c>
      <c r="B3869" s="40"/>
      <c r="C3869" s="40"/>
      <c r="D3869" s="41"/>
      <c r="E3869" s="43">
        <f>C3869</f>
        <v>0</v>
      </c>
      <c r="F3869" s="42"/>
    </row>
    <row r="3870" spans="1:6">
      <c r="A3870" s="39">
        <f>A3869</f>
        <v>46048</v>
      </c>
      <c r="B3870" s="40"/>
      <c r="C3870" s="40"/>
      <c r="D3870" s="41"/>
      <c r="E3870" s="43">
        <f>C3870</f>
        <v>0</v>
      </c>
      <c r="F3870" s="42"/>
    </row>
    <row r="3871" spans="1:6">
      <c r="A3871" s="39">
        <f>A3870</f>
        <v>46048</v>
      </c>
      <c r="B3871" s="40"/>
      <c r="C3871" s="40"/>
      <c r="D3871" s="41"/>
      <c r="E3871" s="43">
        <f>C3871</f>
        <v>0</v>
      </c>
      <c r="F3871" s="42"/>
    </row>
    <row r="3872" spans="1:6">
      <c r="A3872" s="39">
        <f>A3871</f>
        <v>46048</v>
      </c>
      <c r="B3872" s="40"/>
      <c r="C3872" s="40"/>
      <c r="D3872" s="41"/>
      <c r="E3872" s="43">
        <f>C3872</f>
        <v>0</v>
      </c>
      <c r="F3872" s="42"/>
    </row>
    <row r="3873" spans="1:6">
      <c r="A3873" s="39">
        <f>A3872</f>
        <v>46048</v>
      </c>
      <c r="B3873" s="40"/>
      <c r="C3873" s="40"/>
      <c r="D3873" s="41"/>
      <c r="E3873" s="43">
        <f>C3873</f>
        <v>0</v>
      </c>
      <c r="F3873" s="42"/>
    </row>
    <row r="3874" spans="1:6">
      <c r="A3874" s="39">
        <f>A3873</f>
        <v>46048</v>
      </c>
      <c r="B3874" s="40"/>
      <c r="C3874" s="40"/>
      <c r="D3874" s="41"/>
      <c r="E3874" s="43">
        <f>C3874</f>
        <v>0</v>
      </c>
      <c r="F3874" s="42"/>
    </row>
    <row r="3875" spans="1:6">
      <c r="A3875" s="39">
        <f>A3874</f>
        <v>46048</v>
      </c>
      <c r="B3875" s="40"/>
      <c r="C3875" s="40"/>
      <c r="D3875" s="41"/>
      <c r="E3875" s="43">
        <f>C3875</f>
        <v>0</v>
      </c>
      <c r="F3875" s="42"/>
    </row>
    <row r="3876" spans="1:6">
      <c r="A3876" s="39">
        <f>A3875</f>
        <v>46048</v>
      </c>
      <c r="B3876" s="40"/>
      <c r="C3876" s="40"/>
      <c r="D3876" s="41"/>
      <c r="E3876" s="43">
        <f>C3876</f>
        <v>0</v>
      </c>
      <c r="F3876" s="42"/>
    </row>
    <row r="3877" spans="1:6">
      <c r="A3877" s="39">
        <f>A3876</f>
        <v>46048</v>
      </c>
      <c r="B3877" s="40"/>
      <c r="C3877" s="40"/>
      <c r="D3877" s="41"/>
      <c r="E3877" s="43">
        <f>C3877</f>
        <v>0</v>
      </c>
      <c r="F3877" s="42"/>
    </row>
    <row r="3878" spans="1:6">
      <c r="A3878" s="39">
        <f>A3877</f>
        <v>46048</v>
      </c>
      <c r="B3878" s="40"/>
      <c r="C3878" s="40"/>
      <c r="D3878" s="41"/>
      <c r="E3878" s="43">
        <f>C3878</f>
        <v>0</v>
      </c>
      <c r="F3878" s="42"/>
    </row>
    <row r="3879" spans="1:6">
      <c r="A3879" s="39">
        <f>A3878</f>
        <v>46048</v>
      </c>
      <c r="B3879" s="40"/>
      <c r="C3879" s="40"/>
      <c r="D3879" s="41"/>
      <c r="E3879" s="43">
        <f>C3879</f>
        <v>0</v>
      </c>
      <c r="F3879" s="42"/>
    </row>
    <row r="3880" spans="1:6">
      <c r="A3880" s="39">
        <f>A3879</f>
        <v>46048</v>
      </c>
      <c r="B3880" s="40"/>
      <c r="C3880" s="40"/>
      <c r="D3880" s="41"/>
      <c r="E3880" s="43">
        <f>C3880</f>
        <v>0</v>
      </c>
      <c r="F3880" s="42"/>
    </row>
    <row r="3881" spans="1:6">
      <c r="A3881" s="39">
        <f>A3880</f>
        <v>46048</v>
      </c>
      <c r="B3881" s="40"/>
      <c r="C3881" s="40"/>
      <c r="D3881" s="41"/>
      <c r="E3881" s="43">
        <f>C3881</f>
        <v>0</v>
      </c>
      <c r="F3881" s="42"/>
    </row>
    <row r="3882" spans="1:6">
      <c r="A3882" s="39">
        <f>A3881</f>
        <v>46048</v>
      </c>
      <c r="B3882" s="40"/>
      <c r="C3882" s="40"/>
      <c r="D3882" s="41"/>
      <c r="E3882" s="43">
        <f>C3882</f>
        <v>0</v>
      </c>
      <c r="F3882" s="42"/>
    </row>
    <row r="3883" spans="1:6">
      <c r="A3883" s="39">
        <f>A3882</f>
        <v>46048</v>
      </c>
      <c r="B3883" s="40"/>
      <c r="C3883" s="40"/>
      <c r="D3883" s="41"/>
      <c r="E3883" s="43">
        <f>C3883</f>
        <v>0</v>
      </c>
      <c r="F3883" s="42"/>
    </row>
    <row r="3884" spans="1:6">
      <c r="A3884" s="39">
        <f>A3883</f>
        <v>46048</v>
      </c>
      <c r="B3884" s="40"/>
      <c r="C3884" s="40"/>
      <c r="D3884" s="41"/>
      <c r="E3884" s="43">
        <f>C3884</f>
        <v>0</v>
      </c>
      <c r="F3884" s="42"/>
    </row>
    <row r="3885" spans="1:6">
      <c r="A3885" s="39">
        <f>A3884</f>
        <v>46048</v>
      </c>
      <c r="B3885" s="40"/>
      <c r="C3885" s="40"/>
      <c r="D3885" s="41"/>
      <c r="E3885" s="43">
        <f>C3885</f>
        <v>0</v>
      </c>
      <c r="F3885" s="42"/>
    </row>
    <row r="3886" spans="1:6">
      <c r="A3886" s="39">
        <f>A3885</f>
        <v>46048</v>
      </c>
      <c r="B3886" s="40"/>
      <c r="C3886" s="40"/>
      <c r="D3886" s="41"/>
      <c r="E3886" s="43">
        <f>C3886</f>
        <v>0</v>
      </c>
      <c r="F3886" s="42"/>
    </row>
    <row r="3887" spans="1:6">
      <c r="A3887" s="39">
        <f>A3886</f>
        <v>46048</v>
      </c>
      <c r="B3887" s="40"/>
      <c r="C3887" s="40"/>
      <c r="D3887" s="41"/>
      <c r="E3887" s="43">
        <f>C3887</f>
        <v>0</v>
      </c>
      <c r="F3887" s="42"/>
    </row>
    <row r="3888" spans="1:6">
      <c r="A3888" s="39">
        <f>A3887</f>
        <v>46048</v>
      </c>
      <c r="B3888" s="40"/>
      <c r="C3888" s="40"/>
      <c r="D3888" s="41"/>
      <c r="E3888" s="43">
        <f>C3888</f>
        <v>0</v>
      </c>
      <c r="F3888" s="42"/>
    </row>
    <row r="3889" spans="1:6">
      <c r="A3889" s="39">
        <f>A3888</f>
        <v>46048</v>
      </c>
      <c r="B3889" s="40"/>
      <c r="C3889" s="40"/>
      <c r="D3889" s="41"/>
      <c r="E3889" s="43">
        <f>C3889</f>
        <v>0</v>
      </c>
      <c r="F3889" s="42"/>
    </row>
    <row r="3890" spans="1:6">
      <c r="A3890" s="39">
        <f>A3889</f>
        <v>46048</v>
      </c>
      <c r="B3890" s="40"/>
      <c r="C3890" s="40"/>
      <c r="D3890" s="41"/>
      <c r="E3890" s="43">
        <f>C3890</f>
        <v>0</v>
      </c>
      <c r="F3890" s="42"/>
    </row>
    <row r="3891" spans="1:6">
      <c r="A3891" s="39">
        <f>A3890</f>
        <v>46048</v>
      </c>
      <c r="B3891" s="40"/>
      <c r="C3891" s="40"/>
      <c r="D3891" s="41"/>
      <c r="E3891" s="43">
        <f>C3891</f>
        <v>0</v>
      </c>
      <c r="F3891" s="42"/>
    </row>
    <row r="3892" spans="1:6">
      <c r="A3892" s="39">
        <f>A3891</f>
        <v>46048</v>
      </c>
      <c r="B3892" s="40"/>
      <c r="C3892" s="40"/>
      <c r="D3892" s="41"/>
      <c r="E3892" s="43">
        <f>C3892</f>
        <v>0</v>
      </c>
      <c r="F3892" s="42"/>
    </row>
    <row r="3893" spans="1:6">
      <c r="A3893" s="39">
        <f>A3892</f>
        <v>46048</v>
      </c>
      <c r="B3893" s="40"/>
      <c r="C3893" s="40"/>
      <c r="D3893" s="41"/>
      <c r="E3893" s="43">
        <f>C3893</f>
        <v>0</v>
      </c>
      <c r="F3893" s="42"/>
    </row>
    <row r="3894" spans="1:6">
      <c r="A3894" s="39">
        <f>A3893</f>
        <v>46048</v>
      </c>
      <c r="B3894" s="40"/>
      <c r="C3894" s="40"/>
      <c r="D3894" s="41"/>
      <c r="E3894" s="43">
        <f>C3894</f>
        <v>0</v>
      </c>
      <c r="F3894" s="42"/>
    </row>
    <row r="3895" spans="1:6">
      <c r="A3895" s="39">
        <f>A3894</f>
        <v>46048</v>
      </c>
      <c r="B3895" s="40"/>
      <c r="C3895" s="40"/>
      <c r="D3895" s="41"/>
      <c r="E3895" s="43">
        <f>C3895</f>
        <v>0</v>
      </c>
      <c r="F3895" s="42"/>
    </row>
    <row r="3896" spans="1:6">
      <c r="A3896" s="39">
        <f>A3895</f>
        <v>46048</v>
      </c>
      <c r="B3896" s="40"/>
      <c r="C3896" s="40"/>
      <c r="D3896" s="41"/>
      <c r="E3896" s="43">
        <f>C3896</f>
        <v>0</v>
      </c>
      <c r="F3896" s="42"/>
    </row>
    <row r="3897" spans="1:6">
      <c r="A3897" s="39">
        <f>A3896</f>
        <v>46048</v>
      </c>
      <c r="B3897" s="40"/>
      <c r="C3897" s="40"/>
      <c r="D3897" s="41"/>
      <c r="E3897" s="43">
        <f>C3897</f>
        <v>0</v>
      </c>
      <c r="F3897" s="42"/>
    </row>
    <row r="3898" spans="1:6">
      <c r="A3898" s="39">
        <f>A3897</f>
        <v>46048</v>
      </c>
      <c r="B3898" s="40"/>
      <c r="C3898" s="40"/>
      <c r="D3898" s="41"/>
      <c r="E3898" s="43">
        <f>C3898</f>
        <v>0</v>
      </c>
      <c r="F3898" s="42"/>
    </row>
    <row r="3899" spans="1:6">
      <c r="A3899" s="39">
        <f>A3898</f>
        <v>46048</v>
      </c>
      <c r="B3899" s="40"/>
      <c r="C3899" s="40"/>
      <c r="D3899" s="41"/>
      <c r="E3899" s="43">
        <f>C3899</f>
        <v>0</v>
      </c>
      <c r="F3899" s="42"/>
    </row>
    <row r="3900" spans="1:6">
      <c r="A3900" s="39">
        <f>A3899</f>
        <v>46048</v>
      </c>
      <c r="B3900" s="40"/>
      <c r="C3900" s="40"/>
      <c r="D3900" s="41"/>
      <c r="E3900" s="43">
        <f>C3900</f>
        <v>0</v>
      </c>
      <c r="F3900" s="42"/>
    </row>
    <row r="3901" spans="1:6">
      <c r="A3901" s="39">
        <f>A3900</f>
        <v>46048</v>
      </c>
      <c r="B3901" s="40"/>
      <c r="C3901" s="40"/>
      <c r="D3901" s="41"/>
      <c r="E3901" s="43">
        <f>C3901</f>
        <v>0</v>
      </c>
      <c r="F3901" s="42"/>
    </row>
    <row r="3902" spans="1:6">
      <c r="A3902" s="39">
        <f>A3901</f>
        <v>46048</v>
      </c>
      <c r="B3902" s="40"/>
      <c r="C3902" s="40"/>
      <c r="D3902" s="41"/>
      <c r="E3902" s="43">
        <f>C3902</f>
        <v>0</v>
      </c>
      <c r="F3902" s="42"/>
    </row>
    <row r="3903" spans="1:6">
      <c r="A3903" s="39">
        <f>A3902</f>
        <v>46048</v>
      </c>
      <c r="B3903" s="40"/>
      <c r="C3903" s="40"/>
      <c r="D3903" s="41"/>
      <c r="E3903" s="43">
        <f>C3903</f>
        <v>0</v>
      </c>
      <c r="F3903" s="42"/>
    </row>
    <row r="3904" spans="1:6">
      <c r="A3904" s="39">
        <f>A3903</f>
        <v>46048</v>
      </c>
      <c r="B3904" s="40"/>
      <c r="C3904" s="40"/>
      <c r="D3904" s="41"/>
      <c r="E3904" s="43">
        <f>C3904</f>
        <v>0</v>
      </c>
      <c r="F3904" s="42"/>
    </row>
    <row r="3905" spans="1:6">
      <c r="A3905" s="39">
        <f>A3904</f>
        <v>46048</v>
      </c>
      <c r="B3905" s="40"/>
      <c r="C3905" s="40"/>
      <c r="D3905" s="41"/>
      <c r="E3905" s="43">
        <f>C3905</f>
        <v>0</v>
      </c>
      <c r="F3905" s="42"/>
    </row>
    <row r="3906" spans="1:6">
      <c r="A3906" s="39">
        <f>A3905</f>
        <v>46048</v>
      </c>
      <c r="B3906" s="40"/>
      <c r="C3906" s="40"/>
      <c r="D3906" s="41"/>
      <c r="E3906" s="43">
        <f>C3906</f>
        <v>0</v>
      </c>
      <c r="F3906" s="42"/>
    </row>
    <row r="3907" spans="1:6">
      <c r="A3907" s="39">
        <f>A3906</f>
        <v>46048</v>
      </c>
      <c r="B3907" s="40"/>
      <c r="C3907" s="40"/>
      <c r="D3907" s="41"/>
      <c r="E3907" s="43">
        <f>C3907</f>
        <v>0</v>
      </c>
      <c r="F3907" s="42"/>
    </row>
    <row r="3908" spans="1:6">
      <c r="A3908" s="39">
        <f>A3907</f>
        <v>46048</v>
      </c>
      <c r="B3908" s="40"/>
      <c r="C3908" s="40"/>
      <c r="D3908" s="41"/>
      <c r="E3908" s="43">
        <f>C3908</f>
        <v>0</v>
      </c>
      <c r="F3908" s="42"/>
    </row>
    <row r="3909" spans="1:6">
      <c r="A3909" s="39">
        <f>A3908</f>
        <v>46048</v>
      </c>
      <c r="B3909" s="40"/>
      <c r="C3909" s="40"/>
      <c r="D3909" s="41"/>
      <c r="E3909" s="43">
        <f>C3909</f>
        <v>0</v>
      </c>
      <c r="F3909" s="42"/>
    </row>
    <row r="3910" spans="1:6">
      <c r="A3910" s="39">
        <f>A3909</f>
        <v>46048</v>
      </c>
      <c r="B3910" s="40"/>
      <c r="C3910" s="40"/>
      <c r="D3910" s="41"/>
      <c r="E3910" s="43">
        <f>C3910</f>
        <v>0</v>
      </c>
      <c r="F3910" s="42"/>
    </row>
    <row r="3911" spans="1:6">
      <c r="A3911" s="39">
        <f>A3910</f>
        <v>46048</v>
      </c>
      <c r="B3911" s="40"/>
      <c r="C3911" s="40"/>
      <c r="D3911" s="41"/>
      <c r="E3911" s="43">
        <f>C3911</f>
        <v>0</v>
      </c>
      <c r="F3911" s="42"/>
    </row>
    <row r="3912" spans="1:6">
      <c r="A3912" s="39">
        <f>A3911</f>
        <v>46048</v>
      </c>
      <c r="B3912" s="40"/>
      <c r="C3912" s="40"/>
      <c r="D3912" s="41"/>
      <c r="E3912" s="43">
        <f>C3912</f>
        <v>0</v>
      </c>
      <c r="F3912" s="42"/>
    </row>
    <row r="3913" spans="1:6">
      <c r="A3913" s="39">
        <f>A3912</f>
        <v>46048</v>
      </c>
      <c r="B3913" s="40"/>
      <c r="C3913" s="40"/>
      <c r="D3913" s="41"/>
      <c r="E3913" s="43">
        <f>C3913</f>
        <v>0</v>
      </c>
      <c r="F3913" s="42"/>
    </row>
    <row r="3914" spans="1:6">
      <c r="A3914" s="39">
        <f>A3913</f>
        <v>46048</v>
      </c>
      <c r="B3914" s="40"/>
      <c r="C3914" s="40"/>
      <c r="D3914" s="41"/>
      <c r="E3914" s="43">
        <f>C3914</f>
        <v>0</v>
      </c>
      <c r="F3914" s="42"/>
    </row>
    <row r="3915" spans="1:6">
      <c r="A3915" s="39">
        <f>A3914</f>
        <v>46048</v>
      </c>
      <c r="B3915" s="40"/>
      <c r="C3915" s="40"/>
      <c r="D3915" s="41"/>
      <c r="E3915" s="43">
        <f>C3915</f>
        <v>0</v>
      </c>
      <c r="F3915" s="42"/>
    </row>
    <row r="3916" spans="1:6">
      <c r="A3916" s="39">
        <f>A3915</f>
        <v>46048</v>
      </c>
      <c r="B3916" s="40"/>
      <c r="C3916" s="40"/>
      <c r="D3916" s="41"/>
      <c r="E3916" s="43">
        <f>C3916</f>
        <v>0</v>
      </c>
      <c r="F3916" s="42"/>
    </row>
    <row r="3917" spans="1:6">
      <c r="A3917" s="39">
        <f>A3916</f>
        <v>46048</v>
      </c>
      <c r="B3917" s="40"/>
      <c r="C3917" s="40"/>
      <c r="D3917" s="41"/>
      <c r="E3917" s="43">
        <f>C3917</f>
        <v>0</v>
      </c>
      <c r="F3917" s="42"/>
    </row>
    <row r="3918" spans="1:6">
      <c r="A3918" s="39">
        <f>A3917</f>
        <v>46048</v>
      </c>
      <c r="B3918" s="40"/>
      <c r="C3918" s="40"/>
      <c r="D3918" s="41"/>
      <c r="E3918" s="43">
        <f>C3918</f>
        <v>0</v>
      </c>
      <c r="F3918" s="42"/>
    </row>
    <row r="3919" spans="1:6">
      <c r="A3919" s="39">
        <f>A3918</f>
        <v>46048</v>
      </c>
      <c r="B3919" s="40"/>
      <c r="C3919" s="40"/>
      <c r="D3919" s="41"/>
      <c r="E3919" s="43">
        <f>C3919</f>
        <v>0</v>
      </c>
      <c r="F3919" s="42"/>
    </row>
    <row r="3920" spans="1:6">
      <c r="A3920" s="39">
        <f>A3919</f>
        <v>46048</v>
      </c>
      <c r="B3920" s="40"/>
      <c r="C3920" s="40"/>
      <c r="D3920" s="41"/>
      <c r="E3920" s="43">
        <f>C3920</f>
        <v>0</v>
      </c>
      <c r="F3920" s="42"/>
    </row>
    <row r="3921" spans="1:6">
      <c r="A3921" s="39">
        <f>A3920</f>
        <v>46048</v>
      </c>
      <c r="B3921" s="40"/>
      <c r="C3921" s="40"/>
      <c r="D3921" s="41"/>
      <c r="E3921" s="43">
        <f>C3921</f>
        <v>0</v>
      </c>
      <c r="F3921" s="42"/>
    </row>
    <row r="3922" spans="1:6">
      <c r="A3922" s="39">
        <f>A3921</f>
        <v>46048</v>
      </c>
      <c r="B3922" s="40"/>
      <c r="C3922" s="40"/>
      <c r="D3922" s="41"/>
      <c r="E3922" s="43">
        <f>C3922</f>
        <v>0</v>
      </c>
      <c r="F3922" s="42"/>
    </row>
    <row r="3923" spans="1:6">
      <c r="A3923" s="39">
        <f>A3922</f>
        <v>46048</v>
      </c>
      <c r="B3923" s="40"/>
      <c r="C3923" s="40"/>
      <c r="D3923" s="41"/>
      <c r="E3923" s="43">
        <f>C3923</f>
        <v>0</v>
      </c>
      <c r="F3923" s="42"/>
    </row>
    <row r="3924" spans="1:6">
      <c r="A3924" s="39">
        <f>A3923</f>
        <v>46048</v>
      </c>
      <c r="B3924" s="40"/>
      <c r="C3924" s="40"/>
      <c r="D3924" s="41"/>
      <c r="E3924" s="43">
        <f>C3924</f>
        <v>0</v>
      </c>
      <c r="F3924" s="42"/>
    </row>
    <row r="3925" spans="1:6">
      <c r="A3925" s="39">
        <f>A3924</f>
        <v>46048</v>
      </c>
      <c r="B3925" s="40"/>
      <c r="C3925" s="40"/>
      <c r="D3925" s="41"/>
      <c r="E3925" s="43">
        <f>C3925</f>
        <v>0</v>
      </c>
      <c r="F3925" s="42"/>
    </row>
    <row r="3926" spans="1:6">
      <c r="A3926" s="39">
        <f>A3925</f>
        <v>46048</v>
      </c>
      <c r="B3926" s="40"/>
      <c r="C3926" s="40"/>
      <c r="D3926" s="41"/>
      <c r="E3926" s="43">
        <f>C3926</f>
        <v>0</v>
      </c>
      <c r="F3926" s="42"/>
    </row>
    <row r="3927" spans="1:6">
      <c r="A3927" s="39">
        <f>A3926</f>
        <v>46048</v>
      </c>
      <c r="B3927" s="40"/>
      <c r="C3927" s="40"/>
      <c r="D3927" s="41"/>
      <c r="E3927" s="43">
        <f>C3927</f>
        <v>0</v>
      </c>
      <c r="F3927" s="42"/>
    </row>
    <row r="3928" spans="1:6">
      <c r="A3928" s="39">
        <f>A3927</f>
        <v>46048</v>
      </c>
      <c r="B3928" s="40"/>
      <c r="C3928" s="40"/>
      <c r="D3928" s="41"/>
      <c r="E3928" s="43">
        <f>C3928</f>
        <v>0</v>
      </c>
      <c r="F3928" s="42"/>
    </row>
    <row r="3929" spans="1:6">
      <c r="A3929" s="39">
        <f>A3928</f>
        <v>46048</v>
      </c>
      <c r="B3929" s="40"/>
      <c r="C3929" s="40"/>
      <c r="D3929" s="41"/>
      <c r="E3929" s="43">
        <f>C3929</f>
        <v>0</v>
      </c>
      <c r="F3929" s="42"/>
    </row>
    <row r="3930" spans="1:6">
      <c r="A3930" s="39">
        <f>A3929</f>
        <v>46048</v>
      </c>
      <c r="B3930" s="40"/>
      <c r="C3930" s="40"/>
      <c r="D3930" s="41"/>
      <c r="E3930" s="43">
        <f>C3930</f>
        <v>0</v>
      </c>
      <c r="F3930" s="42"/>
    </row>
    <row r="3931" spans="1:6">
      <c r="A3931" s="39">
        <f>A3930</f>
        <v>46048</v>
      </c>
      <c r="B3931" s="40"/>
      <c r="C3931" s="40"/>
      <c r="D3931" s="41"/>
      <c r="E3931" s="43">
        <f>C3931</f>
        <v>0</v>
      </c>
      <c r="F3931" s="42"/>
    </row>
    <row r="3932" spans="1:6">
      <c r="A3932" s="39">
        <f>A3931</f>
        <v>46048</v>
      </c>
      <c r="B3932" s="40"/>
      <c r="C3932" s="40"/>
      <c r="D3932" s="41"/>
      <c r="E3932" s="43">
        <f>C3932</f>
        <v>0</v>
      </c>
      <c r="F3932" s="42"/>
    </row>
    <row r="3933" spans="1:6">
      <c r="A3933" s="39">
        <f>A3932</f>
        <v>46048</v>
      </c>
      <c r="B3933" s="40"/>
      <c r="C3933" s="40"/>
      <c r="D3933" s="41"/>
      <c r="E3933" s="43">
        <f>C3933</f>
        <v>0</v>
      </c>
      <c r="F3933" s="42"/>
    </row>
    <row r="3934" spans="1:6">
      <c r="A3934" s="39">
        <f>A3933</f>
        <v>46048</v>
      </c>
      <c r="B3934" s="40"/>
      <c r="C3934" s="40"/>
      <c r="D3934" s="41"/>
      <c r="E3934" s="43">
        <f>C3934</f>
        <v>0</v>
      </c>
      <c r="F3934" s="42"/>
    </row>
    <row r="3935" spans="1:6">
      <c r="A3935" s="39">
        <f>A3934</f>
        <v>46048</v>
      </c>
      <c r="B3935" s="40"/>
      <c r="C3935" s="40"/>
      <c r="D3935" s="41"/>
      <c r="E3935" s="43">
        <f>C3935</f>
        <v>0</v>
      </c>
      <c r="F3935" s="42"/>
    </row>
    <row r="3936" spans="1:6">
      <c r="A3936" s="39">
        <f>A3935</f>
        <v>46048</v>
      </c>
      <c r="B3936" s="40"/>
      <c r="C3936" s="40"/>
      <c r="D3936" s="41"/>
      <c r="E3936" s="43">
        <f>C3936</f>
        <v>0</v>
      </c>
      <c r="F3936" s="42"/>
    </row>
    <row r="3937" spans="1:6">
      <c r="A3937" s="39">
        <f>A3936</f>
        <v>46048</v>
      </c>
      <c r="B3937" s="40"/>
      <c r="C3937" s="40"/>
      <c r="D3937" s="41"/>
      <c r="E3937" s="43">
        <f>C3937</f>
        <v>0</v>
      </c>
      <c r="F3937" s="42"/>
    </row>
    <row r="3938" spans="1:6">
      <c r="A3938" s="39">
        <f>A3937</f>
        <v>46048</v>
      </c>
      <c r="B3938" s="40"/>
      <c r="C3938" s="40"/>
      <c r="D3938" s="41"/>
      <c r="E3938" s="43">
        <f>C3938</f>
        <v>0</v>
      </c>
      <c r="F3938" s="42"/>
    </row>
    <row r="3939" spans="1:6">
      <c r="A3939" s="39">
        <f>A3938</f>
        <v>46048</v>
      </c>
      <c r="B3939" s="40"/>
      <c r="C3939" s="40"/>
      <c r="D3939" s="41"/>
      <c r="E3939" s="43">
        <f>C3939</f>
        <v>0</v>
      </c>
      <c r="F3939" s="42"/>
    </row>
    <row r="3940" spans="1:6">
      <c r="A3940" s="39">
        <f>A3939</f>
        <v>46048</v>
      </c>
      <c r="B3940" s="40"/>
      <c r="C3940" s="40"/>
      <c r="D3940" s="41"/>
      <c r="E3940" s="43">
        <f>C3940</f>
        <v>0</v>
      </c>
      <c r="F3940" s="42"/>
    </row>
    <row r="3941" spans="1:6">
      <c r="A3941" s="39">
        <f>A3940</f>
        <v>46048</v>
      </c>
      <c r="B3941" s="40"/>
      <c r="C3941" s="40"/>
      <c r="D3941" s="41"/>
      <c r="E3941" s="43">
        <f>C3941</f>
        <v>0</v>
      </c>
      <c r="F3941" s="42"/>
    </row>
    <row r="3942" spans="1:6">
      <c r="A3942" s="39">
        <f>A3941</f>
        <v>46048</v>
      </c>
      <c r="B3942" s="40"/>
      <c r="C3942" s="40"/>
      <c r="D3942" s="41"/>
      <c r="E3942" s="43">
        <f>C3942</f>
        <v>0</v>
      </c>
      <c r="F3942" s="42"/>
    </row>
    <row r="3943" spans="1:6">
      <c r="A3943" s="39">
        <f>A3942</f>
        <v>46048</v>
      </c>
      <c r="B3943" s="40"/>
      <c r="C3943" s="40"/>
      <c r="D3943" s="41"/>
      <c r="E3943" s="43">
        <f>C3943</f>
        <v>0</v>
      </c>
      <c r="F3943" s="42"/>
    </row>
    <row r="3944" spans="1:6">
      <c r="A3944" s="39">
        <f>A3943</f>
        <v>46048</v>
      </c>
      <c r="B3944" s="40"/>
      <c r="C3944" s="40"/>
      <c r="D3944" s="41"/>
      <c r="E3944" s="43">
        <f>C3944</f>
        <v>0</v>
      </c>
      <c r="F3944" s="42"/>
    </row>
    <row r="3945" spans="1:6">
      <c r="A3945" s="39">
        <f>A3944</f>
        <v>46048</v>
      </c>
      <c r="B3945" s="40"/>
      <c r="C3945" s="40"/>
      <c r="D3945" s="41"/>
      <c r="E3945" s="43">
        <f>C3945</f>
        <v>0</v>
      </c>
      <c r="F3945" s="42"/>
    </row>
    <row r="3946" spans="1:6">
      <c r="A3946" s="39">
        <f>A3945</f>
        <v>46048</v>
      </c>
      <c r="B3946" s="40"/>
      <c r="C3946" s="40"/>
      <c r="D3946" s="41"/>
      <c r="E3946" s="43">
        <f>C3946</f>
        <v>0</v>
      </c>
      <c r="F3946" s="42"/>
    </row>
    <row r="3947" spans="1:6">
      <c r="A3947" s="39">
        <f>A3946</f>
        <v>46048</v>
      </c>
      <c r="B3947" s="40"/>
      <c r="C3947" s="40"/>
      <c r="D3947" s="41"/>
      <c r="E3947" s="43">
        <f>C3947</f>
        <v>0</v>
      </c>
      <c r="F3947" s="42"/>
    </row>
    <row r="3948" spans="1:6">
      <c r="A3948" s="39">
        <f>A3947</f>
        <v>46048</v>
      </c>
      <c r="B3948" s="40"/>
      <c r="C3948" s="40"/>
      <c r="D3948" s="41"/>
      <c r="E3948" s="43">
        <f>C3948</f>
        <v>0</v>
      </c>
      <c r="F3948" s="42"/>
    </row>
    <row r="3949" spans="1:6">
      <c r="A3949" s="39">
        <f>A3948</f>
        <v>46048</v>
      </c>
      <c r="B3949" s="40"/>
      <c r="C3949" s="40"/>
      <c r="D3949" s="41"/>
      <c r="E3949" s="43">
        <f>C3949</f>
        <v>0</v>
      </c>
      <c r="F3949" s="42"/>
    </row>
    <row r="3950" spans="1:6">
      <c r="A3950" s="39">
        <f>A3949</f>
        <v>46048</v>
      </c>
      <c r="B3950" s="40"/>
      <c r="C3950" s="40"/>
      <c r="D3950" s="41"/>
      <c r="E3950" s="43">
        <f>C3950</f>
        <v>0</v>
      </c>
      <c r="F3950" s="42"/>
    </row>
    <row r="3951" spans="1:6">
      <c r="A3951" s="39">
        <f>A3950</f>
        <v>46048</v>
      </c>
      <c r="B3951" s="40"/>
      <c r="C3951" s="40"/>
      <c r="D3951" s="41"/>
      <c r="E3951" s="43">
        <f>C3951</f>
        <v>0</v>
      </c>
      <c r="F3951" s="42"/>
    </row>
    <row r="3952" spans="1:6">
      <c r="A3952" s="39">
        <f>A3951</f>
        <v>46048</v>
      </c>
      <c r="B3952" s="40"/>
      <c r="C3952" s="40"/>
      <c r="D3952" s="41"/>
      <c r="E3952" s="43">
        <f>C3952</f>
        <v>0</v>
      </c>
      <c r="F3952" s="42"/>
    </row>
    <row r="3953" spans="1:6">
      <c r="A3953" s="39">
        <f>A3952</f>
        <v>46048</v>
      </c>
      <c r="B3953" s="40"/>
      <c r="C3953" s="40"/>
      <c r="D3953" s="41"/>
      <c r="E3953" s="43">
        <f>C3953</f>
        <v>0</v>
      </c>
      <c r="F3953" s="42"/>
    </row>
    <row r="3954" spans="1:6">
      <c r="A3954" s="39">
        <f>A3953</f>
        <v>46048</v>
      </c>
      <c r="B3954" s="40"/>
      <c r="C3954" s="40"/>
      <c r="D3954" s="41"/>
      <c r="E3954" s="43">
        <f>C3954</f>
        <v>0</v>
      </c>
      <c r="F3954" s="42"/>
    </row>
    <row r="3955" spans="1:6">
      <c r="A3955" s="39">
        <f>A3954</f>
        <v>46048</v>
      </c>
      <c r="B3955" s="40"/>
      <c r="C3955" s="40"/>
      <c r="D3955" s="41"/>
      <c r="E3955" s="43">
        <f>C3955</f>
        <v>0</v>
      </c>
      <c r="F3955" s="42"/>
    </row>
    <row r="3956" spans="1:6">
      <c r="A3956" s="39">
        <f>A3955</f>
        <v>46048</v>
      </c>
      <c r="B3956" s="40"/>
      <c r="C3956" s="40"/>
      <c r="D3956" s="41"/>
      <c r="E3956" s="43">
        <f>C3956</f>
        <v>0</v>
      </c>
      <c r="F3956" s="42"/>
    </row>
    <row r="3957" spans="1:6">
      <c r="A3957" s="39">
        <f>A3956</f>
        <v>46048</v>
      </c>
      <c r="B3957" s="40"/>
      <c r="C3957" s="40"/>
      <c r="D3957" s="41"/>
      <c r="E3957" s="43">
        <f>C3957</f>
        <v>0</v>
      </c>
      <c r="F3957" s="42"/>
    </row>
    <row r="3958" spans="1:6">
      <c r="A3958" s="39">
        <f>A3957</f>
        <v>46048</v>
      </c>
      <c r="B3958" s="40"/>
      <c r="C3958" s="40"/>
      <c r="D3958" s="41"/>
      <c r="E3958" s="43">
        <f>C3958</f>
        <v>0</v>
      </c>
      <c r="F3958" s="42"/>
    </row>
    <row r="3959" spans="1:6">
      <c r="A3959" s="39">
        <f>A3958</f>
        <v>46048</v>
      </c>
      <c r="B3959" s="40"/>
      <c r="C3959" s="40"/>
      <c r="D3959" s="41"/>
      <c r="E3959" s="43">
        <f>C3959</f>
        <v>0</v>
      </c>
      <c r="F3959" s="42"/>
    </row>
    <row r="3960" spans="1:6">
      <c r="A3960" s="39">
        <f>A3959</f>
        <v>46048</v>
      </c>
      <c r="B3960" s="40"/>
      <c r="C3960" s="40"/>
      <c r="D3960" s="41"/>
      <c r="E3960" s="43">
        <f>C3960</f>
        <v>0</v>
      </c>
      <c r="F3960" s="42"/>
    </row>
    <row r="3961" spans="1:6">
      <c r="A3961" s="39">
        <f>A3960</f>
        <v>46048</v>
      </c>
      <c r="B3961" s="40"/>
      <c r="C3961" s="40"/>
      <c r="D3961" s="41"/>
      <c r="E3961" s="43">
        <f>C3961</f>
        <v>0</v>
      </c>
      <c r="F3961" s="42"/>
    </row>
    <row r="3962" spans="1:6">
      <c r="A3962" s="39">
        <f>A3961</f>
        <v>46048</v>
      </c>
      <c r="B3962" s="40"/>
      <c r="C3962" s="40"/>
      <c r="D3962" s="41"/>
      <c r="E3962" s="43">
        <f>C3962</f>
        <v>0</v>
      </c>
      <c r="F3962" s="42"/>
    </row>
    <row r="3963" spans="1:6">
      <c r="A3963" s="39">
        <f>A3962</f>
        <v>46048</v>
      </c>
      <c r="B3963" s="40"/>
      <c r="C3963" s="40"/>
      <c r="D3963" s="41"/>
      <c r="E3963" s="43">
        <f>C3963</f>
        <v>0</v>
      </c>
      <c r="F3963" s="42"/>
    </row>
    <row r="3964" spans="1:6">
      <c r="A3964" s="39">
        <f>A3963</f>
        <v>46048</v>
      </c>
      <c r="B3964" s="40"/>
      <c r="C3964" s="40"/>
      <c r="D3964" s="41"/>
      <c r="E3964" s="43">
        <f>C3964</f>
        <v>0</v>
      </c>
      <c r="F3964" s="42"/>
    </row>
    <row r="3965" spans="1:6">
      <c r="A3965" s="39">
        <f>A3964</f>
        <v>46048</v>
      </c>
      <c r="B3965" s="40"/>
      <c r="C3965" s="40"/>
      <c r="D3965" s="41"/>
      <c r="E3965" s="43">
        <f>C3965</f>
        <v>0</v>
      </c>
      <c r="F3965" s="42"/>
    </row>
    <row r="3966" spans="1:6">
      <c r="A3966" s="39">
        <f>A3965</f>
        <v>46048</v>
      </c>
      <c r="B3966" s="40"/>
      <c r="C3966" s="40"/>
      <c r="D3966" s="41"/>
      <c r="E3966" s="43">
        <f>C3966</f>
        <v>0</v>
      </c>
      <c r="F3966" s="42"/>
    </row>
    <row r="3967" spans="1:6">
      <c r="A3967" s="39">
        <f>A3966</f>
        <v>46048</v>
      </c>
      <c r="B3967" s="40"/>
      <c r="C3967" s="40"/>
      <c r="D3967" s="41"/>
      <c r="E3967" s="43">
        <f>C3967</f>
        <v>0</v>
      </c>
      <c r="F3967" s="42"/>
    </row>
    <row r="3968" spans="1:6">
      <c r="A3968" s="39">
        <f>A3967</f>
        <v>46048</v>
      </c>
      <c r="B3968" s="40"/>
      <c r="C3968" s="40"/>
      <c r="D3968" s="41"/>
      <c r="E3968" s="43">
        <f>C3968</f>
        <v>0</v>
      </c>
      <c r="F3968" s="42"/>
    </row>
    <row r="3969" spans="1:6">
      <c r="A3969" s="39">
        <f>A3968</f>
        <v>46048</v>
      </c>
      <c r="B3969" s="40"/>
      <c r="C3969" s="40"/>
      <c r="D3969" s="41"/>
      <c r="E3969" s="43">
        <f>C3969</f>
        <v>0</v>
      </c>
      <c r="F3969" s="42"/>
    </row>
    <row r="3970" spans="1:6">
      <c r="A3970" s="39">
        <f>A3969</f>
        <v>46048</v>
      </c>
      <c r="B3970" s="40"/>
      <c r="C3970" s="40"/>
      <c r="D3970" s="41"/>
      <c r="E3970" s="43">
        <f>C3970</f>
        <v>0</v>
      </c>
      <c r="F3970" s="42"/>
    </row>
    <row r="3971" spans="1:6">
      <c r="A3971" s="39">
        <f>A3970</f>
        <v>46048</v>
      </c>
      <c r="B3971" s="40"/>
      <c r="C3971" s="40"/>
      <c r="D3971" s="41"/>
      <c r="E3971" s="43">
        <f>C3971</f>
        <v>0</v>
      </c>
      <c r="F3971" s="42"/>
    </row>
    <row r="3972" spans="1:6">
      <c r="A3972" s="39">
        <f>A3971</f>
        <v>46048</v>
      </c>
      <c r="B3972" s="40"/>
      <c r="C3972" s="40"/>
      <c r="D3972" s="41"/>
      <c r="E3972" s="43">
        <f>C3972</f>
        <v>0</v>
      </c>
      <c r="F3972" s="42"/>
    </row>
    <row r="3973" spans="1:6">
      <c r="A3973" s="39">
        <f>A3972</f>
        <v>46048</v>
      </c>
      <c r="B3973" s="40"/>
      <c r="C3973" s="40"/>
      <c r="D3973" s="41"/>
      <c r="E3973" s="43">
        <f>C3973</f>
        <v>0</v>
      </c>
      <c r="F3973" s="42"/>
    </row>
    <row r="3974" spans="1:6">
      <c r="A3974" s="39">
        <f>A3973</f>
        <v>46048</v>
      </c>
      <c r="B3974" s="40"/>
      <c r="C3974" s="40"/>
      <c r="D3974" s="41"/>
      <c r="E3974" s="43">
        <f>C3974</f>
        <v>0</v>
      </c>
      <c r="F3974" s="42"/>
    </row>
    <row r="3975" spans="1:6">
      <c r="A3975" s="39">
        <f>A3974</f>
        <v>46048</v>
      </c>
      <c r="B3975" s="40"/>
      <c r="C3975" s="40"/>
      <c r="D3975" s="41"/>
      <c r="E3975" s="43">
        <f>C3975</f>
        <v>0</v>
      </c>
      <c r="F3975" s="42"/>
    </row>
    <row r="3976" spans="1:6">
      <c r="A3976" s="39">
        <f>A3975</f>
        <v>46048</v>
      </c>
      <c r="B3976" s="40"/>
      <c r="C3976" s="40"/>
      <c r="D3976" s="41"/>
      <c r="E3976" s="43">
        <f>C3976</f>
        <v>0</v>
      </c>
      <c r="F3976" s="42"/>
    </row>
    <row r="3977" spans="1:6">
      <c r="A3977" s="39">
        <f>A3976</f>
        <v>46048</v>
      </c>
      <c r="B3977" s="40"/>
      <c r="C3977" s="40"/>
      <c r="D3977" s="41"/>
      <c r="E3977" s="43">
        <f>C3977</f>
        <v>0</v>
      </c>
      <c r="F3977" s="42"/>
    </row>
    <row r="3978" spans="1:6">
      <c r="A3978" s="39">
        <f>A3977</f>
        <v>46048</v>
      </c>
      <c r="B3978" s="40"/>
      <c r="C3978" s="40"/>
      <c r="D3978" s="41"/>
      <c r="E3978" s="43">
        <f>C3978</f>
        <v>0</v>
      </c>
      <c r="F3978" s="42"/>
    </row>
    <row r="3979" spans="1:6">
      <c r="A3979" s="39">
        <f>A3978</f>
        <v>46048</v>
      </c>
      <c r="B3979" s="40"/>
      <c r="C3979" s="40"/>
      <c r="D3979" s="41"/>
      <c r="E3979" s="43">
        <f>C3979</f>
        <v>0</v>
      </c>
      <c r="F3979" s="42"/>
    </row>
    <row r="3980" spans="1:6">
      <c r="A3980" s="39">
        <f>A3979</f>
        <v>46048</v>
      </c>
      <c r="B3980" s="40"/>
      <c r="C3980" s="40"/>
      <c r="D3980" s="41"/>
      <c r="E3980" s="43">
        <f>C3980</f>
        <v>0</v>
      </c>
      <c r="F3980" s="42"/>
    </row>
    <row r="3981" spans="1:6">
      <c r="A3981" s="39">
        <f>A3980</f>
        <v>46048</v>
      </c>
      <c r="B3981" s="40"/>
      <c r="C3981" s="40"/>
      <c r="D3981" s="41"/>
      <c r="E3981" s="43">
        <f>C3981</f>
        <v>0</v>
      </c>
      <c r="F3981" s="42"/>
    </row>
    <row r="3982" spans="1:6">
      <c r="A3982" s="39">
        <f>A3981</f>
        <v>46048</v>
      </c>
      <c r="B3982" s="40"/>
      <c r="C3982" s="40"/>
      <c r="D3982" s="41"/>
      <c r="E3982" s="43">
        <f>C3982</f>
        <v>0</v>
      </c>
      <c r="F3982" s="42"/>
    </row>
    <row r="3983" spans="1:6">
      <c r="A3983" s="39">
        <f>A3982</f>
        <v>46048</v>
      </c>
      <c r="B3983" s="40"/>
      <c r="C3983" s="40"/>
      <c r="D3983" s="41"/>
      <c r="E3983" s="43">
        <f>C3983</f>
        <v>0</v>
      </c>
      <c r="F3983" s="42"/>
    </row>
    <row r="3984" spans="1:6">
      <c r="A3984" s="39">
        <f>A3983</f>
        <v>46048</v>
      </c>
      <c r="B3984" s="40"/>
      <c r="C3984" s="40"/>
      <c r="D3984" s="41"/>
      <c r="E3984" s="43">
        <f>C3984</f>
        <v>0</v>
      </c>
      <c r="F3984" s="42"/>
    </row>
    <row r="3985" spans="1:6">
      <c r="A3985" s="39">
        <f>A3984</f>
        <v>46048</v>
      </c>
      <c r="B3985" s="40"/>
      <c r="C3985" s="40"/>
      <c r="D3985" s="41"/>
      <c r="E3985" s="43">
        <f>C3985</f>
        <v>0</v>
      </c>
      <c r="F3985" s="42"/>
    </row>
    <row r="3986" spans="1:6">
      <c r="A3986" s="39">
        <f>A3985</f>
        <v>46048</v>
      </c>
      <c r="B3986" s="40"/>
      <c r="C3986" s="40"/>
      <c r="D3986" s="41"/>
      <c r="E3986" s="43">
        <f>C3986</f>
        <v>0</v>
      </c>
      <c r="F3986" s="42"/>
    </row>
    <row r="3987" spans="1:6">
      <c r="A3987" s="39">
        <f>A3986</f>
        <v>46048</v>
      </c>
      <c r="B3987" s="40"/>
      <c r="C3987" s="40"/>
      <c r="D3987" s="41"/>
      <c r="E3987" s="43">
        <f>C3987</f>
        <v>0</v>
      </c>
      <c r="F3987" s="42"/>
    </row>
    <row r="3988" spans="1:6">
      <c r="A3988" s="39">
        <f>A3987</f>
        <v>46048</v>
      </c>
      <c r="B3988" s="40"/>
      <c r="C3988" s="40"/>
      <c r="D3988" s="41"/>
      <c r="E3988" s="43">
        <f>C3988</f>
        <v>0</v>
      </c>
      <c r="F3988" s="42"/>
    </row>
    <row r="3989" spans="1:6">
      <c r="A3989" s="39">
        <f>A3988</f>
        <v>46048</v>
      </c>
      <c r="B3989" s="40"/>
      <c r="C3989" s="40"/>
      <c r="D3989" s="41"/>
      <c r="E3989" s="43">
        <f>C3989</f>
        <v>0</v>
      </c>
      <c r="F3989" s="42"/>
    </row>
    <row r="3990" spans="1:6">
      <c r="A3990" s="39">
        <f>A3989</f>
        <v>46048</v>
      </c>
      <c r="B3990" s="40"/>
      <c r="C3990" s="40"/>
      <c r="D3990" s="41"/>
      <c r="E3990" s="43">
        <f>C3990</f>
        <v>0</v>
      </c>
      <c r="F3990" s="42"/>
    </row>
    <row r="3991" spans="1:6">
      <c r="A3991" s="39">
        <f>A3990</f>
        <v>46048</v>
      </c>
      <c r="B3991" s="40"/>
      <c r="C3991" s="40"/>
      <c r="D3991" s="41"/>
      <c r="E3991" s="43">
        <f>C3991</f>
        <v>0</v>
      </c>
      <c r="F3991" s="42"/>
    </row>
    <row r="3992" spans="1:6">
      <c r="A3992" s="39">
        <f>A3991</f>
        <v>46048</v>
      </c>
      <c r="B3992" s="40"/>
      <c r="C3992" s="40"/>
      <c r="D3992" s="41"/>
      <c r="E3992" s="43">
        <f>C3992</f>
        <v>0</v>
      </c>
      <c r="F3992" s="42"/>
    </row>
    <row r="3993" spans="1:6">
      <c r="A3993" s="39">
        <f>A3992</f>
        <v>46048</v>
      </c>
      <c r="B3993" s="40"/>
      <c r="C3993" s="40"/>
      <c r="D3993" s="41"/>
      <c r="E3993" s="43">
        <f>C3993</f>
        <v>0</v>
      </c>
      <c r="F3993" s="42"/>
    </row>
    <row r="3994" spans="1:6">
      <c r="A3994" s="39">
        <f>A3993</f>
        <v>46048</v>
      </c>
      <c r="B3994" s="40"/>
      <c r="C3994" s="40"/>
      <c r="D3994" s="41"/>
      <c r="E3994" s="43">
        <f>C3994</f>
        <v>0</v>
      </c>
      <c r="F3994" s="42"/>
    </row>
    <row r="3995" spans="1:6">
      <c r="A3995" s="39">
        <f>A3994</f>
        <v>46048</v>
      </c>
      <c r="B3995" s="40"/>
      <c r="C3995" s="40"/>
      <c r="D3995" s="41"/>
      <c r="E3995" s="43">
        <f>C3995</f>
        <v>0</v>
      </c>
      <c r="F3995" s="42"/>
    </row>
    <row r="3996" spans="1:6">
      <c r="A3996" s="39">
        <f>A3995</f>
        <v>46048</v>
      </c>
      <c r="B3996" s="40"/>
      <c r="C3996" s="40"/>
      <c r="D3996" s="41"/>
      <c r="E3996" s="43">
        <f>C3996</f>
        <v>0</v>
      </c>
      <c r="F3996" s="42"/>
    </row>
    <row r="3997" spans="1:6">
      <c r="A3997" s="39">
        <f>A3996</f>
        <v>46048</v>
      </c>
      <c r="B3997" s="40"/>
      <c r="C3997" s="40"/>
      <c r="D3997" s="41"/>
      <c r="E3997" s="43">
        <f>C3997</f>
        <v>0</v>
      </c>
      <c r="F3997" s="42"/>
    </row>
    <row r="3998" spans="1:6">
      <c r="A3998" s="39">
        <f>A3997</f>
        <v>46048</v>
      </c>
      <c r="B3998" s="40"/>
      <c r="C3998" s="40"/>
      <c r="D3998" s="41"/>
      <c r="E3998" s="43">
        <f>C3998</f>
        <v>0</v>
      </c>
      <c r="F3998" s="42"/>
    </row>
    <row r="3999" spans="1:6">
      <c r="A3999" s="39">
        <f>A3998</f>
        <v>46048</v>
      </c>
      <c r="B3999" s="40"/>
      <c r="C3999" s="40"/>
      <c r="D3999" s="41"/>
      <c r="E3999" s="43">
        <f>C3999</f>
        <v>0</v>
      </c>
      <c r="F3999" s="42"/>
    </row>
    <row r="4000" spans="1:6">
      <c r="A4000" s="39">
        <f>A3999</f>
        <v>46048</v>
      </c>
      <c r="B4000" s="40"/>
      <c r="C4000" s="40"/>
      <c r="D4000" s="41"/>
      <c r="E4000" s="43">
        <f>C4000</f>
        <v>0</v>
      </c>
      <c r="F4000" s="42"/>
    </row>
    <row r="4001" spans="1:6">
      <c r="A4001" s="39">
        <f>A4000</f>
        <v>46048</v>
      </c>
      <c r="B4001" s="40"/>
      <c r="C4001" s="40"/>
      <c r="D4001" s="41"/>
      <c r="E4001" s="43">
        <f>C4001</f>
        <v>0</v>
      </c>
      <c r="F4001" s="42"/>
    </row>
    <row r="4002" spans="1:6">
      <c r="A4002" s="39">
        <f>A4001</f>
        <v>46048</v>
      </c>
      <c r="B4002" s="40"/>
      <c r="C4002" s="40"/>
      <c r="D4002" s="41"/>
      <c r="E4002" s="43">
        <f>C4002</f>
        <v>0</v>
      </c>
      <c r="F4002" s="42"/>
    </row>
    <row r="4003" spans="1:6">
      <c r="A4003" s="39">
        <f>A4002</f>
        <v>46048</v>
      </c>
      <c r="B4003" s="40"/>
      <c r="C4003" s="40"/>
      <c r="D4003" s="41"/>
      <c r="E4003" s="43">
        <f>C4003</f>
        <v>0</v>
      </c>
      <c r="F4003" s="42"/>
    </row>
    <row r="4004" spans="1:6">
      <c r="A4004" s="39">
        <f>A4003</f>
        <v>46048</v>
      </c>
      <c r="B4004" s="40"/>
      <c r="C4004" s="40"/>
      <c r="D4004" s="41"/>
      <c r="E4004" s="43">
        <f>C4004</f>
        <v>0</v>
      </c>
      <c r="F4004" s="42"/>
    </row>
    <row r="4005" spans="1:6">
      <c r="A4005" s="39">
        <f>A4004</f>
        <v>46048</v>
      </c>
      <c r="B4005" s="40"/>
      <c r="C4005" s="40"/>
      <c r="D4005" s="41"/>
      <c r="E4005" s="43">
        <f>C4005</f>
        <v>0</v>
      </c>
      <c r="F4005" s="42"/>
    </row>
    <row r="4006" spans="1:6">
      <c r="A4006" s="39">
        <f>A4005</f>
        <v>46048</v>
      </c>
      <c r="B4006" s="40"/>
      <c r="C4006" s="40"/>
      <c r="D4006" s="41"/>
      <c r="E4006" s="43">
        <f>C4006</f>
        <v>0</v>
      </c>
      <c r="F4006" s="42"/>
    </row>
    <row r="4007" spans="1:6">
      <c r="A4007" s="39">
        <f>A4006</f>
        <v>46048</v>
      </c>
      <c r="B4007" s="40"/>
      <c r="C4007" s="40"/>
      <c r="D4007" s="41"/>
      <c r="E4007" s="43">
        <f>C4007</f>
        <v>0</v>
      </c>
      <c r="F4007" s="42"/>
    </row>
    <row r="4008" spans="1:6">
      <c r="A4008" s="39">
        <f>A4007</f>
        <v>46048</v>
      </c>
      <c r="B4008" s="40"/>
      <c r="C4008" s="40"/>
      <c r="D4008" s="41"/>
      <c r="E4008" s="43">
        <f>C4008</f>
        <v>0</v>
      </c>
      <c r="F4008" s="42"/>
    </row>
    <row r="4009" spans="1:6">
      <c r="A4009" s="39">
        <f>A4008</f>
        <v>46048</v>
      </c>
      <c r="B4009" s="40"/>
      <c r="C4009" s="40"/>
      <c r="D4009" s="41"/>
      <c r="E4009" s="43">
        <f>C4009</f>
        <v>0</v>
      </c>
      <c r="F4009" s="42"/>
    </row>
    <row r="4010" spans="1:6">
      <c r="A4010" s="39">
        <f>A4009</f>
        <v>46048</v>
      </c>
      <c r="B4010" s="40"/>
      <c r="C4010" s="40"/>
      <c r="D4010" s="41"/>
      <c r="E4010" s="43">
        <f>C4010</f>
        <v>0</v>
      </c>
      <c r="F4010" s="42"/>
    </row>
    <row r="4011" spans="1:6">
      <c r="A4011" s="39">
        <f>A4010</f>
        <v>46048</v>
      </c>
      <c r="B4011" s="40"/>
      <c r="C4011" s="40"/>
      <c r="D4011" s="41"/>
      <c r="E4011" s="43">
        <f>C4011</f>
        <v>0</v>
      </c>
      <c r="F4011" s="42"/>
    </row>
    <row r="4012" spans="1:6">
      <c r="A4012" s="39">
        <f>A4011</f>
        <v>46048</v>
      </c>
      <c r="B4012" s="40"/>
      <c r="C4012" s="40"/>
      <c r="D4012" s="41"/>
      <c r="E4012" s="43">
        <f>C4012</f>
        <v>0</v>
      </c>
      <c r="F4012" s="42"/>
    </row>
    <row r="4013" spans="1:6">
      <c r="A4013" s="39">
        <f>A4012</f>
        <v>46048</v>
      </c>
      <c r="B4013" s="40"/>
      <c r="C4013" s="40"/>
      <c r="D4013" s="41"/>
      <c r="E4013" s="43">
        <f>C4013</f>
        <v>0</v>
      </c>
      <c r="F4013" s="42"/>
    </row>
    <row r="4014" spans="1:6">
      <c r="A4014" s="39">
        <f>A4013</f>
        <v>46048</v>
      </c>
      <c r="B4014" s="40"/>
      <c r="C4014" s="40"/>
      <c r="D4014" s="41"/>
      <c r="E4014" s="43">
        <f>C4014</f>
        <v>0</v>
      </c>
      <c r="F4014" s="42"/>
    </row>
    <row r="4015" spans="1:6">
      <c r="A4015" s="39">
        <f>A4014</f>
        <v>46048</v>
      </c>
      <c r="B4015" s="40"/>
      <c r="C4015" s="40"/>
      <c r="D4015" s="41"/>
      <c r="E4015" s="43">
        <f>C4015</f>
        <v>0</v>
      </c>
      <c r="F4015" s="42"/>
    </row>
    <row r="4016" spans="1:6">
      <c r="A4016" s="39">
        <f>A4015</f>
        <v>46048</v>
      </c>
      <c r="B4016" s="40"/>
      <c r="C4016" s="40"/>
      <c r="D4016" s="41"/>
      <c r="E4016" s="43">
        <f>C4016</f>
        <v>0</v>
      </c>
      <c r="F4016" s="42"/>
    </row>
    <row r="4017" spans="1:6">
      <c r="A4017" s="39">
        <f>A4016</f>
        <v>46048</v>
      </c>
      <c r="B4017" s="40"/>
      <c r="C4017" s="40"/>
      <c r="D4017" s="41"/>
      <c r="E4017" s="43">
        <f>C4017</f>
        <v>0</v>
      </c>
      <c r="F4017" s="42"/>
    </row>
    <row r="4018" spans="1:6">
      <c r="A4018" s="39">
        <f>A4017</f>
        <v>46048</v>
      </c>
      <c r="B4018" s="40"/>
      <c r="C4018" s="40"/>
      <c r="D4018" s="41"/>
      <c r="E4018" s="43">
        <f>C4018</f>
        <v>0</v>
      </c>
      <c r="F4018" s="42"/>
    </row>
    <row r="4019" spans="1:6">
      <c r="A4019" s="39">
        <f>A4018</f>
        <v>46048</v>
      </c>
      <c r="B4019" s="40"/>
      <c r="C4019" s="40"/>
      <c r="D4019" s="41"/>
      <c r="E4019" s="43">
        <f>C4019</f>
        <v>0</v>
      </c>
      <c r="F4019" s="42"/>
    </row>
    <row r="4020" spans="1:6">
      <c r="A4020" s="39">
        <f>A4019</f>
        <v>46048</v>
      </c>
      <c r="B4020" s="40"/>
      <c r="C4020" s="40"/>
      <c r="D4020" s="41"/>
      <c r="E4020" s="43">
        <f>C4020</f>
        <v>0</v>
      </c>
      <c r="F4020" s="42"/>
    </row>
    <row r="4021" spans="1:6">
      <c r="A4021" s="39">
        <f>A4020</f>
        <v>46048</v>
      </c>
      <c r="B4021" s="40"/>
      <c r="C4021" s="40"/>
      <c r="D4021" s="41"/>
      <c r="E4021" s="43">
        <f>C4021</f>
        <v>0</v>
      </c>
      <c r="F4021" s="42"/>
    </row>
    <row r="4022" spans="1:6">
      <c r="A4022" s="39">
        <f>A4021</f>
        <v>46048</v>
      </c>
      <c r="B4022" s="40"/>
      <c r="C4022" s="40"/>
      <c r="D4022" s="41"/>
      <c r="E4022" s="43">
        <f>C4022</f>
        <v>0</v>
      </c>
      <c r="F4022" s="42"/>
    </row>
    <row r="4023" spans="1:6">
      <c r="A4023" s="39">
        <f>A4022</f>
        <v>46048</v>
      </c>
      <c r="B4023" s="40"/>
      <c r="C4023" s="40"/>
      <c r="D4023" s="41"/>
      <c r="E4023" s="43">
        <f>C4023</f>
        <v>0</v>
      </c>
      <c r="F4023" s="42"/>
    </row>
    <row r="4024" spans="1:6">
      <c r="A4024" s="39">
        <f>A4023</f>
        <v>46048</v>
      </c>
      <c r="B4024" s="40"/>
      <c r="C4024" s="40"/>
      <c r="D4024" s="41"/>
      <c r="E4024" s="43">
        <f>C4024</f>
        <v>0</v>
      </c>
      <c r="F4024" s="42"/>
    </row>
    <row r="4025" spans="1:6">
      <c r="A4025" s="39">
        <f>A4024</f>
        <v>46048</v>
      </c>
      <c r="B4025" s="40"/>
      <c r="C4025" s="40"/>
      <c r="D4025" s="41"/>
      <c r="E4025" s="43">
        <f>C4025</f>
        <v>0</v>
      </c>
      <c r="F4025" s="42"/>
    </row>
    <row r="4026" spans="1:6">
      <c r="A4026" s="39">
        <f>A4025</f>
        <v>46048</v>
      </c>
      <c r="B4026" s="40"/>
      <c r="C4026" s="40"/>
      <c r="D4026" s="41"/>
      <c r="E4026" s="43">
        <f>C4026</f>
        <v>0</v>
      </c>
      <c r="F4026" s="42"/>
    </row>
    <row r="4027" spans="1:6">
      <c r="A4027" s="39">
        <f>A4026</f>
        <v>46048</v>
      </c>
      <c r="B4027" s="40"/>
      <c r="C4027" s="40"/>
      <c r="D4027" s="41"/>
      <c r="E4027" s="43">
        <f>C4027</f>
        <v>0</v>
      </c>
      <c r="F4027" s="42"/>
    </row>
    <row r="4028" spans="1:6">
      <c r="A4028" s="39">
        <f>A4027</f>
        <v>46048</v>
      </c>
      <c r="B4028" s="40"/>
      <c r="C4028" s="40"/>
      <c r="D4028" s="41"/>
      <c r="E4028" s="43">
        <f>C4028</f>
        <v>0</v>
      </c>
      <c r="F4028" s="42"/>
    </row>
    <row r="4029" spans="1:6">
      <c r="A4029" s="39">
        <f>A4028</f>
        <v>46048</v>
      </c>
      <c r="B4029" s="40"/>
      <c r="C4029" s="40"/>
      <c r="D4029" s="41"/>
      <c r="E4029" s="43">
        <f>C4029</f>
        <v>0</v>
      </c>
      <c r="F4029" s="42"/>
    </row>
    <row r="4030" spans="1:6">
      <c r="A4030" s="39">
        <f>A4029</f>
        <v>46048</v>
      </c>
      <c r="B4030" s="40"/>
      <c r="C4030" s="40"/>
      <c r="D4030" s="41"/>
      <c r="E4030" s="43">
        <f>C4030</f>
        <v>0</v>
      </c>
      <c r="F4030" s="42"/>
    </row>
    <row r="4031" spans="1:6">
      <c r="A4031" s="39">
        <f>A4030</f>
        <v>46048</v>
      </c>
      <c r="B4031" s="40"/>
      <c r="C4031" s="40"/>
      <c r="D4031" s="41"/>
      <c r="E4031" s="43">
        <f>C4031</f>
        <v>0</v>
      </c>
      <c r="F4031" s="42"/>
    </row>
    <row r="4032" spans="1:6">
      <c r="A4032" s="39">
        <f>A4031</f>
        <v>46048</v>
      </c>
      <c r="B4032" s="40"/>
      <c r="C4032" s="40"/>
      <c r="D4032" s="41"/>
      <c r="E4032" s="43">
        <f>C4032</f>
        <v>0</v>
      </c>
      <c r="F4032" s="42"/>
    </row>
    <row r="4033" spans="1:6">
      <c r="A4033" s="39">
        <f>A4032</f>
        <v>46048</v>
      </c>
      <c r="B4033" s="40"/>
      <c r="C4033" s="40"/>
      <c r="D4033" s="41"/>
      <c r="E4033" s="43">
        <f>C4033</f>
        <v>0</v>
      </c>
      <c r="F4033" s="42"/>
    </row>
    <row r="4034" spans="1:6">
      <c r="A4034" s="39">
        <f>A4033</f>
        <v>46048</v>
      </c>
      <c r="B4034" s="40"/>
      <c r="C4034" s="40"/>
      <c r="D4034" s="41"/>
      <c r="E4034" s="43">
        <f>C4034</f>
        <v>0</v>
      </c>
      <c r="F4034" s="42"/>
    </row>
    <row r="4035" spans="1:6">
      <c r="A4035" s="39">
        <f>A4034</f>
        <v>46048</v>
      </c>
      <c r="B4035" s="40"/>
      <c r="C4035" s="40"/>
      <c r="D4035" s="41"/>
      <c r="E4035" s="43">
        <f>C4035</f>
        <v>0</v>
      </c>
      <c r="F4035" s="42"/>
    </row>
    <row r="4036" spans="1:6">
      <c r="A4036" s="39">
        <f>A4035</f>
        <v>46048</v>
      </c>
      <c r="B4036" s="40"/>
      <c r="C4036" s="40"/>
      <c r="D4036" s="41"/>
      <c r="E4036" s="43">
        <f>C4036</f>
        <v>0</v>
      </c>
      <c r="F4036" s="42"/>
    </row>
    <row r="4037" spans="1:6">
      <c r="A4037" s="39">
        <f>A4036</f>
        <v>46048</v>
      </c>
      <c r="B4037" s="40"/>
      <c r="C4037" s="40"/>
      <c r="D4037" s="41"/>
      <c r="E4037" s="43">
        <f>C4037</f>
        <v>0</v>
      </c>
      <c r="F4037" s="42"/>
    </row>
    <row r="4038" spans="1:6">
      <c r="A4038" s="39">
        <f>A4037</f>
        <v>46048</v>
      </c>
      <c r="B4038" s="40"/>
      <c r="C4038" s="40"/>
      <c r="D4038" s="41"/>
      <c r="E4038" s="43">
        <f>C4038</f>
        <v>0</v>
      </c>
      <c r="F4038" s="42"/>
    </row>
    <row r="4039" spans="1:6">
      <c r="A4039" s="39">
        <f>A4038</f>
        <v>46048</v>
      </c>
      <c r="B4039" s="40"/>
      <c r="C4039" s="40"/>
      <c r="D4039" s="41"/>
      <c r="E4039" s="43">
        <f>C4039</f>
        <v>0</v>
      </c>
      <c r="F4039" s="42"/>
    </row>
    <row r="4040" spans="1:6">
      <c r="A4040" s="39">
        <f>A4039</f>
        <v>46048</v>
      </c>
      <c r="B4040" s="40"/>
      <c r="C4040" s="40"/>
      <c r="D4040" s="41"/>
      <c r="E4040" s="43">
        <f>C4040</f>
        <v>0</v>
      </c>
      <c r="F4040" s="42"/>
    </row>
    <row r="4041" spans="1:6">
      <c r="A4041" s="39">
        <f>A4040</f>
        <v>46048</v>
      </c>
      <c r="B4041" s="40"/>
      <c r="C4041" s="40"/>
      <c r="D4041" s="41"/>
      <c r="E4041" s="43">
        <f>C4041</f>
        <v>0</v>
      </c>
      <c r="F4041" s="42"/>
    </row>
    <row r="4042" spans="1:6">
      <c r="A4042" s="39">
        <f>A4041</f>
        <v>46048</v>
      </c>
      <c r="B4042" s="40"/>
      <c r="C4042" s="40"/>
      <c r="D4042" s="41"/>
      <c r="E4042" s="43">
        <f>C4042</f>
        <v>0</v>
      </c>
      <c r="F4042" s="42"/>
    </row>
    <row r="4043" spans="1:6">
      <c r="A4043" s="39">
        <f>A4042</f>
        <v>46048</v>
      </c>
      <c r="B4043" s="40"/>
      <c r="C4043" s="40"/>
      <c r="D4043" s="41"/>
      <c r="E4043" s="43">
        <f>C4043</f>
        <v>0</v>
      </c>
      <c r="F4043" s="42"/>
    </row>
    <row r="4044" spans="1:6">
      <c r="A4044" s="39">
        <f>A4043</f>
        <v>46048</v>
      </c>
      <c r="B4044" s="40"/>
      <c r="C4044" s="40"/>
      <c r="D4044" s="41"/>
      <c r="E4044" s="43">
        <f>C4044</f>
        <v>0</v>
      </c>
      <c r="F4044" s="42"/>
    </row>
    <row r="4045" spans="1:6">
      <c r="A4045" s="39">
        <f>A4044</f>
        <v>46048</v>
      </c>
      <c r="B4045" s="40"/>
      <c r="C4045" s="40"/>
      <c r="D4045" s="41"/>
      <c r="E4045" s="43">
        <f>C4045</f>
        <v>0</v>
      </c>
      <c r="F4045" s="42"/>
    </row>
    <row r="4046" spans="1:6">
      <c r="A4046" s="39">
        <f>A4045</f>
        <v>46048</v>
      </c>
      <c r="B4046" s="40"/>
      <c r="C4046" s="40"/>
      <c r="D4046" s="41"/>
      <c r="E4046" s="43">
        <f>C4046</f>
        <v>0</v>
      </c>
      <c r="F4046" s="42"/>
    </row>
    <row r="4047" spans="1:6">
      <c r="A4047" s="39">
        <f>A4046</f>
        <v>46048</v>
      </c>
      <c r="B4047" s="40"/>
      <c r="C4047" s="40"/>
      <c r="D4047" s="41"/>
      <c r="E4047" s="43">
        <f>C4047</f>
        <v>0</v>
      </c>
      <c r="F4047" s="42"/>
    </row>
    <row r="4048" spans="1:6">
      <c r="A4048" s="39">
        <f>A4047</f>
        <v>46048</v>
      </c>
      <c r="B4048" s="40"/>
      <c r="C4048" s="40"/>
      <c r="D4048" s="41"/>
      <c r="E4048" s="43">
        <f>C4048</f>
        <v>0</v>
      </c>
      <c r="F4048" s="42"/>
    </row>
    <row r="4049" spans="1:6">
      <c r="A4049" s="39">
        <f>A4048</f>
        <v>46048</v>
      </c>
      <c r="B4049" s="40"/>
      <c r="C4049" s="40"/>
      <c r="D4049" s="41"/>
      <c r="E4049" s="43">
        <f>C4049</f>
        <v>0</v>
      </c>
      <c r="F4049" s="42"/>
    </row>
    <row r="4050" spans="1:6">
      <c r="A4050" s="39">
        <f>A4049</f>
        <v>46048</v>
      </c>
      <c r="B4050" s="40"/>
      <c r="C4050" s="40"/>
      <c r="D4050" s="41"/>
      <c r="E4050" s="43">
        <f>C4050</f>
        <v>0</v>
      </c>
      <c r="F4050" s="42"/>
    </row>
    <row r="4051" spans="1:6">
      <c r="A4051" s="39">
        <f>A4050</f>
        <v>46048</v>
      </c>
      <c r="B4051" s="40"/>
      <c r="C4051" s="40"/>
      <c r="D4051" s="41"/>
      <c r="E4051" s="43">
        <f>C4051</f>
        <v>0</v>
      </c>
      <c r="F4051" s="42"/>
    </row>
    <row r="4052" spans="1:6">
      <c r="A4052" s="39">
        <f>A4051</f>
        <v>46048</v>
      </c>
      <c r="B4052" s="40"/>
      <c r="C4052" s="40"/>
      <c r="D4052" s="41"/>
      <c r="E4052" s="43">
        <f>C4052</f>
        <v>0</v>
      </c>
      <c r="F4052" s="42"/>
    </row>
    <row r="4053" spans="1:6">
      <c r="A4053" s="39">
        <f>A4052</f>
        <v>46048</v>
      </c>
      <c r="B4053" s="40"/>
      <c r="C4053" s="40"/>
      <c r="D4053" s="41"/>
      <c r="E4053" s="43">
        <f>C4053</f>
        <v>0</v>
      </c>
      <c r="F4053" s="42"/>
    </row>
    <row r="4054" spans="1:6">
      <c r="A4054" s="39">
        <f>A4053</f>
        <v>46048</v>
      </c>
      <c r="B4054" s="40"/>
      <c r="C4054" s="40"/>
      <c r="D4054" s="41"/>
      <c r="E4054" s="43">
        <f>C4054</f>
        <v>0</v>
      </c>
      <c r="F4054" s="42"/>
    </row>
    <row r="4055" spans="1:6">
      <c r="A4055" s="39">
        <f>A4054</f>
        <v>46048</v>
      </c>
      <c r="B4055" s="40"/>
      <c r="C4055" s="40"/>
      <c r="D4055" s="41"/>
      <c r="E4055" s="43">
        <f>C4055</f>
        <v>0</v>
      </c>
      <c r="F4055" s="42"/>
    </row>
    <row r="4056" spans="1:6">
      <c r="A4056" s="39">
        <f>A4055</f>
        <v>46048</v>
      </c>
      <c r="B4056" s="40"/>
      <c r="C4056" s="40"/>
      <c r="D4056" s="41"/>
      <c r="E4056" s="43">
        <f>C4056</f>
        <v>0</v>
      </c>
      <c r="F4056" s="42"/>
    </row>
    <row r="4057" spans="1:6">
      <c r="A4057" s="39">
        <f>A4056</f>
        <v>46048</v>
      </c>
      <c r="B4057" s="40"/>
      <c r="C4057" s="40"/>
      <c r="D4057" s="41"/>
      <c r="E4057" s="43">
        <f>C4057</f>
        <v>0</v>
      </c>
      <c r="F4057" s="42"/>
    </row>
    <row r="4058" spans="1:6">
      <c r="A4058" s="39">
        <f>A4057</f>
        <v>46048</v>
      </c>
      <c r="B4058" s="40"/>
      <c r="C4058" s="40"/>
      <c r="D4058" s="41"/>
      <c r="E4058" s="43">
        <f>C4058</f>
        <v>0</v>
      </c>
      <c r="F4058" s="42"/>
    </row>
    <row r="4059" spans="1:6">
      <c r="A4059" s="39">
        <f>A4058</f>
        <v>46048</v>
      </c>
      <c r="B4059" s="40"/>
      <c r="C4059" s="40"/>
      <c r="D4059" s="41"/>
      <c r="E4059" s="43">
        <f>C4059</f>
        <v>0</v>
      </c>
      <c r="F4059" s="42"/>
    </row>
    <row r="4060" spans="1:6">
      <c r="A4060" s="39">
        <f>A4059</f>
        <v>46048</v>
      </c>
      <c r="B4060" s="40"/>
      <c r="C4060" s="40"/>
      <c r="D4060" s="41"/>
      <c r="E4060" s="43">
        <f>C4060</f>
        <v>0</v>
      </c>
      <c r="F4060" s="42"/>
    </row>
    <row r="4061" spans="1:6">
      <c r="A4061" s="39">
        <f>A4060</f>
        <v>46048</v>
      </c>
      <c r="B4061" s="40"/>
      <c r="C4061" s="40"/>
      <c r="D4061" s="41"/>
      <c r="E4061" s="43">
        <f>C4061</f>
        <v>0</v>
      </c>
      <c r="F4061" s="42"/>
    </row>
    <row r="4062" spans="1:6">
      <c r="A4062" s="39">
        <f>A4061</f>
        <v>46048</v>
      </c>
      <c r="B4062" s="40"/>
      <c r="C4062" s="40"/>
      <c r="D4062" s="41"/>
      <c r="E4062" s="43">
        <f>C4062</f>
        <v>0</v>
      </c>
      <c r="F4062" s="42"/>
    </row>
    <row r="4063" spans="1:6">
      <c r="A4063" s="39">
        <f>A4062</f>
        <v>46048</v>
      </c>
      <c r="B4063" s="40"/>
      <c r="C4063" s="40"/>
      <c r="D4063" s="41"/>
      <c r="E4063" s="43">
        <f>C4063</f>
        <v>0</v>
      </c>
      <c r="F4063" s="42"/>
    </row>
    <row r="4064" spans="1:6">
      <c r="A4064" s="39">
        <f>A4063</f>
        <v>46048</v>
      </c>
      <c r="B4064" s="40"/>
      <c r="C4064" s="40"/>
      <c r="D4064" s="41"/>
      <c r="E4064" s="43">
        <f>C4064</f>
        <v>0</v>
      </c>
      <c r="F4064" s="42"/>
    </row>
    <row r="4065" spans="1:6">
      <c r="A4065" s="39">
        <f>A4064</f>
        <v>46048</v>
      </c>
      <c r="B4065" s="40"/>
      <c r="C4065" s="40"/>
      <c r="D4065" s="41"/>
      <c r="E4065" s="43">
        <f>C4065</f>
        <v>0</v>
      </c>
      <c r="F4065" s="42"/>
    </row>
    <row r="4066" spans="1:6">
      <c r="A4066" s="39">
        <f>A4065</f>
        <v>46048</v>
      </c>
      <c r="B4066" s="40"/>
      <c r="C4066" s="40"/>
      <c r="D4066" s="41"/>
      <c r="E4066" s="43">
        <f>C4066</f>
        <v>0</v>
      </c>
      <c r="F4066" s="42"/>
    </row>
    <row r="4067" spans="1:6">
      <c r="A4067" s="39">
        <f>A4066</f>
        <v>46048</v>
      </c>
      <c r="B4067" s="40"/>
      <c r="C4067" s="40"/>
      <c r="D4067" s="41"/>
      <c r="E4067" s="43">
        <f>C4067</f>
        <v>0</v>
      </c>
      <c r="F4067" s="42"/>
    </row>
    <row r="4068" spans="1:6">
      <c r="A4068" s="39">
        <f>A4067</f>
        <v>46048</v>
      </c>
      <c r="B4068" s="40"/>
      <c r="C4068" s="40"/>
      <c r="D4068" s="41"/>
      <c r="E4068" s="43">
        <f>C4068</f>
        <v>0</v>
      </c>
      <c r="F4068" s="42"/>
    </row>
    <row r="4069" spans="1:6">
      <c r="A4069" s="39">
        <f>A4068</f>
        <v>46048</v>
      </c>
      <c r="B4069" s="40"/>
      <c r="C4069" s="40"/>
      <c r="D4069" s="41"/>
      <c r="E4069" s="43">
        <f>C4069</f>
        <v>0</v>
      </c>
      <c r="F4069" s="42"/>
    </row>
    <row r="4070" spans="1:6">
      <c r="A4070" s="39">
        <f>A4069</f>
        <v>46048</v>
      </c>
      <c r="B4070" s="40"/>
      <c r="C4070" s="40"/>
      <c r="D4070" s="41"/>
      <c r="E4070" s="43">
        <f>C4070</f>
        <v>0</v>
      </c>
      <c r="F4070" s="42"/>
    </row>
    <row r="4071" spans="1:6">
      <c r="A4071" s="39">
        <f>A4070</f>
        <v>46048</v>
      </c>
      <c r="B4071" s="40"/>
      <c r="C4071" s="40"/>
      <c r="D4071" s="41"/>
      <c r="E4071" s="43">
        <f>C4071</f>
        <v>0</v>
      </c>
      <c r="F4071" s="42"/>
    </row>
    <row r="4072" spans="1:6">
      <c r="A4072" s="39">
        <f>A4071</f>
        <v>46048</v>
      </c>
      <c r="B4072" s="40"/>
      <c r="C4072" s="40"/>
      <c r="D4072" s="41"/>
      <c r="E4072" s="43">
        <f>C4072</f>
        <v>0</v>
      </c>
      <c r="F4072" s="42"/>
    </row>
    <row r="4073" spans="1:6">
      <c r="A4073" s="39">
        <f>A4072</f>
        <v>46048</v>
      </c>
      <c r="B4073" s="40"/>
      <c r="C4073" s="40"/>
      <c r="D4073" s="41"/>
      <c r="E4073" s="43">
        <f>C4073</f>
        <v>0</v>
      </c>
      <c r="F4073" s="42"/>
    </row>
    <row r="4074" spans="1:6">
      <c r="A4074" s="39">
        <f>A4073</f>
        <v>46048</v>
      </c>
      <c r="B4074" s="40"/>
      <c r="C4074" s="40"/>
      <c r="D4074" s="41"/>
      <c r="E4074" s="43">
        <f>C4074</f>
        <v>0</v>
      </c>
      <c r="F4074" s="42"/>
    </row>
    <row r="4075" spans="1:6">
      <c r="A4075" s="39">
        <f>A4074</f>
        <v>46048</v>
      </c>
      <c r="B4075" s="40"/>
      <c r="C4075" s="40"/>
      <c r="D4075" s="41"/>
      <c r="E4075" s="43">
        <f>C4075</f>
        <v>0</v>
      </c>
      <c r="F4075" s="42"/>
    </row>
    <row r="4076" spans="1:6">
      <c r="A4076" s="39">
        <f>A4075</f>
        <v>46048</v>
      </c>
      <c r="B4076" s="40"/>
      <c r="C4076" s="40"/>
      <c r="D4076" s="41"/>
      <c r="E4076" s="43">
        <f>C4076</f>
        <v>0</v>
      </c>
      <c r="F4076" s="42"/>
    </row>
    <row r="4077" spans="1:6">
      <c r="A4077" s="39">
        <f>A4076</f>
        <v>46048</v>
      </c>
      <c r="B4077" s="40"/>
      <c r="C4077" s="40"/>
      <c r="D4077" s="41"/>
      <c r="E4077" s="43">
        <f>C4077</f>
        <v>0</v>
      </c>
      <c r="F4077" s="42"/>
    </row>
    <row r="4078" spans="1:6">
      <c r="A4078" s="39">
        <f>A4077</f>
        <v>46048</v>
      </c>
      <c r="B4078" s="40"/>
      <c r="C4078" s="40"/>
      <c r="D4078" s="41"/>
      <c r="E4078" s="43">
        <f>C4078</f>
        <v>0</v>
      </c>
      <c r="F4078" s="42"/>
    </row>
    <row r="4079" spans="1:6">
      <c r="A4079" s="39">
        <f>A4078</f>
        <v>46048</v>
      </c>
      <c r="B4079" s="40"/>
      <c r="C4079" s="40"/>
      <c r="D4079" s="41"/>
      <c r="E4079" s="43">
        <f>C4079</f>
        <v>0</v>
      </c>
      <c r="F4079" s="42"/>
    </row>
    <row r="4080" spans="1:6">
      <c r="A4080" s="39">
        <f>A4079</f>
        <v>46048</v>
      </c>
      <c r="B4080" s="40"/>
      <c r="C4080" s="40"/>
      <c r="D4080" s="41"/>
      <c r="E4080" s="43">
        <f>C4080</f>
        <v>0</v>
      </c>
      <c r="F4080" s="42"/>
    </row>
    <row r="4081" spans="1:6">
      <c r="A4081" s="39">
        <f>A4080</f>
        <v>46048</v>
      </c>
      <c r="B4081" s="40"/>
      <c r="C4081" s="40"/>
      <c r="D4081" s="41"/>
      <c r="E4081" s="43">
        <f>C4081</f>
        <v>0</v>
      </c>
      <c r="F4081" s="42"/>
    </row>
    <row r="4082" spans="1:6">
      <c r="A4082" s="39">
        <f>A4081</f>
        <v>46048</v>
      </c>
      <c r="B4082" s="40"/>
      <c r="C4082" s="40"/>
      <c r="D4082" s="41"/>
      <c r="E4082" s="43">
        <f>C4082</f>
        <v>0</v>
      </c>
      <c r="F4082" s="42"/>
    </row>
    <row r="4083" spans="1:6">
      <c r="A4083" s="39">
        <f>A4082</f>
        <v>46048</v>
      </c>
      <c r="B4083" s="40"/>
      <c r="C4083" s="40"/>
      <c r="D4083" s="41"/>
      <c r="E4083" s="43">
        <f>C4083</f>
        <v>0</v>
      </c>
      <c r="F4083" s="42"/>
    </row>
    <row r="4084" spans="1:6">
      <c r="A4084" s="39">
        <f>A4083</f>
        <v>46048</v>
      </c>
      <c r="B4084" s="40"/>
      <c r="C4084" s="40"/>
      <c r="D4084" s="41"/>
      <c r="E4084" s="43">
        <f>C4084</f>
        <v>0</v>
      </c>
      <c r="F4084" s="42"/>
    </row>
    <row r="4085" spans="1:6">
      <c r="A4085" s="39">
        <f>A4084</f>
        <v>46048</v>
      </c>
      <c r="B4085" s="40"/>
      <c r="C4085" s="40"/>
      <c r="D4085" s="41"/>
      <c r="E4085" s="43">
        <f>C4085</f>
        <v>0</v>
      </c>
      <c r="F4085" s="42"/>
    </row>
    <row r="4086" spans="1:6">
      <c r="A4086" s="39">
        <f>A4085</f>
        <v>46048</v>
      </c>
      <c r="B4086" s="40"/>
      <c r="C4086" s="40"/>
      <c r="D4086" s="41"/>
      <c r="E4086" s="43">
        <f>C4086</f>
        <v>0</v>
      </c>
      <c r="F4086" s="42"/>
    </row>
    <row r="4087" spans="1:6">
      <c r="A4087" s="39">
        <f>A4086</f>
        <v>46048</v>
      </c>
      <c r="B4087" s="40"/>
      <c r="C4087" s="40"/>
      <c r="D4087" s="41"/>
      <c r="E4087" s="43">
        <f>C4087</f>
        <v>0</v>
      </c>
      <c r="F4087" s="42"/>
    </row>
    <row r="4088" spans="1:6">
      <c r="A4088" s="39">
        <f>A4087</f>
        <v>46048</v>
      </c>
      <c r="B4088" s="40"/>
      <c r="C4088" s="40"/>
      <c r="D4088" s="41"/>
      <c r="E4088" s="43">
        <f>C4088</f>
        <v>0</v>
      </c>
      <c r="F4088" s="42"/>
    </row>
    <row r="4089" spans="1:6">
      <c r="A4089" s="39">
        <f>A4088</f>
        <v>46048</v>
      </c>
      <c r="B4089" s="40"/>
      <c r="C4089" s="40"/>
      <c r="D4089" s="41"/>
      <c r="E4089" s="43">
        <f>C4089</f>
        <v>0</v>
      </c>
      <c r="F4089" s="42"/>
    </row>
    <row r="4090" spans="1:6">
      <c r="A4090" s="39">
        <f>A4089</f>
        <v>46048</v>
      </c>
      <c r="B4090" s="40"/>
      <c r="C4090" s="40"/>
      <c r="D4090" s="41"/>
      <c r="E4090" s="43">
        <f>C4090</f>
        <v>0</v>
      </c>
      <c r="F4090" s="42"/>
    </row>
    <row r="4091" spans="1:6">
      <c r="A4091" s="39">
        <f>A4090</f>
        <v>46048</v>
      </c>
      <c r="B4091" s="40"/>
      <c r="C4091" s="40"/>
      <c r="D4091" s="41"/>
      <c r="E4091" s="43">
        <f>C4091</f>
        <v>0</v>
      </c>
      <c r="F4091" s="42"/>
    </row>
    <row r="4092" spans="1:6">
      <c r="A4092" s="39">
        <f>A4091</f>
        <v>46048</v>
      </c>
      <c r="B4092" s="40"/>
      <c r="C4092" s="40"/>
      <c r="D4092" s="41"/>
      <c r="E4092" s="43">
        <f>C4092</f>
        <v>0</v>
      </c>
      <c r="F4092" s="42"/>
    </row>
    <row r="4093" spans="1:6">
      <c r="A4093" s="39">
        <f>A4092</f>
        <v>46048</v>
      </c>
      <c r="B4093" s="40"/>
      <c r="C4093" s="40"/>
      <c r="D4093" s="41"/>
      <c r="E4093" s="43">
        <f>C4093</f>
        <v>0</v>
      </c>
      <c r="F4093" s="42"/>
    </row>
    <row r="4094" spans="1:6">
      <c r="A4094" s="39">
        <f>A4093</f>
        <v>46048</v>
      </c>
      <c r="B4094" s="40"/>
      <c r="C4094" s="40"/>
      <c r="D4094" s="41"/>
      <c r="E4094" s="43">
        <f>C4094</f>
        <v>0</v>
      </c>
      <c r="F4094" s="42"/>
    </row>
    <row r="4095" spans="1:6">
      <c r="A4095" s="39">
        <f>A4094</f>
        <v>46048</v>
      </c>
      <c r="B4095" s="40"/>
      <c r="C4095" s="40"/>
      <c r="D4095" s="41"/>
      <c r="E4095" s="43">
        <f>C4095</f>
        <v>0</v>
      </c>
      <c r="F4095" s="42"/>
    </row>
    <row r="4096" spans="1:6">
      <c r="A4096" s="39">
        <f>A4095</f>
        <v>46048</v>
      </c>
      <c r="B4096" s="40"/>
      <c r="C4096" s="40"/>
      <c r="D4096" s="41"/>
      <c r="E4096" s="43">
        <f>C4096</f>
        <v>0</v>
      </c>
      <c r="F4096" s="42"/>
    </row>
    <row r="4097" spans="1:6">
      <c r="A4097" s="39">
        <f>A4096</f>
        <v>46048</v>
      </c>
      <c r="B4097" s="40"/>
      <c r="C4097" s="40"/>
      <c r="D4097" s="41"/>
      <c r="E4097" s="43">
        <f>C4097</f>
        <v>0</v>
      </c>
      <c r="F4097" s="42"/>
    </row>
    <row r="4098" spans="1:6">
      <c r="A4098" s="39">
        <f>A4097</f>
        <v>46048</v>
      </c>
      <c r="B4098" s="40"/>
      <c r="C4098" s="40"/>
      <c r="D4098" s="41"/>
      <c r="E4098" s="43">
        <f>C4098</f>
        <v>0</v>
      </c>
      <c r="F4098" s="42"/>
    </row>
    <row r="4099" spans="1:6">
      <c r="A4099" s="39">
        <f>A4098</f>
        <v>46048</v>
      </c>
      <c r="B4099" s="40"/>
      <c r="C4099" s="40"/>
      <c r="D4099" s="41"/>
      <c r="E4099" s="43">
        <f>C4099</f>
        <v>0</v>
      </c>
      <c r="F4099" s="42"/>
    </row>
    <row r="4100" spans="1:6">
      <c r="A4100" s="39">
        <f>A4099</f>
        <v>46048</v>
      </c>
      <c r="B4100" s="40"/>
      <c r="C4100" s="40"/>
      <c r="D4100" s="41"/>
      <c r="E4100" s="43">
        <f>C4100</f>
        <v>0</v>
      </c>
      <c r="F4100" s="42"/>
    </row>
    <row r="4101" spans="1:6">
      <c r="A4101" s="39">
        <f>A4100</f>
        <v>46048</v>
      </c>
      <c r="B4101" s="40"/>
      <c r="C4101" s="40"/>
      <c r="D4101" s="41"/>
      <c r="E4101" s="43">
        <f>C4101</f>
        <v>0</v>
      </c>
      <c r="F4101" s="42"/>
    </row>
    <row r="4102" spans="1:6">
      <c r="A4102" s="39">
        <f>A4101</f>
        <v>46048</v>
      </c>
      <c r="B4102" s="40"/>
      <c r="C4102" s="40"/>
      <c r="D4102" s="41"/>
      <c r="E4102" s="43">
        <f>C4102</f>
        <v>0</v>
      </c>
      <c r="F4102" s="42"/>
    </row>
    <row r="4103" spans="1:6">
      <c r="A4103" s="39">
        <f>A4102</f>
        <v>46048</v>
      </c>
      <c r="B4103" s="40"/>
      <c r="C4103" s="40"/>
      <c r="D4103" s="41"/>
      <c r="E4103" s="43">
        <f>C4103</f>
        <v>0</v>
      </c>
      <c r="F4103" s="42"/>
    </row>
    <row r="4104" spans="1:6">
      <c r="A4104" s="39">
        <f>A4103</f>
        <v>46048</v>
      </c>
      <c r="B4104" s="40"/>
      <c r="C4104" s="40"/>
      <c r="D4104" s="41"/>
      <c r="E4104" s="43">
        <f>C4104</f>
        <v>0</v>
      </c>
      <c r="F4104" s="42"/>
    </row>
    <row r="4105" spans="1:6">
      <c r="A4105" s="39">
        <f>A4104</f>
        <v>46048</v>
      </c>
      <c r="B4105" s="40"/>
      <c r="C4105" s="40"/>
      <c r="D4105" s="41"/>
      <c r="E4105" s="43">
        <f>C4105</f>
        <v>0</v>
      </c>
      <c r="F4105" s="42"/>
    </row>
    <row r="4106" spans="1:6">
      <c r="A4106" s="39">
        <f>A4105</f>
        <v>46048</v>
      </c>
      <c r="B4106" s="40"/>
      <c r="C4106" s="40"/>
      <c r="D4106" s="41"/>
      <c r="E4106" s="43">
        <f>C4106</f>
        <v>0</v>
      </c>
      <c r="F4106" s="42"/>
    </row>
    <row r="4107" spans="1:6">
      <c r="A4107" s="39">
        <f>A4106</f>
        <v>46048</v>
      </c>
      <c r="B4107" s="40"/>
      <c r="C4107" s="40"/>
      <c r="D4107" s="41"/>
      <c r="E4107" s="43">
        <f>C4107</f>
        <v>0</v>
      </c>
      <c r="F4107" s="42"/>
    </row>
    <row r="4108" spans="1:6">
      <c r="A4108" s="39">
        <f>A4107</f>
        <v>46048</v>
      </c>
      <c r="B4108" s="40"/>
      <c r="C4108" s="40"/>
      <c r="D4108" s="41"/>
      <c r="E4108" s="43">
        <f>C4108</f>
        <v>0</v>
      </c>
      <c r="F4108" s="42"/>
    </row>
    <row r="4109" spans="1:6">
      <c r="A4109" s="39">
        <f>A4108</f>
        <v>46048</v>
      </c>
      <c r="B4109" s="40"/>
      <c r="C4109" s="40"/>
      <c r="D4109" s="41"/>
      <c r="E4109" s="43">
        <f>C4109</f>
        <v>0</v>
      </c>
      <c r="F4109" s="42"/>
    </row>
    <row r="4110" spans="1:6">
      <c r="A4110" s="39">
        <f>A4109</f>
        <v>46048</v>
      </c>
      <c r="B4110" s="40"/>
      <c r="C4110" s="40"/>
      <c r="D4110" s="41"/>
      <c r="E4110" s="43">
        <f>C4110</f>
        <v>0</v>
      </c>
      <c r="F4110" s="42"/>
    </row>
    <row r="4111" spans="1:6">
      <c r="A4111" s="39">
        <f>A4110</f>
        <v>46048</v>
      </c>
      <c r="B4111" s="40"/>
      <c r="C4111" s="40"/>
      <c r="D4111" s="41"/>
      <c r="E4111" s="43">
        <f>C4111</f>
        <v>0</v>
      </c>
      <c r="F4111" s="42"/>
    </row>
    <row r="4112" spans="1:6">
      <c r="A4112" s="39">
        <f>A4111</f>
        <v>46048</v>
      </c>
      <c r="B4112" s="40"/>
      <c r="C4112" s="40"/>
      <c r="D4112" s="41"/>
      <c r="E4112" s="43">
        <f>C4112</f>
        <v>0</v>
      </c>
      <c r="F4112" s="42"/>
    </row>
    <row r="4113" spans="1:6">
      <c r="A4113" s="39">
        <f>A4112</f>
        <v>46048</v>
      </c>
      <c r="B4113" s="40"/>
      <c r="C4113" s="40"/>
      <c r="D4113" s="41"/>
      <c r="E4113" s="43">
        <f>C4113</f>
        <v>0</v>
      </c>
      <c r="F4113" s="42"/>
    </row>
    <row r="4114" spans="1:6">
      <c r="A4114" s="39">
        <f>A4113</f>
        <v>46048</v>
      </c>
      <c r="B4114" s="40"/>
      <c r="C4114" s="40"/>
      <c r="D4114" s="41"/>
      <c r="E4114" s="43">
        <f>C4114</f>
        <v>0</v>
      </c>
      <c r="F4114" s="42"/>
    </row>
    <row r="4115" spans="1:6">
      <c r="A4115" s="39">
        <f>A4114</f>
        <v>46048</v>
      </c>
      <c r="B4115" s="40"/>
      <c r="C4115" s="40"/>
      <c r="D4115" s="41"/>
      <c r="E4115" s="43">
        <f>C4115</f>
        <v>0</v>
      </c>
      <c r="F4115" s="42"/>
    </row>
    <row r="4116" spans="1:6">
      <c r="A4116" s="39">
        <f>A4115</f>
        <v>46048</v>
      </c>
      <c r="B4116" s="40"/>
      <c r="C4116" s="40"/>
      <c r="D4116" s="41"/>
      <c r="E4116" s="43">
        <f>C4116</f>
        <v>0</v>
      </c>
      <c r="F4116" s="42"/>
    </row>
    <row r="4117" spans="1:6">
      <c r="A4117" s="39">
        <f>A4116</f>
        <v>46048</v>
      </c>
      <c r="B4117" s="40"/>
      <c r="C4117" s="40"/>
      <c r="D4117" s="41"/>
      <c r="E4117" s="43">
        <f>C4117</f>
        <v>0</v>
      </c>
      <c r="F4117" s="42"/>
    </row>
    <row r="4118" spans="1:6">
      <c r="A4118" s="39">
        <f>A4117</f>
        <v>46048</v>
      </c>
      <c r="B4118" s="40"/>
      <c r="C4118" s="40"/>
      <c r="D4118" s="41"/>
      <c r="E4118" s="43">
        <f>C4118</f>
        <v>0</v>
      </c>
      <c r="F4118" s="42"/>
    </row>
    <row r="4119" spans="1:6">
      <c r="A4119" s="39">
        <f>A4118</f>
        <v>46048</v>
      </c>
      <c r="B4119" s="40"/>
      <c r="C4119" s="40"/>
      <c r="D4119" s="41"/>
      <c r="E4119" s="43">
        <f>C4119</f>
        <v>0</v>
      </c>
      <c r="F4119" s="42"/>
    </row>
    <row r="4120" spans="1:6">
      <c r="A4120" s="39">
        <f>A4119</f>
        <v>46048</v>
      </c>
      <c r="B4120" s="40"/>
      <c r="C4120" s="40"/>
      <c r="D4120" s="41"/>
      <c r="E4120" s="43">
        <f>C4120</f>
        <v>0</v>
      </c>
      <c r="F4120" s="42"/>
    </row>
    <row r="4121" spans="1:6">
      <c r="A4121" s="39">
        <f>A4120</f>
        <v>46048</v>
      </c>
      <c r="B4121" s="40"/>
      <c r="C4121" s="40"/>
      <c r="D4121" s="41"/>
      <c r="E4121" s="43">
        <f>C4121</f>
        <v>0</v>
      </c>
      <c r="F4121" s="42"/>
    </row>
    <row r="4122" spans="1:6">
      <c r="A4122" s="39">
        <f>A4121</f>
        <v>46048</v>
      </c>
      <c r="B4122" s="40"/>
      <c r="C4122" s="40"/>
      <c r="D4122" s="41"/>
      <c r="E4122" s="43">
        <f>C4122</f>
        <v>0</v>
      </c>
      <c r="F4122" s="42"/>
    </row>
    <row r="4123" spans="1:6">
      <c r="A4123" s="39">
        <f>A4122</f>
        <v>46048</v>
      </c>
      <c r="B4123" s="40"/>
      <c r="C4123" s="40"/>
      <c r="D4123" s="41"/>
      <c r="E4123" s="43">
        <f>C4123</f>
        <v>0</v>
      </c>
      <c r="F4123" s="42"/>
    </row>
    <row r="4124" spans="1:6">
      <c r="A4124" s="39">
        <f>A4123</f>
        <v>46048</v>
      </c>
      <c r="B4124" s="40"/>
      <c r="C4124" s="40"/>
      <c r="D4124" s="41"/>
      <c r="E4124" s="43">
        <f>C4124</f>
        <v>0</v>
      </c>
      <c r="F4124" s="42"/>
    </row>
    <row r="4125" spans="1:6">
      <c r="A4125" s="39">
        <f>A4124</f>
        <v>46048</v>
      </c>
      <c r="B4125" s="40"/>
      <c r="C4125" s="40"/>
      <c r="D4125" s="41"/>
      <c r="E4125" s="43">
        <f>C4125</f>
        <v>0</v>
      </c>
      <c r="F4125" s="42"/>
    </row>
    <row r="4126" spans="1:6">
      <c r="A4126" s="39">
        <f>A4125</f>
        <v>46048</v>
      </c>
      <c r="B4126" s="40"/>
      <c r="C4126" s="40"/>
      <c r="D4126" s="41"/>
      <c r="E4126" s="43">
        <f>C4126</f>
        <v>0</v>
      </c>
      <c r="F4126" s="42"/>
    </row>
    <row r="4127" spans="1:6">
      <c r="A4127" s="39">
        <f>A4126</f>
        <v>46048</v>
      </c>
      <c r="B4127" s="40"/>
      <c r="C4127" s="40"/>
      <c r="D4127" s="41"/>
      <c r="E4127" s="43">
        <f>C4127</f>
        <v>0</v>
      </c>
      <c r="F4127" s="42"/>
    </row>
    <row r="4128" spans="1:6">
      <c r="A4128" s="39">
        <f>A4127</f>
        <v>46048</v>
      </c>
      <c r="B4128" s="40"/>
      <c r="C4128" s="40"/>
      <c r="D4128" s="41"/>
      <c r="E4128" s="43">
        <f>C4128</f>
        <v>0</v>
      </c>
      <c r="F4128" s="42"/>
    </row>
    <row r="4129" spans="1:6">
      <c r="A4129" s="39">
        <f>A4128</f>
        <v>46048</v>
      </c>
      <c r="B4129" s="40"/>
      <c r="C4129" s="40"/>
      <c r="D4129" s="41"/>
      <c r="E4129" s="43">
        <f>C4129</f>
        <v>0</v>
      </c>
      <c r="F4129" s="42"/>
    </row>
    <row r="4130" spans="1:6">
      <c r="A4130" s="39">
        <f>A4129</f>
        <v>46048</v>
      </c>
      <c r="B4130" s="40"/>
      <c r="C4130" s="40"/>
      <c r="D4130" s="41"/>
      <c r="E4130" s="43">
        <f>C4130</f>
        <v>0</v>
      </c>
      <c r="F4130" s="42"/>
    </row>
    <row r="4131" spans="1:6">
      <c r="A4131" s="39">
        <f>A4130</f>
        <v>46048</v>
      </c>
      <c r="B4131" s="40"/>
      <c r="C4131" s="40"/>
      <c r="D4131" s="41"/>
      <c r="E4131" s="43">
        <f>C4131</f>
        <v>0</v>
      </c>
      <c r="F4131" s="42"/>
    </row>
    <row r="4132" spans="1:6">
      <c r="A4132" s="39">
        <f>A4131</f>
        <v>46048</v>
      </c>
      <c r="B4132" s="40"/>
      <c r="C4132" s="40"/>
      <c r="D4132" s="41"/>
      <c r="E4132" s="43">
        <f>C4132</f>
        <v>0</v>
      </c>
      <c r="F4132" s="42"/>
    </row>
    <row r="4133" spans="1:6">
      <c r="A4133" s="39">
        <f>A4132</f>
        <v>46048</v>
      </c>
      <c r="B4133" s="40"/>
      <c r="C4133" s="40"/>
      <c r="D4133" s="41"/>
      <c r="E4133" s="43">
        <f>C4133</f>
        <v>0</v>
      </c>
      <c r="F4133" s="42"/>
    </row>
    <row r="4134" spans="1:6">
      <c r="A4134" s="39">
        <f>A4133</f>
        <v>46048</v>
      </c>
      <c r="B4134" s="40"/>
      <c r="C4134" s="40"/>
      <c r="D4134" s="41"/>
      <c r="E4134" s="43">
        <f>C4134</f>
        <v>0</v>
      </c>
      <c r="F4134" s="42"/>
    </row>
    <row r="4135" spans="1:6">
      <c r="A4135" s="39">
        <f>A4134</f>
        <v>46048</v>
      </c>
      <c r="B4135" s="40"/>
      <c r="C4135" s="40"/>
      <c r="D4135" s="41"/>
      <c r="E4135" s="43">
        <f>C4135</f>
        <v>0</v>
      </c>
      <c r="F4135" s="42"/>
    </row>
    <row r="4136" spans="1:6">
      <c r="A4136" s="39">
        <f>A4135</f>
        <v>46048</v>
      </c>
      <c r="B4136" s="40"/>
      <c r="C4136" s="40"/>
      <c r="D4136" s="41"/>
      <c r="E4136" s="43">
        <f>C4136</f>
        <v>0</v>
      </c>
      <c r="F4136" s="42"/>
    </row>
    <row r="4137" spans="1:6">
      <c r="A4137" s="39">
        <f>A4136</f>
        <v>46048</v>
      </c>
      <c r="B4137" s="40"/>
      <c r="C4137" s="40"/>
      <c r="D4137" s="41"/>
      <c r="E4137" s="43">
        <f>C4137</f>
        <v>0</v>
      </c>
      <c r="F4137" s="42"/>
    </row>
    <row r="4138" spans="1:6">
      <c r="A4138" s="39">
        <f>A4137</f>
        <v>46048</v>
      </c>
      <c r="B4138" s="40"/>
      <c r="C4138" s="40"/>
      <c r="D4138" s="41"/>
      <c r="E4138" s="43">
        <f>C4138</f>
        <v>0</v>
      </c>
      <c r="F4138" s="42"/>
    </row>
    <row r="4139" spans="1:6">
      <c r="A4139" s="39">
        <f>A4138</f>
        <v>46048</v>
      </c>
      <c r="B4139" s="40"/>
      <c r="C4139" s="40"/>
      <c r="D4139" s="41"/>
      <c r="E4139" s="43">
        <f>C4139</f>
        <v>0</v>
      </c>
      <c r="F4139" s="42"/>
    </row>
    <row r="4140" spans="1:6">
      <c r="A4140" s="39">
        <f>A4139</f>
        <v>46048</v>
      </c>
      <c r="B4140" s="40"/>
      <c r="C4140" s="40"/>
      <c r="D4140" s="41"/>
      <c r="E4140" s="43">
        <f>C4140</f>
        <v>0</v>
      </c>
      <c r="F4140" s="42"/>
    </row>
    <row r="4141" spans="1:6">
      <c r="A4141" s="39">
        <f>A4140</f>
        <v>46048</v>
      </c>
      <c r="B4141" s="40"/>
      <c r="C4141" s="40"/>
      <c r="D4141" s="41"/>
      <c r="E4141" s="43">
        <f>C4141</f>
        <v>0</v>
      </c>
      <c r="F4141" s="42"/>
    </row>
    <row r="4142" spans="1:6">
      <c r="A4142" s="39">
        <f>A4141</f>
        <v>46048</v>
      </c>
      <c r="B4142" s="40"/>
      <c r="C4142" s="40"/>
      <c r="D4142" s="41"/>
      <c r="E4142" s="43">
        <f>C4142</f>
        <v>0</v>
      </c>
      <c r="F4142" s="42"/>
    </row>
    <row r="4143" spans="1:6">
      <c r="A4143" s="39">
        <f>A4142</f>
        <v>46048</v>
      </c>
      <c r="B4143" s="40"/>
      <c r="C4143" s="40"/>
      <c r="D4143" s="41"/>
      <c r="E4143" s="43">
        <f>C4143</f>
        <v>0</v>
      </c>
      <c r="F4143" s="42"/>
    </row>
    <row r="4144" spans="1:6">
      <c r="A4144" s="39">
        <f>A4143</f>
        <v>46048</v>
      </c>
      <c r="B4144" s="40"/>
      <c r="C4144" s="40"/>
      <c r="D4144" s="41"/>
      <c r="E4144" s="43">
        <f>C4144</f>
        <v>0</v>
      </c>
      <c r="F4144" s="42"/>
    </row>
    <row r="4145" spans="1:6">
      <c r="A4145" s="39">
        <f>A4144</f>
        <v>46048</v>
      </c>
      <c r="B4145" s="40"/>
      <c r="C4145" s="40"/>
      <c r="D4145" s="41"/>
      <c r="E4145" s="43">
        <f>C4145</f>
        <v>0</v>
      </c>
      <c r="F4145" s="42"/>
    </row>
    <row r="4146" spans="1:6">
      <c r="A4146" s="39">
        <f>A4145</f>
        <v>46048</v>
      </c>
      <c r="B4146" s="40"/>
      <c r="C4146" s="40"/>
      <c r="D4146" s="41"/>
      <c r="E4146" s="43">
        <f>C4146</f>
        <v>0</v>
      </c>
      <c r="F4146" s="42"/>
    </row>
    <row r="4147" spans="1:6">
      <c r="A4147" s="39">
        <f>A4146</f>
        <v>46048</v>
      </c>
      <c r="B4147" s="40"/>
      <c r="C4147" s="40"/>
      <c r="D4147" s="41"/>
      <c r="E4147" s="43">
        <f>C4147</f>
        <v>0</v>
      </c>
      <c r="F4147" s="42"/>
    </row>
    <row r="4148" spans="1:6">
      <c r="A4148" s="39">
        <f>A4147</f>
        <v>46048</v>
      </c>
      <c r="B4148" s="40"/>
      <c r="C4148" s="40"/>
      <c r="D4148" s="41"/>
      <c r="E4148" s="43">
        <f>C4148</f>
        <v>0</v>
      </c>
      <c r="F4148" s="42"/>
    </row>
    <row r="4149" spans="1:6">
      <c r="A4149" s="39">
        <f>A4148</f>
        <v>46048</v>
      </c>
      <c r="B4149" s="40"/>
      <c r="C4149" s="40"/>
      <c r="D4149" s="41"/>
      <c r="E4149" s="43">
        <f>C4149</f>
        <v>0</v>
      </c>
      <c r="F4149" s="42"/>
    </row>
    <row r="4150" spans="1:6">
      <c r="A4150" s="39">
        <f>A4149</f>
        <v>46048</v>
      </c>
      <c r="B4150" s="40"/>
      <c r="C4150" s="40"/>
      <c r="D4150" s="41"/>
      <c r="E4150" s="43">
        <f>C4150</f>
        <v>0</v>
      </c>
      <c r="F4150" s="42"/>
    </row>
    <row r="4151" spans="1:6">
      <c r="A4151" s="39">
        <f>A4150</f>
        <v>46048</v>
      </c>
      <c r="B4151" s="40"/>
      <c r="C4151" s="40"/>
      <c r="D4151" s="41"/>
      <c r="E4151" s="43">
        <f>C4151</f>
        <v>0</v>
      </c>
      <c r="F4151" s="42"/>
    </row>
    <row r="4152" spans="1:6">
      <c r="A4152" s="39">
        <f>A4151</f>
        <v>46048</v>
      </c>
      <c r="B4152" s="40"/>
      <c r="C4152" s="40"/>
      <c r="D4152" s="41"/>
      <c r="E4152" s="43">
        <f>C4152</f>
        <v>0</v>
      </c>
      <c r="F4152" s="42"/>
    </row>
    <row r="4153" spans="1:6">
      <c r="A4153" s="39">
        <f>A4152</f>
        <v>46048</v>
      </c>
      <c r="B4153" s="40"/>
      <c r="C4153" s="40"/>
      <c r="D4153" s="41"/>
      <c r="E4153" s="43">
        <f>C4153</f>
        <v>0</v>
      </c>
      <c r="F4153" s="42"/>
    </row>
    <row r="4154" spans="1:6">
      <c r="A4154" s="39">
        <f>A4153</f>
        <v>46048</v>
      </c>
      <c r="B4154" s="40"/>
      <c r="C4154" s="40"/>
      <c r="D4154" s="41"/>
      <c r="E4154" s="43">
        <f>C4154</f>
        <v>0</v>
      </c>
      <c r="F4154" s="42"/>
    </row>
    <row r="4155" spans="1:6">
      <c r="A4155" s="39">
        <f>A4154</f>
        <v>46048</v>
      </c>
      <c r="B4155" s="40"/>
      <c r="C4155" s="40"/>
      <c r="D4155" s="41"/>
      <c r="E4155" s="43">
        <f>C4155</f>
        <v>0</v>
      </c>
      <c r="F4155" s="42"/>
    </row>
    <row r="4156" spans="1:6">
      <c r="A4156" s="39">
        <f>A4155</f>
        <v>46048</v>
      </c>
      <c r="B4156" s="40"/>
      <c r="C4156" s="40"/>
      <c r="D4156" s="41"/>
      <c r="E4156" s="43">
        <f>C4156</f>
        <v>0</v>
      </c>
      <c r="F4156" s="42"/>
    </row>
    <row r="4157" spans="1:6">
      <c r="A4157" s="39">
        <f>A4156</f>
        <v>46048</v>
      </c>
      <c r="B4157" s="40"/>
      <c r="C4157" s="40"/>
      <c r="D4157" s="41"/>
      <c r="E4157" s="43">
        <f>C4157</f>
        <v>0</v>
      </c>
      <c r="F4157" s="42"/>
    </row>
    <row r="4158" spans="1:6">
      <c r="A4158" s="39">
        <f>A4157</f>
        <v>46048</v>
      </c>
      <c r="B4158" s="40"/>
      <c r="C4158" s="40"/>
      <c r="D4158" s="41"/>
      <c r="E4158" s="43">
        <f>C4158</f>
        <v>0</v>
      </c>
      <c r="F4158" s="42"/>
    </row>
    <row r="4159" spans="1:6">
      <c r="A4159" s="39">
        <f>A4158</f>
        <v>46048</v>
      </c>
      <c r="B4159" s="40"/>
      <c r="C4159" s="40"/>
      <c r="D4159" s="41"/>
      <c r="E4159" s="43">
        <f>C4159</f>
        <v>0</v>
      </c>
      <c r="F4159" s="42"/>
    </row>
    <row r="4160" spans="1:6">
      <c r="A4160" s="39">
        <f>A4159</f>
        <v>46048</v>
      </c>
      <c r="B4160" s="40"/>
      <c r="C4160" s="40"/>
      <c r="D4160" s="41"/>
      <c r="E4160" s="43">
        <f>C4160</f>
        <v>0</v>
      </c>
      <c r="F4160" s="42"/>
    </row>
    <row r="4161" spans="1:6">
      <c r="A4161" s="39">
        <f>A4160</f>
        <v>46048</v>
      </c>
      <c r="B4161" s="40"/>
      <c r="C4161" s="40"/>
      <c r="D4161" s="41"/>
      <c r="E4161" s="43">
        <f>C4161</f>
        <v>0</v>
      </c>
      <c r="F4161" s="42"/>
    </row>
    <row r="4162" spans="1:6">
      <c r="A4162" s="39">
        <f>A4161</f>
        <v>46048</v>
      </c>
      <c r="B4162" s="40"/>
      <c r="C4162" s="40"/>
      <c r="D4162" s="41"/>
      <c r="E4162" s="43">
        <f>C4162</f>
        <v>0</v>
      </c>
      <c r="F4162" s="42"/>
    </row>
    <row r="4163" spans="1:6">
      <c r="A4163" s="39">
        <f>A4162</f>
        <v>46048</v>
      </c>
      <c r="B4163" s="40"/>
      <c r="C4163" s="40"/>
      <c r="D4163" s="41"/>
      <c r="E4163" s="43">
        <f>C4163</f>
        <v>0</v>
      </c>
      <c r="F4163" s="42"/>
    </row>
    <row r="4164" spans="1:6">
      <c r="A4164" s="39">
        <f>A4163</f>
        <v>46048</v>
      </c>
      <c r="B4164" s="40"/>
      <c r="C4164" s="40"/>
      <c r="D4164" s="41"/>
      <c r="E4164" s="43">
        <f>C4164</f>
        <v>0</v>
      </c>
      <c r="F4164" s="42"/>
    </row>
    <row r="4165" spans="1:6">
      <c r="A4165" s="39">
        <f>A4164</f>
        <v>46048</v>
      </c>
      <c r="B4165" s="40"/>
      <c r="C4165" s="40"/>
      <c r="D4165" s="41"/>
      <c r="E4165" s="43">
        <f>C4165</f>
        <v>0</v>
      </c>
      <c r="F4165" s="42"/>
    </row>
    <row r="4166" spans="1:6">
      <c r="A4166" s="39">
        <f>A4165</f>
        <v>46048</v>
      </c>
      <c r="B4166" s="40"/>
      <c r="C4166" s="40"/>
      <c r="D4166" s="41"/>
      <c r="E4166" s="43">
        <f>C4166</f>
        <v>0</v>
      </c>
      <c r="F4166" s="42"/>
    </row>
    <row r="4167" spans="1:6">
      <c r="A4167" s="39">
        <f>A4166</f>
        <v>46048</v>
      </c>
      <c r="B4167" s="40"/>
      <c r="C4167" s="40"/>
      <c r="D4167" s="41"/>
      <c r="E4167" s="43">
        <f>C4167</f>
        <v>0</v>
      </c>
      <c r="F4167" s="42"/>
    </row>
    <row r="4168" spans="1:6">
      <c r="A4168" s="39">
        <f>A4167</f>
        <v>46048</v>
      </c>
      <c r="B4168" s="40"/>
      <c r="C4168" s="40"/>
      <c r="D4168" s="41"/>
      <c r="E4168" s="43">
        <f>C4168</f>
        <v>0</v>
      </c>
      <c r="F4168" s="42"/>
    </row>
    <row r="4169" spans="1:6">
      <c r="A4169" s="39">
        <f>A4168</f>
        <v>46048</v>
      </c>
      <c r="B4169" s="40"/>
      <c r="C4169" s="40"/>
      <c r="D4169" s="41"/>
      <c r="E4169" s="43">
        <f>C4169</f>
        <v>0</v>
      </c>
      <c r="F4169" s="42"/>
    </row>
    <row r="4170" spans="1:6">
      <c r="A4170" s="39">
        <f>A4169</f>
        <v>46048</v>
      </c>
      <c r="B4170" s="40"/>
      <c r="C4170" s="40"/>
      <c r="D4170" s="41"/>
      <c r="E4170" s="43">
        <f>C4170</f>
        <v>0</v>
      </c>
      <c r="F4170" s="42"/>
    </row>
    <row r="4171" spans="1:6">
      <c r="A4171" s="39">
        <f>A4170</f>
        <v>46048</v>
      </c>
      <c r="B4171" s="40"/>
      <c r="C4171" s="40"/>
      <c r="D4171" s="41"/>
      <c r="E4171" s="43">
        <f>C4171</f>
        <v>0</v>
      </c>
      <c r="F4171" s="42"/>
    </row>
    <row r="4172" spans="1:6">
      <c r="A4172" s="39">
        <f>A4171</f>
        <v>46048</v>
      </c>
      <c r="B4172" s="40"/>
      <c r="C4172" s="40"/>
      <c r="D4172" s="41"/>
      <c r="E4172" s="43">
        <f>C4172</f>
        <v>0</v>
      </c>
      <c r="F4172" s="42"/>
    </row>
    <row r="4173" spans="1:6">
      <c r="A4173" s="39">
        <f>A4172</f>
        <v>46048</v>
      </c>
      <c r="B4173" s="40"/>
      <c r="C4173" s="40"/>
      <c r="D4173" s="41"/>
      <c r="E4173" s="43">
        <f>C4173</f>
        <v>0</v>
      </c>
      <c r="F4173" s="42"/>
    </row>
    <row r="4174" spans="1:6">
      <c r="A4174" s="39">
        <f>A4173</f>
        <v>46048</v>
      </c>
      <c r="B4174" s="40"/>
      <c r="C4174" s="40"/>
      <c r="D4174" s="41"/>
      <c r="E4174" s="43">
        <f>C4174</f>
        <v>0</v>
      </c>
      <c r="F4174" s="42"/>
    </row>
    <row r="4175" spans="1:6">
      <c r="A4175" s="39">
        <f>A4174</f>
        <v>46048</v>
      </c>
      <c r="B4175" s="40"/>
      <c r="C4175" s="40"/>
      <c r="D4175" s="41"/>
      <c r="E4175" s="43">
        <f>C4175</f>
        <v>0</v>
      </c>
      <c r="F4175" s="42"/>
    </row>
    <row r="4176" spans="1:6">
      <c r="A4176" s="39">
        <f>A4175</f>
        <v>46048</v>
      </c>
      <c r="B4176" s="40"/>
      <c r="C4176" s="40"/>
      <c r="D4176" s="41"/>
      <c r="E4176" s="43">
        <f>C4176</f>
        <v>0</v>
      </c>
      <c r="F4176" s="42"/>
    </row>
    <row r="4177" spans="1:6">
      <c r="A4177" s="39">
        <f>A4176</f>
        <v>46048</v>
      </c>
      <c r="B4177" s="40"/>
      <c r="C4177" s="40"/>
      <c r="D4177" s="41"/>
      <c r="E4177" s="43">
        <f>C4177</f>
        <v>0</v>
      </c>
      <c r="F4177" s="42"/>
    </row>
    <row r="4178" spans="1:6">
      <c r="A4178" s="39">
        <f>A4177</f>
        <v>46048</v>
      </c>
      <c r="B4178" s="40"/>
      <c r="C4178" s="40"/>
      <c r="D4178" s="41"/>
      <c r="E4178" s="43">
        <f>C4178</f>
        <v>0</v>
      </c>
      <c r="F4178" s="42"/>
    </row>
    <row r="4179" spans="1:6">
      <c r="A4179" s="39">
        <f>A4178</f>
        <v>46048</v>
      </c>
      <c r="B4179" s="40"/>
      <c r="C4179" s="40"/>
      <c r="D4179" s="41"/>
      <c r="E4179" s="43">
        <f>C4179</f>
        <v>0</v>
      </c>
      <c r="F4179" s="42"/>
    </row>
    <row r="4180" spans="1:6">
      <c r="A4180" s="39">
        <f>A4179</f>
        <v>46048</v>
      </c>
      <c r="B4180" s="40"/>
      <c r="C4180" s="40"/>
      <c r="D4180" s="41"/>
      <c r="E4180" s="43">
        <f>C4180</f>
        <v>0</v>
      </c>
      <c r="F4180" s="42"/>
    </row>
    <row r="4181" spans="1:6">
      <c r="A4181" s="39">
        <f>A4180</f>
        <v>46048</v>
      </c>
      <c r="B4181" s="40"/>
      <c r="C4181" s="40"/>
      <c r="D4181" s="41"/>
      <c r="E4181" s="43">
        <f>C4181</f>
        <v>0</v>
      </c>
      <c r="F4181" s="42"/>
    </row>
    <row r="4182" spans="1:6">
      <c r="A4182" s="39">
        <f>A4181</f>
        <v>46048</v>
      </c>
      <c r="B4182" s="40"/>
      <c r="C4182" s="40"/>
      <c r="D4182" s="41"/>
      <c r="E4182" s="43">
        <f>C4182</f>
        <v>0</v>
      </c>
      <c r="F4182" s="42"/>
    </row>
    <row r="4183" spans="1:6">
      <c r="A4183" s="39">
        <f>A4182</f>
        <v>46048</v>
      </c>
      <c r="B4183" s="40"/>
      <c r="C4183" s="40"/>
      <c r="D4183" s="41"/>
      <c r="E4183" s="43">
        <f>C4183</f>
        <v>0</v>
      </c>
      <c r="F4183" s="42"/>
    </row>
    <row r="4184" spans="1:6">
      <c r="A4184" s="39">
        <f>A4183</f>
        <v>46048</v>
      </c>
      <c r="B4184" s="40"/>
      <c r="C4184" s="40"/>
      <c r="D4184" s="41"/>
      <c r="E4184" s="43">
        <f>C4184</f>
        <v>0</v>
      </c>
      <c r="F4184" s="42"/>
    </row>
    <row r="4185" spans="1:6">
      <c r="A4185" s="39">
        <f>A4184</f>
        <v>46048</v>
      </c>
      <c r="B4185" s="40"/>
      <c r="C4185" s="40"/>
      <c r="D4185" s="41"/>
      <c r="E4185" s="43">
        <f>C4185</f>
        <v>0</v>
      </c>
      <c r="F4185" s="42"/>
    </row>
    <row r="4186" spans="1:6">
      <c r="A4186" s="39">
        <f>A4185</f>
        <v>46048</v>
      </c>
      <c r="B4186" s="40"/>
      <c r="C4186" s="40"/>
      <c r="D4186" s="41"/>
      <c r="E4186" s="43">
        <f>C4186</f>
        <v>0</v>
      </c>
      <c r="F4186" s="42"/>
    </row>
    <row r="4187" spans="1:6">
      <c r="A4187" s="39">
        <f>A4186</f>
        <v>46048</v>
      </c>
      <c r="B4187" s="40"/>
      <c r="C4187" s="40"/>
      <c r="D4187" s="41"/>
      <c r="E4187" s="43">
        <f>C4187</f>
        <v>0</v>
      </c>
      <c r="F4187" s="42"/>
    </row>
    <row r="4188" spans="1:6">
      <c r="A4188" s="39">
        <f>A4187</f>
        <v>46048</v>
      </c>
      <c r="B4188" s="40"/>
      <c r="C4188" s="40"/>
      <c r="D4188" s="41"/>
      <c r="E4188" s="43">
        <f>C4188</f>
        <v>0</v>
      </c>
      <c r="F4188" s="42"/>
    </row>
    <row r="4189" spans="1:6">
      <c r="A4189" s="39">
        <f>A4188</f>
        <v>46048</v>
      </c>
      <c r="B4189" s="40"/>
      <c r="C4189" s="40"/>
      <c r="D4189" s="41"/>
      <c r="E4189" s="43">
        <f>C4189</f>
        <v>0</v>
      </c>
      <c r="F4189" s="42"/>
    </row>
    <row r="4190" spans="1:6">
      <c r="A4190" s="39">
        <f>A4189</f>
        <v>46048</v>
      </c>
      <c r="B4190" s="40"/>
      <c r="C4190" s="40"/>
      <c r="D4190" s="41"/>
      <c r="E4190" s="43">
        <f>C4190</f>
        <v>0</v>
      </c>
      <c r="F4190" s="42"/>
    </row>
    <row r="4191" spans="1:6">
      <c r="A4191" s="39">
        <f>A4190</f>
        <v>46048</v>
      </c>
      <c r="B4191" s="40"/>
      <c r="C4191" s="40"/>
      <c r="D4191" s="41"/>
      <c r="E4191" s="43">
        <f>C4191</f>
        <v>0</v>
      </c>
      <c r="F4191" s="42"/>
    </row>
    <row r="4192" spans="1:6">
      <c r="A4192" s="39">
        <f>A4191</f>
        <v>46048</v>
      </c>
      <c r="B4192" s="40"/>
      <c r="C4192" s="40"/>
      <c r="D4192" s="41"/>
      <c r="E4192" s="43">
        <f>C4192</f>
        <v>0</v>
      </c>
      <c r="F4192" s="42"/>
    </row>
    <row r="4193" spans="1:6">
      <c r="A4193" s="39">
        <f>A4192</f>
        <v>46048</v>
      </c>
      <c r="B4193" s="40"/>
      <c r="C4193" s="40"/>
      <c r="D4193" s="41"/>
      <c r="E4193" s="43">
        <f>C4193</f>
        <v>0</v>
      </c>
      <c r="F4193" s="42"/>
    </row>
    <row r="4194" spans="1:6">
      <c r="A4194" s="39">
        <f>A4193</f>
        <v>46048</v>
      </c>
      <c r="B4194" s="40"/>
      <c r="C4194" s="40"/>
      <c r="D4194" s="41"/>
      <c r="E4194" s="43">
        <f>C4194</f>
        <v>0</v>
      </c>
      <c r="F4194" s="42"/>
    </row>
    <row r="4195" spans="1:6">
      <c r="A4195" s="39">
        <f>A4194</f>
        <v>46048</v>
      </c>
      <c r="B4195" s="40"/>
      <c r="C4195" s="40"/>
      <c r="D4195" s="41"/>
      <c r="E4195" s="43">
        <f>C4195</f>
        <v>0</v>
      </c>
      <c r="F4195" s="42"/>
    </row>
    <row r="4196" spans="1:6">
      <c r="A4196" s="39">
        <f>A4195</f>
        <v>46048</v>
      </c>
      <c r="B4196" s="40"/>
      <c r="C4196" s="40"/>
      <c r="D4196" s="41"/>
      <c r="E4196" s="43">
        <f>C4196</f>
        <v>0</v>
      </c>
      <c r="F4196" s="42"/>
    </row>
    <row r="4197" spans="1:6">
      <c r="A4197" s="39">
        <f>A4196</f>
        <v>46048</v>
      </c>
      <c r="B4197" s="40"/>
      <c r="C4197" s="40"/>
      <c r="D4197" s="41"/>
      <c r="E4197" s="43">
        <f>C4197</f>
        <v>0</v>
      </c>
      <c r="F4197" s="42"/>
    </row>
    <row r="4198" spans="1:6">
      <c r="A4198" s="39">
        <f>A4197</f>
        <v>46048</v>
      </c>
      <c r="B4198" s="40"/>
      <c r="C4198" s="40"/>
      <c r="D4198" s="41"/>
      <c r="E4198" s="43">
        <f>C4198</f>
        <v>0</v>
      </c>
      <c r="F4198" s="42"/>
    </row>
    <row r="4199" spans="1:6">
      <c r="A4199" s="39">
        <f>A4198</f>
        <v>46048</v>
      </c>
      <c r="B4199" s="40"/>
      <c r="C4199" s="40"/>
      <c r="D4199" s="41"/>
      <c r="E4199" s="43">
        <f>C4199</f>
        <v>0</v>
      </c>
      <c r="F4199" s="42"/>
    </row>
    <row r="4200" spans="1:6">
      <c r="A4200" s="39">
        <f>A4199</f>
        <v>46048</v>
      </c>
      <c r="B4200" s="40"/>
      <c r="C4200" s="40"/>
      <c r="D4200" s="41"/>
      <c r="E4200" s="43">
        <f>C4200</f>
        <v>0</v>
      </c>
      <c r="F4200" s="42"/>
    </row>
    <row r="4201" spans="1:6">
      <c r="A4201" s="39">
        <f>A4200</f>
        <v>46048</v>
      </c>
      <c r="B4201" s="40"/>
      <c r="C4201" s="40"/>
      <c r="D4201" s="41"/>
      <c r="E4201" s="43">
        <f>C4201</f>
        <v>0</v>
      </c>
      <c r="F4201" s="42"/>
    </row>
    <row r="4202" spans="1:6">
      <c r="A4202" s="39">
        <f>A4201</f>
        <v>46048</v>
      </c>
      <c r="B4202" s="40"/>
      <c r="C4202" s="40"/>
      <c r="D4202" s="41"/>
      <c r="E4202" s="43">
        <f>C4202</f>
        <v>0</v>
      </c>
      <c r="F4202" s="42"/>
    </row>
    <row r="4203" spans="1:6">
      <c r="A4203" s="39">
        <f>A4202</f>
        <v>46048</v>
      </c>
      <c r="B4203" s="40"/>
      <c r="C4203" s="40"/>
      <c r="D4203" s="41"/>
      <c r="E4203" s="43">
        <f>C4203</f>
        <v>0</v>
      </c>
      <c r="F4203" s="42"/>
    </row>
    <row r="4204" spans="1:6">
      <c r="A4204" s="39">
        <f>A4203</f>
        <v>46048</v>
      </c>
      <c r="B4204" s="40"/>
      <c r="C4204" s="40"/>
      <c r="D4204" s="41"/>
      <c r="E4204" s="43">
        <f>C4204</f>
        <v>0</v>
      </c>
      <c r="F4204" s="42"/>
    </row>
    <row r="4205" spans="1:6">
      <c r="A4205" s="39">
        <f>A4204</f>
        <v>46048</v>
      </c>
      <c r="B4205" s="40"/>
      <c r="C4205" s="40"/>
      <c r="D4205" s="41"/>
      <c r="E4205" s="43">
        <f>C4205</f>
        <v>0</v>
      </c>
      <c r="F4205" s="42"/>
    </row>
    <row r="4206" spans="1:6">
      <c r="A4206" s="39">
        <f>A4205</f>
        <v>46048</v>
      </c>
      <c r="B4206" s="40"/>
      <c r="C4206" s="40"/>
      <c r="D4206" s="41"/>
      <c r="E4206" s="43">
        <f>C4206</f>
        <v>0</v>
      </c>
      <c r="F4206" s="42"/>
    </row>
    <row r="4207" spans="1:6">
      <c r="A4207" s="39">
        <f>A4206</f>
        <v>46048</v>
      </c>
      <c r="B4207" s="40"/>
      <c r="C4207" s="40"/>
      <c r="D4207" s="41"/>
      <c r="E4207" s="43">
        <f>C4207</f>
        <v>0</v>
      </c>
      <c r="F4207" s="42"/>
    </row>
    <row r="4208" spans="1:6">
      <c r="A4208" s="39">
        <f>A4207</f>
        <v>46048</v>
      </c>
      <c r="B4208" s="40"/>
      <c r="C4208" s="40"/>
      <c r="D4208" s="41"/>
      <c r="E4208" s="43">
        <f>C4208</f>
        <v>0</v>
      </c>
      <c r="F4208" s="42"/>
    </row>
    <row r="4209" spans="1:6">
      <c r="A4209" s="39">
        <f>A4208</f>
        <v>46048</v>
      </c>
      <c r="B4209" s="40"/>
      <c r="C4209" s="40"/>
      <c r="D4209" s="41"/>
      <c r="E4209" s="43">
        <f>C4209</f>
        <v>0</v>
      </c>
      <c r="F4209" s="42"/>
    </row>
    <row r="4210" spans="1:6">
      <c r="A4210" s="39">
        <f>A4209</f>
        <v>46048</v>
      </c>
      <c r="B4210" s="40"/>
      <c r="C4210" s="40"/>
      <c r="D4210" s="41"/>
      <c r="E4210" s="43">
        <f>C4210</f>
        <v>0</v>
      </c>
      <c r="F4210" s="42"/>
    </row>
    <row r="4211" spans="1:6">
      <c r="A4211" s="39">
        <f>A4210</f>
        <v>46048</v>
      </c>
      <c r="B4211" s="40"/>
      <c r="C4211" s="40"/>
      <c r="D4211" s="41"/>
      <c r="E4211" s="43">
        <f>C4211</f>
        <v>0</v>
      </c>
      <c r="F4211" s="42"/>
    </row>
    <row r="4212" spans="1:6">
      <c r="A4212" s="39">
        <f>A4211</f>
        <v>46048</v>
      </c>
      <c r="B4212" s="40"/>
      <c r="C4212" s="40"/>
      <c r="D4212" s="41"/>
      <c r="E4212" s="43">
        <f>C4212</f>
        <v>0</v>
      </c>
      <c r="F4212" s="42"/>
    </row>
    <row r="4213" spans="1:6">
      <c r="A4213" s="39">
        <f>A4212</f>
        <v>46048</v>
      </c>
      <c r="B4213" s="40"/>
      <c r="C4213" s="40"/>
      <c r="D4213" s="41"/>
      <c r="E4213" s="43">
        <f>C4213</f>
        <v>0</v>
      </c>
      <c r="F4213" s="42"/>
    </row>
    <row r="4214" spans="1:6">
      <c r="A4214" s="39">
        <f>A4213</f>
        <v>46048</v>
      </c>
      <c r="B4214" s="40"/>
      <c r="C4214" s="40"/>
      <c r="D4214" s="41"/>
      <c r="E4214" s="43">
        <f>C4214</f>
        <v>0</v>
      </c>
      <c r="F4214" s="42"/>
    </row>
    <row r="4215" spans="1:6">
      <c r="A4215" s="39">
        <f>A4214</f>
        <v>46048</v>
      </c>
      <c r="B4215" s="40"/>
      <c r="C4215" s="40"/>
      <c r="D4215" s="41"/>
      <c r="E4215" s="43">
        <f>C4215</f>
        <v>0</v>
      </c>
      <c r="F4215" s="42"/>
    </row>
    <row r="4216" spans="1:6">
      <c r="A4216" s="39">
        <f>A4215</f>
        <v>46048</v>
      </c>
      <c r="B4216" s="40"/>
      <c r="C4216" s="40"/>
      <c r="D4216" s="41"/>
      <c r="E4216" s="43">
        <f>C4216</f>
        <v>0</v>
      </c>
      <c r="F4216" s="42"/>
    </row>
    <row r="4217" spans="1:6">
      <c r="A4217" s="39">
        <f>A4216</f>
        <v>46048</v>
      </c>
      <c r="B4217" s="40"/>
      <c r="C4217" s="40"/>
      <c r="D4217" s="41"/>
      <c r="E4217" s="43">
        <f>C4217</f>
        <v>0</v>
      </c>
      <c r="F4217" s="42"/>
    </row>
    <row r="4218" spans="1:6">
      <c r="A4218" s="39">
        <f>A4217</f>
        <v>46048</v>
      </c>
      <c r="B4218" s="40"/>
      <c r="C4218" s="40"/>
      <c r="D4218" s="41"/>
      <c r="E4218" s="43">
        <f>C4218</f>
        <v>0</v>
      </c>
      <c r="F4218" s="42"/>
    </row>
    <row r="4219" spans="1:6">
      <c r="A4219" s="39">
        <f>A4218</f>
        <v>46048</v>
      </c>
      <c r="B4219" s="40"/>
      <c r="C4219" s="40"/>
      <c r="D4219" s="41"/>
      <c r="E4219" s="43">
        <f>C4219</f>
        <v>0</v>
      </c>
      <c r="F4219" s="42"/>
    </row>
    <row r="4220" spans="1:6">
      <c r="A4220" s="39">
        <f>A4219</f>
        <v>46048</v>
      </c>
      <c r="B4220" s="40"/>
      <c r="C4220" s="40"/>
      <c r="D4220" s="41"/>
      <c r="E4220" s="43">
        <f>C4220</f>
        <v>0</v>
      </c>
      <c r="F4220" s="42"/>
    </row>
    <row r="4221" spans="1:6">
      <c r="A4221" s="39">
        <f>A4220</f>
        <v>46048</v>
      </c>
      <c r="B4221" s="40"/>
      <c r="C4221" s="40"/>
      <c r="D4221" s="41"/>
      <c r="E4221" s="43">
        <f>C4221</f>
        <v>0</v>
      </c>
      <c r="F4221" s="42"/>
    </row>
    <row r="4222" spans="1:6">
      <c r="A4222" s="39">
        <f>A4221</f>
        <v>46048</v>
      </c>
      <c r="B4222" s="40"/>
      <c r="C4222" s="40"/>
      <c r="D4222" s="41"/>
      <c r="E4222" s="43">
        <f>C4222</f>
        <v>0</v>
      </c>
      <c r="F4222" s="42"/>
    </row>
    <row r="4223" spans="1:6">
      <c r="A4223" s="39">
        <f>A4222</f>
        <v>46048</v>
      </c>
      <c r="B4223" s="40"/>
      <c r="C4223" s="40"/>
      <c r="D4223" s="41"/>
      <c r="E4223" s="43">
        <f>C4223</f>
        <v>0</v>
      </c>
      <c r="F4223" s="42"/>
    </row>
    <row r="4224" spans="1:6">
      <c r="A4224" s="39">
        <f>A4223</f>
        <v>46048</v>
      </c>
      <c r="B4224" s="40"/>
      <c r="C4224" s="40"/>
      <c r="D4224" s="41"/>
      <c r="E4224" s="43">
        <f>C4224</f>
        <v>0</v>
      </c>
      <c r="F4224" s="42"/>
    </row>
    <row r="4225" spans="1:6">
      <c r="A4225" s="39">
        <f>A4224</f>
        <v>46048</v>
      </c>
      <c r="B4225" s="40"/>
      <c r="C4225" s="40"/>
      <c r="D4225" s="41"/>
      <c r="E4225" s="43">
        <f>C4225</f>
        <v>0</v>
      </c>
      <c r="F4225" s="42"/>
    </row>
    <row r="4226" spans="1:6">
      <c r="A4226" s="39">
        <f>A4225</f>
        <v>46048</v>
      </c>
      <c r="B4226" s="40"/>
      <c r="C4226" s="40"/>
      <c r="D4226" s="41"/>
      <c r="E4226" s="43">
        <f>C4226</f>
        <v>0</v>
      </c>
      <c r="F4226" s="42"/>
    </row>
    <row r="4227" spans="1:6">
      <c r="A4227" s="39">
        <f>A4226</f>
        <v>46048</v>
      </c>
      <c r="B4227" s="40"/>
      <c r="C4227" s="40"/>
      <c r="D4227" s="41"/>
      <c r="E4227" s="43">
        <f>C4227</f>
        <v>0</v>
      </c>
      <c r="F4227" s="42"/>
    </row>
    <row r="4228" spans="1:6">
      <c r="A4228" s="39">
        <f>A4227</f>
        <v>46048</v>
      </c>
      <c r="B4228" s="40"/>
      <c r="C4228" s="40"/>
      <c r="D4228" s="41"/>
      <c r="E4228" s="43">
        <f>C4228</f>
        <v>0</v>
      </c>
      <c r="F4228" s="42"/>
    </row>
    <row r="4229" spans="1:6">
      <c r="A4229" s="39">
        <f>A4228</f>
        <v>46048</v>
      </c>
      <c r="B4229" s="40"/>
      <c r="C4229" s="40"/>
      <c r="D4229" s="41"/>
      <c r="E4229" s="43">
        <f>C4229</f>
        <v>0</v>
      </c>
      <c r="F4229" s="42"/>
    </row>
    <row r="4230" spans="1:6">
      <c r="A4230" s="39">
        <f>A4229</f>
        <v>46048</v>
      </c>
      <c r="B4230" s="40"/>
      <c r="C4230" s="40"/>
      <c r="D4230" s="41"/>
      <c r="E4230" s="43">
        <f>C4230</f>
        <v>0</v>
      </c>
      <c r="F4230" s="42"/>
    </row>
    <row r="4231" spans="1:6">
      <c r="A4231" s="39">
        <f>A4230</f>
        <v>46048</v>
      </c>
      <c r="B4231" s="40"/>
      <c r="C4231" s="40"/>
      <c r="D4231" s="41"/>
      <c r="E4231" s="43">
        <f>C4231</f>
        <v>0</v>
      </c>
      <c r="F4231" s="42"/>
    </row>
    <row r="4232" spans="1:6">
      <c r="A4232" s="39">
        <f>A4231</f>
        <v>46048</v>
      </c>
      <c r="B4232" s="40"/>
      <c r="C4232" s="40"/>
      <c r="D4232" s="41"/>
      <c r="E4232" s="43">
        <f>C4232</f>
        <v>0</v>
      </c>
      <c r="F4232" s="42"/>
    </row>
    <row r="4233" spans="1:6">
      <c r="A4233" s="39">
        <f>A4232</f>
        <v>46048</v>
      </c>
      <c r="B4233" s="40"/>
      <c r="C4233" s="40"/>
      <c r="D4233" s="41"/>
      <c r="E4233" s="43">
        <f>C4233</f>
        <v>0</v>
      </c>
      <c r="F4233" s="42"/>
    </row>
    <row r="4234" spans="1:6">
      <c r="A4234" s="39">
        <f>A4233</f>
        <v>46048</v>
      </c>
      <c r="B4234" s="40"/>
      <c r="C4234" s="40"/>
      <c r="D4234" s="41"/>
      <c r="E4234" s="43">
        <f>C4234</f>
        <v>0</v>
      </c>
      <c r="F4234" s="42"/>
    </row>
    <row r="4235" spans="1:6">
      <c r="A4235" s="39">
        <f>A4234</f>
        <v>46048</v>
      </c>
      <c r="B4235" s="40"/>
      <c r="C4235" s="40"/>
      <c r="D4235" s="41"/>
      <c r="E4235" s="43">
        <f>C4235</f>
        <v>0</v>
      </c>
      <c r="F4235" s="42"/>
    </row>
    <row r="4236" spans="1:6">
      <c r="A4236" s="39">
        <f>A4235</f>
        <v>46048</v>
      </c>
      <c r="B4236" s="40"/>
      <c r="C4236" s="40"/>
      <c r="D4236" s="41"/>
      <c r="E4236" s="43">
        <f>C4236</f>
        <v>0</v>
      </c>
      <c r="F4236" s="42"/>
    </row>
    <row r="4237" spans="1:6">
      <c r="A4237" s="39">
        <f>A4236</f>
        <v>46048</v>
      </c>
      <c r="B4237" s="40"/>
      <c r="C4237" s="40"/>
      <c r="D4237" s="41"/>
      <c r="E4237" s="43">
        <f>C4237</f>
        <v>0</v>
      </c>
      <c r="F4237" s="42"/>
    </row>
    <row r="4238" spans="1:6">
      <c r="A4238" s="39">
        <f>A4237</f>
        <v>46048</v>
      </c>
      <c r="B4238" s="40"/>
      <c r="C4238" s="40"/>
      <c r="D4238" s="41"/>
      <c r="E4238" s="43">
        <f>C4238</f>
        <v>0</v>
      </c>
      <c r="F4238" s="42"/>
    </row>
    <row r="4239" spans="1:6">
      <c r="A4239" s="39">
        <f>A4238</f>
        <v>46048</v>
      </c>
      <c r="B4239" s="40"/>
      <c r="C4239" s="40"/>
      <c r="D4239" s="41"/>
      <c r="E4239" s="43">
        <f>C4239</f>
        <v>0</v>
      </c>
      <c r="F4239" s="42"/>
    </row>
    <row r="4240" spans="1:6">
      <c r="A4240" s="39">
        <f>A4239</f>
        <v>46048</v>
      </c>
      <c r="B4240" s="40"/>
      <c r="C4240" s="40"/>
      <c r="D4240" s="41"/>
      <c r="E4240" s="43">
        <f>C4240</f>
        <v>0</v>
      </c>
      <c r="F4240" s="42"/>
    </row>
    <row r="4241" spans="1:6">
      <c r="A4241" s="39">
        <f>A4240</f>
        <v>46048</v>
      </c>
      <c r="B4241" s="40"/>
      <c r="C4241" s="40"/>
      <c r="D4241" s="41"/>
      <c r="E4241" s="43">
        <f>C4241</f>
        <v>0</v>
      </c>
      <c r="F4241" s="42"/>
    </row>
    <row r="4242" spans="1:6">
      <c r="A4242" s="39">
        <f>A4241</f>
        <v>46048</v>
      </c>
      <c r="B4242" s="40"/>
      <c r="C4242" s="40"/>
      <c r="D4242" s="41"/>
      <c r="E4242" s="43">
        <f>C4242</f>
        <v>0</v>
      </c>
      <c r="F4242" s="42"/>
    </row>
    <row r="4243" spans="1:6">
      <c r="A4243" s="39">
        <f>A4242</f>
        <v>46048</v>
      </c>
      <c r="B4243" s="40"/>
      <c r="C4243" s="40"/>
      <c r="D4243" s="41"/>
      <c r="E4243" s="43">
        <f>C4243</f>
        <v>0</v>
      </c>
      <c r="F4243" s="42"/>
    </row>
    <row r="4244" spans="1:6">
      <c r="A4244" s="39">
        <f>A4243</f>
        <v>46048</v>
      </c>
      <c r="B4244" s="40"/>
      <c r="C4244" s="40"/>
      <c r="D4244" s="41"/>
      <c r="E4244" s="43">
        <f>C4244</f>
        <v>0</v>
      </c>
      <c r="F4244" s="42"/>
    </row>
    <row r="4245" spans="1:6">
      <c r="A4245" s="39">
        <f>A4244</f>
        <v>46048</v>
      </c>
      <c r="B4245" s="40"/>
      <c r="C4245" s="40"/>
      <c r="D4245" s="41"/>
      <c r="E4245" s="43">
        <f>C4245</f>
        <v>0</v>
      </c>
      <c r="F4245" s="42"/>
    </row>
    <row r="4246" spans="1:6">
      <c r="A4246" s="39">
        <f>A4245</f>
        <v>46048</v>
      </c>
      <c r="B4246" s="40"/>
      <c r="C4246" s="40"/>
      <c r="D4246" s="41"/>
      <c r="E4246" s="43">
        <f>C4246</f>
        <v>0</v>
      </c>
      <c r="F4246" s="42"/>
    </row>
    <row r="4247" spans="1:6">
      <c r="A4247" s="39">
        <f>A4246</f>
        <v>46048</v>
      </c>
      <c r="B4247" s="40"/>
      <c r="C4247" s="40"/>
      <c r="D4247" s="41"/>
      <c r="E4247" s="43">
        <f>C4247</f>
        <v>0</v>
      </c>
      <c r="F4247" s="42"/>
    </row>
    <row r="4248" spans="1:6">
      <c r="A4248" s="39">
        <f>A4247</f>
        <v>46048</v>
      </c>
      <c r="B4248" s="40"/>
      <c r="C4248" s="40"/>
      <c r="D4248" s="41"/>
      <c r="E4248" s="43">
        <f>C4248</f>
        <v>0</v>
      </c>
      <c r="F4248" s="42"/>
    </row>
    <row r="4249" spans="1:6">
      <c r="A4249" s="39">
        <f>A4248</f>
        <v>46048</v>
      </c>
      <c r="B4249" s="40"/>
      <c r="C4249" s="40"/>
      <c r="D4249" s="41"/>
      <c r="E4249" s="43">
        <f>C4249</f>
        <v>0</v>
      </c>
      <c r="F4249" s="42"/>
    </row>
    <row r="4250" spans="1:6">
      <c r="A4250" s="39">
        <f>A4249</f>
        <v>46048</v>
      </c>
      <c r="B4250" s="40"/>
      <c r="C4250" s="40"/>
      <c r="D4250" s="41"/>
      <c r="E4250" s="43">
        <f>C4250</f>
        <v>0</v>
      </c>
      <c r="F4250" s="42"/>
    </row>
    <row r="4251" spans="1:6">
      <c r="A4251" s="39">
        <f>A4250</f>
        <v>46048</v>
      </c>
      <c r="B4251" s="40"/>
      <c r="C4251" s="40"/>
      <c r="D4251" s="41"/>
      <c r="E4251" s="43">
        <f>C4251</f>
        <v>0</v>
      </c>
      <c r="F4251" s="42"/>
    </row>
    <row r="4252" spans="1:6">
      <c r="A4252" s="39">
        <f>A4251</f>
        <v>46048</v>
      </c>
      <c r="B4252" s="40"/>
      <c r="C4252" s="40"/>
      <c r="D4252" s="41"/>
      <c r="E4252" s="43">
        <f>C4252</f>
        <v>0</v>
      </c>
      <c r="F4252" s="42"/>
    </row>
    <row r="4253" spans="1:6">
      <c r="A4253" s="39">
        <f>A4252</f>
        <v>46048</v>
      </c>
      <c r="B4253" s="40"/>
      <c r="C4253" s="40"/>
      <c r="D4253" s="41"/>
      <c r="E4253" s="43">
        <f>C4253</f>
        <v>0</v>
      </c>
      <c r="F4253" s="42"/>
    </row>
    <row r="4254" spans="1:6">
      <c r="A4254" s="39">
        <f>A4253</f>
        <v>46048</v>
      </c>
      <c r="B4254" s="40"/>
      <c r="C4254" s="40"/>
      <c r="D4254" s="41"/>
      <c r="E4254" s="43">
        <f>C4254</f>
        <v>0</v>
      </c>
      <c r="F4254" s="42"/>
    </row>
    <row r="4255" spans="1:6">
      <c r="A4255" s="39">
        <f>A4254</f>
        <v>46048</v>
      </c>
      <c r="B4255" s="40"/>
      <c r="C4255" s="40"/>
      <c r="D4255" s="41"/>
      <c r="E4255" s="43">
        <f>C4255</f>
        <v>0</v>
      </c>
      <c r="F4255" s="42"/>
    </row>
    <row r="4256" spans="1:6">
      <c r="A4256" s="39">
        <f>A4255</f>
        <v>46048</v>
      </c>
      <c r="B4256" s="40"/>
      <c r="C4256" s="40"/>
      <c r="D4256" s="41"/>
      <c r="E4256" s="43">
        <f>C4256</f>
        <v>0</v>
      </c>
      <c r="F4256" s="42"/>
    </row>
    <row r="4257" spans="1:6">
      <c r="A4257" s="39">
        <f>A4256</f>
        <v>46048</v>
      </c>
      <c r="B4257" s="40"/>
      <c r="C4257" s="40"/>
      <c r="D4257" s="41"/>
      <c r="E4257" s="43">
        <f>C4257</f>
        <v>0</v>
      </c>
      <c r="F4257" s="42"/>
    </row>
    <row r="4258" spans="1:6">
      <c r="A4258" s="39">
        <f>A4257</f>
        <v>46048</v>
      </c>
      <c r="B4258" s="40"/>
      <c r="C4258" s="40"/>
      <c r="D4258" s="41"/>
      <c r="E4258" s="43">
        <f>C4258</f>
        <v>0</v>
      </c>
      <c r="F4258" s="42"/>
    </row>
    <row r="4259" spans="1:6">
      <c r="A4259" s="39">
        <f>A4258</f>
        <v>46048</v>
      </c>
      <c r="B4259" s="40"/>
      <c r="C4259" s="40"/>
      <c r="D4259" s="41"/>
      <c r="E4259" s="43">
        <f>C4259</f>
        <v>0</v>
      </c>
      <c r="F4259" s="42"/>
    </row>
    <row r="4260" spans="1:6">
      <c r="A4260" s="39">
        <f>A4259</f>
        <v>46048</v>
      </c>
      <c r="B4260" s="40"/>
      <c r="C4260" s="40"/>
      <c r="D4260" s="41"/>
      <c r="E4260" s="43">
        <f>C4260</f>
        <v>0</v>
      </c>
      <c r="F4260" s="42"/>
    </row>
    <row r="4261" spans="1:6">
      <c r="A4261" s="39">
        <f>A4260</f>
        <v>46048</v>
      </c>
      <c r="B4261" s="40"/>
      <c r="C4261" s="40"/>
      <c r="D4261" s="41"/>
      <c r="E4261" s="43">
        <f>C4261</f>
        <v>0</v>
      </c>
      <c r="F4261" s="42"/>
    </row>
    <row r="4262" spans="1:6">
      <c r="A4262" s="39">
        <f>A4261</f>
        <v>46048</v>
      </c>
      <c r="B4262" s="40"/>
      <c r="C4262" s="40"/>
      <c r="D4262" s="41"/>
      <c r="E4262" s="43">
        <f>C4262</f>
        <v>0</v>
      </c>
      <c r="F4262" s="42"/>
    </row>
    <row r="4263" spans="1:6">
      <c r="A4263" s="39">
        <f>A4262</f>
        <v>46048</v>
      </c>
      <c r="B4263" s="40"/>
      <c r="C4263" s="40"/>
      <c r="D4263" s="41"/>
      <c r="E4263" s="43">
        <f>C4263</f>
        <v>0</v>
      </c>
      <c r="F4263" s="42"/>
    </row>
    <row r="4264" spans="1:6">
      <c r="A4264" s="39">
        <f>A4263</f>
        <v>46048</v>
      </c>
      <c r="B4264" s="40"/>
      <c r="C4264" s="40"/>
      <c r="D4264" s="41"/>
      <c r="E4264" s="43">
        <f>C4264</f>
        <v>0</v>
      </c>
      <c r="F4264" s="42"/>
    </row>
    <row r="4265" spans="1:6">
      <c r="A4265" s="39">
        <f>A4264</f>
        <v>46048</v>
      </c>
      <c r="B4265" s="40"/>
      <c r="C4265" s="40"/>
      <c r="D4265" s="41"/>
      <c r="E4265" s="43">
        <f>C4265</f>
        <v>0</v>
      </c>
      <c r="F4265" s="42"/>
    </row>
    <row r="4266" spans="1:6">
      <c r="A4266" s="39">
        <f>A4265</f>
        <v>46048</v>
      </c>
      <c r="B4266" s="40"/>
      <c r="C4266" s="40"/>
      <c r="D4266" s="41"/>
      <c r="E4266" s="43">
        <f>C4266</f>
        <v>0</v>
      </c>
      <c r="F4266" s="42"/>
    </row>
    <row r="4267" spans="1:6">
      <c r="A4267" s="39">
        <f>A4266</f>
        <v>46048</v>
      </c>
      <c r="B4267" s="40"/>
      <c r="C4267" s="40"/>
      <c r="D4267" s="41"/>
      <c r="E4267" s="43">
        <f>C4267</f>
        <v>0</v>
      </c>
      <c r="F4267" s="42"/>
    </row>
    <row r="4268" spans="1:6">
      <c r="A4268" s="39">
        <f>A4267</f>
        <v>46048</v>
      </c>
      <c r="B4268" s="40"/>
      <c r="C4268" s="40"/>
      <c r="D4268" s="41"/>
      <c r="E4268" s="43">
        <f>C4268</f>
        <v>0</v>
      </c>
      <c r="F4268" s="42"/>
    </row>
    <row r="4269" spans="1:6">
      <c r="A4269" s="39">
        <f>A4268</f>
        <v>46048</v>
      </c>
      <c r="B4269" s="40"/>
      <c r="C4269" s="40"/>
      <c r="D4269" s="41"/>
      <c r="E4269" s="43">
        <f>C4269</f>
        <v>0</v>
      </c>
      <c r="F4269" s="42"/>
    </row>
    <row r="4270" spans="1:6">
      <c r="A4270" s="39">
        <f>A4269</f>
        <v>46048</v>
      </c>
      <c r="B4270" s="40"/>
      <c r="C4270" s="40"/>
      <c r="D4270" s="41"/>
      <c r="E4270" s="43">
        <f>C4270</f>
        <v>0</v>
      </c>
      <c r="F4270" s="42"/>
    </row>
    <row r="4271" spans="1:6">
      <c r="A4271" s="39">
        <f>A4270</f>
        <v>46048</v>
      </c>
      <c r="B4271" s="40"/>
      <c r="C4271" s="40"/>
      <c r="D4271" s="41"/>
      <c r="E4271" s="43">
        <f>C4271</f>
        <v>0</v>
      </c>
      <c r="F4271" s="42"/>
    </row>
    <row r="4272" spans="1:6">
      <c r="A4272" s="39">
        <f>A4271</f>
        <v>46048</v>
      </c>
      <c r="B4272" s="40"/>
      <c r="C4272" s="40"/>
      <c r="D4272" s="41"/>
      <c r="E4272" s="43">
        <f>C4272</f>
        <v>0</v>
      </c>
      <c r="F4272" s="42"/>
    </row>
    <row r="4273" spans="1:6">
      <c r="A4273" s="39">
        <f>A4272</f>
        <v>46048</v>
      </c>
      <c r="B4273" s="40"/>
      <c r="C4273" s="40"/>
      <c r="D4273" s="41"/>
      <c r="E4273" s="43">
        <f>C4273</f>
        <v>0</v>
      </c>
      <c r="F4273" s="42"/>
    </row>
    <row r="4274" spans="1:6">
      <c r="A4274" s="39">
        <f>A4273</f>
        <v>46048</v>
      </c>
      <c r="B4274" s="40"/>
      <c r="C4274" s="40"/>
      <c r="D4274" s="41"/>
      <c r="E4274" s="43">
        <f>C4274</f>
        <v>0</v>
      </c>
      <c r="F4274" s="42"/>
    </row>
    <row r="4275" spans="1:6">
      <c r="A4275" s="39">
        <f>A4274</f>
        <v>46048</v>
      </c>
      <c r="B4275" s="40"/>
      <c r="C4275" s="40"/>
      <c r="D4275" s="41"/>
      <c r="E4275" s="43">
        <f>C4275</f>
        <v>0</v>
      </c>
      <c r="F4275" s="42"/>
    </row>
    <row r="4276" spans="1:6">
      <c r="A4276" s="39">
        <f>A4275</f>
        <v>46048</v>
      </c>
      <c r="B4276" s="40"/>
      <c r="C4276" s="40"/>
      <c r="D4276" s="41"/>
      <c r="E4276" s="43">
        <f>C4276</f>
        <v>0</v>
      </c>
      <c r="F4276" s="42"/>
    </row>
    <row r="4277" spans="1:6">
      <c r="A4277" s="39">
        <f>A4276</f>
        <v>46048</v>
      </c>
      <c r="B4277" s="40"/>
      <c r="C4277" s="40"/>
      <c r="D4277" s="41"/>
      <c r="E4277" s="43">
        <f>C4277</f>
        <v>0</v>
      </c>
      <c r="F4277" s="42"/>
    </row>
    <row r="4278" spans="1:6">
      <c r="A4278" s="39">
        <f>A4277</f>
        <v>46048</v>
      </c>
      <c r="B4278" s="40"/>
      <c r="C4278" s="40"/>
      <c r="D4278" s="41"/>
      <c r="E4278" s="43">
        <f>C4278</f>
        <v>0</v>
      </c>
      <c r="F4278" s="42"/>
    </row>
    <row r="4279" spans="1:6">
      <c r="A4279" s="39">
        <f>A4278</f>
        <v>46048</v>
      </c>
      <c r="B4279" s="40"/>
      <c r="C4279" s="40"/>
      <c r="D4279" s="41"/>
      <c r="E4279" s="43">
        <f>C4279</f>
        <v>0</v>
      </c>
      <c r="F4279" s="42"/>
    </row>
    <row r="4280" spans="1:6">
      <c r="A4280" s="39">
        <f>A4279</f>
        <v>46048</v>
      </c>
      <c r="B4280" s="40"/>
      <c r="C4280" s="40"/>
      <c r="D4280" s="41"/>
      <c r="E4280" s="43">
        <f>C4280</f>
        <v>0</v>
      </c>
      <c r="F4280" s="42"/>
    </row>
    <row r="4281" spans="1:6">
      <c r="A4281" s="39">
        <f>A4280</f>
        <v>46048</v>
      </c>
      <c r="B4281" s="40"/>
      <c r="C4281" s="40"/>
      <c r="D4281" s="41"/>
      <c r="E4281" s="43">
        <f>C4281</f>
        <v>0</v>
      </c>
      <c r="F4281" s="42"/>
    </row>
    <row r="4282" spans="1:6">
      <c r="A4282" s="39">
        <f>A4281</f>
        <v>46048</v>
      </c>
      <c r="B4282" s="40"/>
      <c r="C4282" s="40"/>
      <c r="D4282" s="41"/>
      <c r="E4282" s="43">
        <f>C4282</f>
        <v>0</v>
      </c>
      <c r="F4282" s="42"/>
    </row>
    <row r="4283" spans="1:6">
      <c r="A4283" s="39">
        <f>A4282</f>
        <v>46048</v>
      </c>
      <c r="B4283" s="40"/>
      <c r="C4283" s="40"/>
      <c r="D4283" s="41"/>
      <c r="E4283" s="43">
        <f>C4283</f>
        <v>0</v>
      </c>
      <c r="F4283" s="42"/>
    </row>
    <row r="4284" spans="1:6">
      <c r="A4284" s="39">
        <f>A4283</f>
        <v>46048</v>
      </c>
      <c r="B4284" s="40"/>
      <c r="C4284" s="40"/>
      <c r="D4284" s="41"/>
      <c r="E4284" s="43">
        <f>C4284</f>
        <v>0</v>
      </c>
      <c r="F4284" s="42"/>
    </row>
    <row r="4285" spans="1:6">
      <c r="A4285" s="39">
        <f>A4284</f>
        <v>46048</v>
      </c>
      <c r="B4285" s="40"/>
      <c r="C4285" s="40"/>
      <c r="D4285" s="41"/>
      <c r="E4285" s="43">
        <f>C4285</f>
        <v>0</v>
      </c>
      <c r="F4285" s="42"/>
    </row>
    <row r="4286" spans="1:6">
      <c r="A4286" s="39">
        <f>A4285</f>
        <v>46048</v>
      </c>
      <c r="B4286" s="40"/>
      <c r="C4286" s="40"/>
      <c r="D4286" s="41"/>
      <c r="E4286" s="43">
        <f>C4286</f>
        <v>0</v>
      </c>
      <c r="F4286" s="42"/>
    </row>
    <row r="4287" spans="1:6">
      <c r="A4287" s="39">
        <f>A4286</f>
        <v>46048</v>
      </c>
      <c r="B4287" s="40"/>
      <c r="C4287" s="40"/>
      <c r="D4287" s="41"/>
      <c r="E4287" s="43">
        <f>C4287</f>
        <v>0</v>
      </c>
      <c r="F4287" s="42"/>
    </row>
    <row r="4288" spans="1:6">
      <c r="A4288" s="39">
        <f>A4287</f>
        <v>46048</v>
      </c>
      <c r="B4288" s="40"/>
      <c r="C4288" s="40"/>
      <c r="D4288" s="41"/>
      <c r="E4288" s="43">
        <f>C4288</f>
        <v>0</v>
      </c>
      <c r="F4288" s="42"/>
    </row>
    <row r="4289" spans="1:6">
      <c r="A4289" s="39">
        <f>A4288</f>
        <v>46048</v>
      </c>
      <c r="B4289" s="40"/>
      <c r="C4289" s="40"/>
      <c r="D4289" s="41"/>
      <c r="E4289" s="43">
        <f>C4289</f>
        <v>0</v>
      </c>
      <c r="F4289" s="42"/>
    </row>
    <row r="4290" spans="1:6">
      <c r="A4290" s="39">
        <f>A4289</f>
        <v>46048</v>
      </c>
      <c r="B4290" s="40"/>
      <c r="C4290" s="40"/>
      <c r="D4290" s="41"/>
      <c r="E4290" s="43">
        <f>C4290</f>
        <v>0</v>
      </c>
      <c r="F4290" s="42"/>
    </row>
    <row r="4291" spans="1:6">
      <c r="A4291" s="39">
        <f>A4290</f>
        <v>46048</v>
      </c>
      <c r="B4291" s="40"/>
      <c r="C4291" s="40"/>
      <c r="D4291" s="41"/>
      <c r="E4291" s="43">
        <f>C4291</f>
        <v>0</v>
      </c>
      <c r="F4291" s="42"/>
    </row>
    <row r="4292" spans="1:6">
      <c r="A4292" s="39">
        <f>A4291</f>
        <v>46048</v>
      </c>
      <c r="B4292" s="40"/>
      <c r="C4292" s="40"/>
      <c r="D4292" s="41"/>
      <c r="E4292" s="43">
        <f>C4292</f>
        <v>0</v>
      </c>
      <c r="F4292" s="42"/>
    </row>
    <row r="4293" spans="1:6">
      <c r="A4293" s="39">
        <f>A4292</f>
        <v>46048</v>
      </c>
      <c r="B4293" s="40"/>
      <c r="C4293" s="40"/>
      <c r="D4293" s="41"/>
      <c r="E4293" s="43">
        <f>C4293</f>
        <v>0</v>
      </c>
      <c r="F4293" s="42"/>
    </row>
    <row r="4294" spans="1:6">
      <c r="A4294" s="39">
        <f>A4293</f>
        <v>46048</v>
      </c>
      <c r="B4294" s="40"/>
      <c r="C4294" s="40"/>
      <c r="D4294" s="41"/>
      <c r="E4294" s="43">
        <f>C4294</f>
        <v>0</v>
      </c>
      <c r="F4294" s="42"/>
    </row>
    <row r="4295" spans="1:6">
      <c r="A4295" s="39">
        <f>A4294</f>
        <v>46048</v>
      </c>
      <c r="B4295" s="40"/>
      <c r="C4295" s="40"/>
      <c r="D4295" s="41"/>
      <c r="E4295" s="43">
        <f>C4295</f>
        <v>0</v>
      </c>
      <c r="F4295" s="42"/>
    </row>
    <row r="4296" spans="1:6">
      <c r="A4296" s="39">
        <f>A4295</f>
        <v>46048</v>
      </c>
      <c r="B4296" s="40"/>
      <c r="C4296" s="40"/>
      <c r="D4296" s="41"/>
      <c r="E4296" s="43">
        <f>C4296</f>
        <v>0</v>
      </c>
      <c r="F4296" s="42"/>
    </row>
    <row r="4297" spans="1:6">
      <c r="A4297" s="39">
        <f>A4296</f>
        <v>46048</v>
      </c>
      <c r="B4297" s="40"/>
      <c r="C4297" s="40"/>
      <c r="D4297" s="41"/>
      <c r="E4297" s="43">
        <f>C4297</f>
        <v>0</v>
      </c>
      <c r="F4297" s="42"/>
    </row>
    <row r="4298" spans="1:6">
      <c r="A4298" s="39">
        <f>A4297</f>
        <v>46048</v>
      </c>
      <c r="B4298" s="40"/>
      <c r="C4298" s="40"/>
      <c r="D4298" s="41"/>
      <c r="E4298" s="43">
        <f>C4298</f>
        <v>0</v>
      </c>
      <c r="F4298" s="42"/>
    </row>
    <row r="4299" spans="1:6">
      <c r="A4299" s="39">
        <f>A4298</f>
        <v>46048</v>
      </c>
      <c r="B4299" s="40"/>
      <c r="C4299" s="40"/>
      <c r="D4299" s="41"/>
      <c r="E4299" s="43">
        <f>C4299</f>
        <v>0</v>
      </c>
      <c r="F4299" s="42"/>
    </row>
    <row r="4300" spans="1:6">
      <c r="A4300" s="39">
        <f>A4299</f>
        <v>46048</v>
      </c>
      <c r="B4300" s="40"/>
      <c r="C4300" s="40"/>
      <c r="D4300" s="41"/>
      <c r="E4300" s="43">
        <f>C4300</f>
        <v>0</v>
      </c>
      <c r="F4300" s="42"/>
    </row>
    <row r="4301" spans="1:6">
      <c r="A4301" s="39">
        <f>A4300</f>
        <v>46048</v>
      </c>
      <c r="B4301" s="40"/>
      <c r="C4301" s="40"/>
      <c r="D4301" s="41"/>
      <c r="E4301" s="43">
        <f>C4301</f>
        <v>0</v>
      </c>
      <c r="F4301" s="42"/>
    </row>
    <row r="4302" spans="1:6">
      <c r="A4302" s="39">
        <f>A4301</f>
        <v>46048</v>
      </c>
      <c r="B4302" s="40"/>
      <c r="C4302" s="40"/>
      <c r="D4302" s="41"/>
      <c r="E4302" s="43">
        <f>C4302</f>
        <v>0</v>
      </c>
      <c r="F4302" s="42"/>
    </row>
    <row r="4303" spans="1:6">
      <c r="A4303" s="39">
        <f>A4302</f>
        <v>46048</v>
      </c>
      <c r="B4303" s="40"/>
      <c r="C4303" s="40"/>
      <c r="D4303" s="41"/>
      <c r="E4303" s="43">
        <f>C4303</f>
        <v>0</v>
      </c>
      <c r="F4303" s="42"/>
    </row>
    <row r="4304" spans="1:6">
      <c r="A4304" s="39">
        <f>A4303</f>
        <v>46048</v>
      </c>
      <c r="B4304" s="40"/>
      <c r="C4304" s="40"/>
      <c r="D4304" s="41"/>
      <c r="E4304" s="43">
        <f>C4304</f>
        <v>0</v>
      </c>
      <c r="F4304" s="42"/>
    </row>
    <row r="4305" spans="1:6">
      <c r="A4305" s="39">
        <f>A4304</f>
        <v>46048</v>
      </c>
      <c r="B4305" s="40"/>
      <c r="C4305" s="40"/>
      <c r="D4305" s="41"/>
      <c r="E4305" s="43">
        <f>C4305</f>
        <v>0</v>
      </c>
      <c r="F4305" s="42"/>
    </row>
    <row r="4306" spans="1:6">
      <c r="A4306" s="39">
        <f>A4305</f>
        <v>46048</v>
      </c>
      <c r="B4306" s="40"/>
      <c r="C4306" s="40"/>
      <c r="D4306" s="41"/>
      <c r="E4306" s="43">
        <f>C4306</f>
        <v>0</v>
      </c>
      <c r="F4306" s="42"/>
    </row>
    <row r="4307" spans="1:6">
      <c r="A4307" s="39">
        <f>A4306</f>
        <v>46048</v>
      </c>
      <c r="B4307" s="40"/>
      <c r="C4307" s="40"/>
      <c r="D4307" s="41"/>
      <c r="E4307" s="43">
        <f>C4307</f>
        <v>0</v>
      </c>
      <c r="F4307" s="42"/>
    </row>
    <row r="4308" spans="1:6">
      <c r="A4308" s="39">
        <f>A4307</f>
        <v>46048</v>
      </c>
      <c r="B4308" s="40"/>
      <c r="C4308" s="40"/>
      <c r="D4308" s="41"/>
      <c r="E4308" s="43">
        <f>C4308</f>
        <v>0</v>
      </c>
      <c r="F4308" s="42"/>
    </row>
    <row r="4309" spans="1:6">
      <c r="A4309" s="39">
        <f>A4308</f>
        <v>46048</v>
      </c>
      <c r="B4309" s="40"/>
      <c r="C4309" s="40"/>
      <c r="D4309" s="41"/>
      <c r="E4309" s="43">
        <f>C4309</f>
        <v>0</v>
      </c>
      <c r="F4309" s="42"/>
    </row>
    <row r="4310" spans="1:6">
      <c r="A4310" s="39">
        <f>A4309</f>
        <v>46048</v>
      </c>
      <c r="B4310" s="40"/>
      <c r="C4310" s="40"/>
      <c r="D4310" s="41"/>
      <c r="E4310" s="43">
        <f>C4310</f>
        <v>0</v>
      </c>
      <c r="F4310" s="42"/>
    </row>
    <row r="4311" spans="1:6">
      <c r="A4311" s="39">
        <f>A4310</f>
        <v>46048</v>
      </c>
      <c r="B4311" s="40"/>
      <c r="C4311" s="40"/>
      <c r="D4311" s="41"/>
      <c r="E4311" s="43">
        <f>C4311</f>
        <v>0</v>
      </c>
      <c r="F4311" s="42"/>
    </row>
    <row r="4312" spans="1:6">
      <c r="A4312" s="39">
        <f>A4311</f>
        <v>46048</v>
      </c>
      <c r="B4312" s="40"/>
      <c r="C4312" s="40"/>
      <c r="D4312" s="41"/>
      <c r="E4312" s="43">
        <f>C4312</f>
        <v>0</v>
      </c>
      <c r="F4312" s="42"/>
    </row>
    <row r="4313" spans="1:6">
      <c r="A4313" s="39">
        <f>A4312</f>
        <v>46048</v>
      </c>
      <c r="B4313" s="40"/>
      <c r="C4313" s="40"/>
      <c r="D4313" s="41"/>
      <c r="E4313" s="43">
        <f>C4313</f>
        <v>0</v>
      </c>
      <c r="F4313" s="42"/>
    </row>
    <row r="4314" spans="1:6">
      <c r="A4314" s="39">
        <f>A4313</f>
        <v>46048</v>
      </c>
      <c r="B4314" s="40"/>
      <c r="C4314" s="40"/>
      <c r="D4314" s="41"/>
      <c r="E4314" s="43">
        <f>C4314</f>
        <v>0</v>
      </c>
      <c r="F4314" s="42"/>
    </row>
    <row r="4315" spans="1:6">
      <c r="A4315" s="39">
        <f>A4314</f>
        <v>46048</v>
      </c>
      <c r="B4315" s="40"/>
      <c r="C4315" s="40"/>
      <c r="D4315" s="41"/>
      <c r="E4315" s="43">
        <f>C4315</f>
        <v>0</v>
      </c>
      <c r="F4315" s="42"/>
    </row>
    <row r="4316" spans="1:6">
      <c r="A4316" s="39">
        <f>A4315</f>
        <v>46048</v>
      </c>
      <c r="B4316" s="40"/>
      <c r="C4316" s="40"/>
      <c r="D4316" s="41"/>
      <c r="E4316" s="43">
        <f>C4316</f>
        <v>0</v>
      </c>
      <c r="F4316" s="42"/>
    </row>
    <row r="4317" spans="1:6">
      <c r="A4317" s="39">
        <f>A4316</f>
        <v>46048</v>
      </c>
      <c r="B4317" s="40"/>
      <c r="C4317" s="40"/>
      <c r="D4317" s="41"/>
      <c r="E4317" s="43">
        <f>C4317</f>
        <v>0</v>
      </c>
      <c r="F4317" s="42"/>
    </row>
    <row r="4318" spans="1:6">
      <c r="A4318" s="39">
        <f>A4317</f>
        <v>46048</v>
      </c>
      <c r="B4318" s="40"/>
      <c r="C4318" s="40"/>
      <c r="D4318" s="41"/>
      <c r="E4318" s="43">
        <f>C4318</f>
        <v>0</v>
      </c>
      <c r="F4318" s="42"/>
    </row>
    <row r="4319" spans="1:6">
      <c r="A4319" s="39">
        <f>A4318</f>
        <v>46048</v>
      </c>
      <c r="B4319" s="40"/>
      <c r="C4319" s="40"/>
      <c r="D4319" s="41"/>
      <c r="E4319" s="43">
        <f>C4319</f>
        <v>0</v>
      </c>
      <c r="F4319" s="42"/>
    </row>
    <row r="4320" spans="1:6">
      <c r="A4320" s="39">
        <f>A4319</f>
        <v>46048</v>
      </c>
      <c r="B4320" s="40"/>
      <c r="C4320" s="40"/>
      <c r="D4320" s="41"/>
      <c r="E4320" s="43">
        <f>C4320</f>
        <v>0</v>
      </c>
      <c r="F4320" s="42"/>
    </row>
    <row r="4321" spans="1:6">
      <c r="A4321" s="39">
        <f>A4320</f>
        <v>46048</v>
      </c>
      <c r="B4321" s="40"/>
      <c r="C4321" s="40"/>
      <c r="D4321" s="41"/>
      <c r="E4321" s="43">
        <f>C4321</f>
        <v>0</v>
      </c>
      <c r="F4321" s="42"/>
    </row>
    <row r="4322" spans="1:6">
      <c r="A4322" s="39">
        <f>A4321</f>
        <v>46048</v>
      </c>
      <c r="B4322" s="40"/>
      <c r="C4322" s="40"/>
      <c r="D4322" s="41"/>
      <c r="E4322" s="43">
        <f>C4322</f>
        <v>0</v>
      </c>
      <c r="F4322" s="42"/>
    </row>
    <row r="4323" spans="1:6">
      <c r="A4323" s="39">
        <f>A4322</f>
        <v>46048</v>
      </c>
      <c r="B4323" s="40"/>
      <c r="C4323" s="40"/>
      <c r="D4323" s="41"/>
      <c r="E4323" s="43">
        <f>C4323</f>
        <v>0</v>
      </c>
      <c r="F4323" s="42"/>
    </row>
    <row r="4324" spans="1:6">
      <c r="A4324" s="39">
        <f>A4323</f>
        <v>46048</v>
      </c>
      <c r="B4324" s="40"/>
      <c r="C4324" s="40"/>
      <c r="D4324" s="41"/>
      <c r="E4324" s="43">
        <f>C4324</f>
        <v>0</v>
      </c>
      <c r="F4324" s="42"/>
    </row>
    <row r="4325" spans="1:6">
      <c r="A4325" s="39">
        <f>A4324</f>
        <v>46048</v>
      </c>
      <c r="B4325" s="40"/>
      <c r="C4325" s="40"/>
      <c r="D4325" s="41"/>
      <c r="E4325" s="43">
        <f>C4325</f>
        <v>0</v>
      </c>
      <c r="F4325" s="42"/>
    </row>
    <row r="4326" spans="1:6">
      <c r="A4326" s="39">
        <f>A4325</f>
        <v>46048</v>
      </c>
      <c r="B4326" s="40"/>
      <c r="C4326" s="40"/>
      <c r="D4326" s="41"/>
      <c r="E4326" s="43">
        <f>C4326</f>
        <v>0</v>
      </c>
      <c r="F4326" s="42"/>
    </row>
    <row r="4327" spans="1:6">
      <c r="A4327" s="39">
        <f>A4326</f>
        <v>46048</v>
      </c>
      <c r="B4327" s="40"/>
      <c r="C4327" s="40"/>
      <c r="D4327" s="41"/>
      <c r="E4327" s="43">
        <f>C4327</f>
        <v>0</v>
      </c>
      <c r="F4327" s="42"/>
    </row>
    <row r="4328" spans="1:6">
      <c r="A4328" s="39">
        <f>A4327</f>
        <v>46048</v>
      </c>
      <c r="B4328" s="40"/>
      <c r="C4328" s="40"/>
      <c r="D4328" s="41"/>
      <c r="E4328" s="43">
        <f>C4328</f>
        <v>0</v>
      </c>
      <c r="F4328" s="42"/>
    </row>
    <row r="4329" spans="1:6">
      <c r="A4329" s="39">
        <f>A4328</f>
        <v>46048</v>
      </c>
      <c r="B4329" s="40"/>
      <c r="C4329" s="40"/>
      <c r="D4329" s="41"/>
      <c r="E4329" s="43">
        <f>C4329</f>
        <v>0</v>
      </c>
      <c r="F4329" s="42"/>
    </row>
    <row r="4330" spans="1:6">
      <c r="A4330" s="39">
        <f>A4329</f>
        <v>46048</v>
      </c>
      <c r="B4330" s="40"/>
      <c r="C4330" s="40"/>
      <c r="D4330" s="41"/>
      <c r="E4330" s="43">
        <f>C4330</f>
        <v>0</v>
      </c>
      <c r="F4330" s="42"/>
    </row>
    <row r="4331" spans="1:6">
      <c r="A4331" s="39">
        <f>A4330</f>
        <v>46048</v>
      </c>
      <c r="B4331" s="40"/>
      <c r="C4331" s="40"/>
      <c r="D4331" s="41"/>
      <c r="E4331" s="43">
        <f>C4331</f>
        <v>0</v>
      </c>
      <c r="F4331" s="42"/>
    </row>
    <row r="4332" spans="1:6">
      <c r="A4332" s="39">
        <f>A4331</f>
        <v>46048</v>
      </c>
      <c r="B4332" s="40"/>
      <c r="C4332" s="40"/>
      <c r="D4332" s="41"/>
      <c r="E4332" s="43">
        <f>C4332</f>
        <v>0</v>
      </c>
      <c r="F4332" s="42"/>
    </row>
    <row r="4333" spans="1:6">
      <c r="A4333" s="39">
        <f>A4332</f>
        <v>46048</v>
      </c>
      <c r="B4333" s="40"/>
      <c r="C4333" s="40"/>
      <c r="D4333" s="41"/>
      <c r="E4333" s="43">
        <f>C4333</f>
        <v>0</v>
      </c>
      <c r="F4333" s="42"/>
    </row>
    <row r="4334" spans="1:6">
      <c r="A4334" s="39">
        <f>A4333</f>
        <v>46048</v>
      </c>
      <c r="B4334" s="40"/>
      <c r="C4334" s="40"/>
      <c r="D4334" s="41"/>
      <c r="E4334" s="43">
        <f>C4334</f>
        <v>0</v>
      </c>
      <c r="F4334" s="42"/>
    </row>
    <row r="4335" spans="1:6">
      <c r="A4335" s="39">
        <f>A4334</f>
        <v>46048</v>
      </c>
      <c r="B4335" s="40"/>
      <c r="C4335" s="40"/>
      <c r="D4335" s="41"/>
      <c r="E4335" s="43">
        <f>C4335</f>
        <v>0</v>
      </c>
      <c r="F4335" s="42"/>
    </row>
    <row r="4336" spans="1:6">
      <c r="A4336" s="39">
        <f>A4335</f>
        <v>46048</v>
      </c>
      <c r="B4336" s="40"/>
      <c r="C4336" s="40"/>
      <c r="D4336" s="41"/>
      <c r="E4336" s="43">
        <f>C4336</f>
        <v>0</v>
      </c>
      <c r="F4336" s="42"/>
    </row>
    <row r="4337" spans="1:6">
      <c r="A4337" s="39">
        <f>A4336</f>
        <v>46048</v>
      </c>
      <c r="B4337" s="40"/>
      <c r="C4337" s="40"/>
      <c r="D4337" s="41"/>
      <c r="E4337" s="43">
        <f>C4337</f>
        <v>0</v>
      </c>
      <c r="F4337" s="42"/>
    </row>
    <row r="4338" spans="1:6">
      <c r="A4338" s="39">
        <f>A4337</f>
        <v>46048</v>
      </c>
      <c r="B4338" s="40"/>
      <c r="C4338" s="40"/>
      <c r="D4338" s="41"/>
      <c r="E4338" s="43">
        <f>C4338</f>
        <v>0</v>
      </c>
      <c r="F4338" s="42"/>
    </row>
    <row r="4339" spans="1:6">
      <c r="A4339" s="39">
        <f>A4338</f>
        <v>46048</v>
      </c>
      <c r="B4339" s="40"/>
      <c r="C4339" s="40"/>
      <c r="D4339" s="41"/>
      <c r="E4339" s="43">
        <f>C4339</f>
        <v>0</v>
      </c>
      <c r="F4339" s="42"/>
    </row>
    <row r="4340" spans="1:6">
      <c r="A4340" s="39">
        <f>A4339</f>
        <v>46048</v>
      </c>
      <c r="B4340" s="40"/>
      <c r="C4340" s="40"/>
      <c r="D4340" s="41"/>
      <c r="E4340" s="43">
        <f>C4340</f>
        <v>0</v>
      </c>
      <c r="F4340" s="42"/>
    </row>
    <row r="4341" spans="1:6">
      <c r="A4341" s="39">
        <f>A4340</f>
        <v>46048</v>
      </c>
      <c r="B4341" s="40"/>
      <c r="C4341" s="40"/>
      <c r="D4341" s="41"/>
      <c r="E4341" s="43">
        <f>C4341</f>
        <v>0</v>
      </c>
      <c r="F4341" s="42"/>
    </row>
    <row r="4342" spans="1:6">
      <c r="A4342" s="39">
        <f>A4341</f>
        <v>46048</v>
      </c>
      <c r="B4342" s="40"/>
      <c r="C4342" s="40"/>
      <c r="D4342" s="41"/>
      <c r="E4342" s="43">
        <f>C4342</f>
        <v>0</v>
      </c>
      <c r="F4342" s="42"/>
    </row>
    <row r="4343" spans="1:6">
      <c r="A4343" s="39">
        <f>A4342</f>
        <v>46048</v>
      </c>
      <c r="B4343" s="40"/>
      <c r="C4343" s="40"/>
      <c r="D4343" s="41"/>
      <c r="E4343" s="43">
        <f>C4343</f>
        <v>0</v>
      </c>
      <c r="F4343" s="42"/>
    </row>
    <row r="4344" spans="1:6">
      <c r="A4344" s="39">
        <f>A4343</f>
        <v>46048</v>
      </c>
      <c r="B4344" s="40"/>
      <c r="C4344" s="40"/>
      <c r="D4344" s="41"/>
      <c r="E4344" s="43">
        <f>C4344</f>
        <v>0</v>
      </c>
      <c r="F4344" s="42"/>
    </row>
    <row r="4345" spans="1:6">
      <c r="A4345" s="39">
        <f>A4344</f>
        <v>46048</v>
      </c>
      <c r="B4345" s="40"/>
      <c r="C4345" s="40"/>
      <c r="D4345" s="41"/>
      <c r="E4345" s="43">
        <f>C4345</f>
        <v>0</v>
      </c>
      <c r="F4345" s="42"/>
    </row>
    <row r="4346" spans="1:6">
      <c r="A4346" s="39">
        <f>A4345</f>
        <v>46048</v>
      </c>
      <c r="B4346" s="40"/>
      <c r="C4346" s="40"/>
      <c r="D4346" s="41"/>
      <c r="E4346" s="43">
        <f>C4346</f>
        <v>0</v>
      </c>
      <c r="F4346" s="42"/>
    </row>
    <row r="4347" spans="1:6">
      <c r="A4347" s="39">
        <f>A4346</f>
        <v>46048</v>
      </c>
      <c r="B4347" s="40"/>
      <c r="C4347" s="40"/>
      <c r="D4347" s="41"/>
      <c r="E4347" s="43">
        <f>C4347</f>
        <v>0</v>
      </c>
      <c r="F4347" s="42"/>
    </row>
    <row r="4348" spans="1:6">
      <c r="A4348" s="39">
        <f>A4347</f>
        <v>46048</v>
      </c>
      <c r="B4348" s="40"/>
      <c r="C4348" s="40"/>
      <c r="D4348" s="41"/>
      <c r="E4348" s="43">
        <f>C4348</f>
        <v>0</v>
      </c>
      <c r="F4348" s="42"/>
    </row>
    <row r="4349" spans="1:6">
      <c r="A4349" s="39">
        <f>A4348</f>
        <v>46048</v>
      </c>
      <c r="B4349" s="40"/>
      <c r="C4349" s="40"/>
      <c r="D4349" s="41"/>
      <c r="E4349" s="43">
        <f>C4349</f>
        <v>0</v>
      </c>
      <c r="F4349" s="42"/>
    </row>
    <row r="4350" spans="1:6">
      <c r="A4350" s="39">
        <f>A4349</f>
        <v>46048</v>
      </c>
      <c r="B4350" s="40"/>
      <c r="C4350" s="40"/>
      <c r="D4350" s="41"/>
      <c r="E4350" s="43">
        <f>C4350</f>
        <v>0</v>
      </c>
      <c r="F4350" s="42"/>
    </row>
    <row r="4351" spans="1:6">
      <c r="A4351" s="39">
        <f>A4350</f>
        <v>46048</v>
      </c>
      <c r="B4351" s="40"/>
      <c r="C4351" s="40"/>
      <c r="D4351" s="41"/>
      <c r="E4351" s="43">
        <f>C4351</f>
        <v>0</v>
      </c>
      <c r="F4351" s="42"/>
    </row>
    <row r="4352" spans="1:6">
      <c r="A4352" s="39">
        <f>A4351</f>
        <v>46048</v>
      </c>
      <c r="B4352" s="40"/>
      <c r="C4352" s="40"/>
      <c r="D4352" s="41"/>
      <c r="E4352" s="43">
        <f>C4352</f>
        <v>0</v>
      </c>
      <c r="F4352" s="42"/>
    </row>
    <row r="4353" spans="1:6">
      <c r="A4353" s="39">
        <f>A4352</f>
        <v>46048</v>
      </c>
      <c r="B4353" s="40"/>
      <c r="C4353" s="40"/>
      <c r="D4353" s="41"/>
      <c r="E4353" s="43">
        <f>C4353</f>
        <v>0</v>
      </c>
      <c r="F4353" s="42"/>
    </row>
    <row r="4354" spans="1:6">
      <c r="A4354" s="39">
        <f>A4353</f>
        <v>46048</v>
      </c>
      <c r="B4354" s="40"/>
      <c r="C4354" s="40"/>
      <c r="D4354" s="41"/>
      <c r="E4354" s="43">
        <f>C4354</f>
        <v>0</v>
      </c>
      <c r="F4354" s="42"/>
    </row>
    <row r="4355" spans="1:6">
      <c r="A4355" s="39">
        <f>A4354</f>
        <v>46048</v>
      </c>
      <c r="B4355" s="40"/>
      <c r="C4355" s="40"/>
      <c r="D4355" s="41"/>
      <c r="E4355" s="43">
        <f>C4355</f>
        <v>0</v>
      </c>
      <c r="F4355" s="42"/>
    </row>
    <row r="4356" spans="1:6">
      <c r="A4356" s="39">
        <f>A4355</f>
        <v>46048</v>
      </c>
      <c r="B4356" s="40"/>
      <c r="C4356" s="40"/>
      <c r="D4356" s="41"/>
      <c r="E4356" s="43">
        <f>C4356</f>
        <v>0</v>
      </c>
      <c r="F4356" s="42"/>
    </row>
    <row r="4357" spans="1:6">
      <c r="A4357" s="39">
        <f>A4356</f>
        <v>46048</v>
      </c>
      <c r="B4357" s="40"/>
      <c r="C4357" s="40"/>
      <c r="D4357" s="41"/>
      <c r="E4357" s="43">
        <f>C4357</f>
        <v>0</v>
      </c>
      <c r="F4357" s="42"/>
    </row>
    <row r="4358" spans="1:6">
      <c r="A4358" s="39">
        <f>A4357</f>
        <v>46048</v>
      </c>
      <c r="B4358" s="40"/>
      <c r="C4358" s="40"/>
      <c r="D4358" s="41"/>
      <c r="E4358" s="43">
        <f>C4358</f>
        <v>0</v>
      </c>
      <c r="F4358" s="42"/>
    </row>
    <row r="4359" spans="1:6">
      <c r="A4359" s="39">
        <f>A4358</f>
        <v>46048</v>
      </c>
      <c r="B4359" s="40"/>
      <c r="C4359" s="40"/>
      <c r="D4359" s="41"/>
      <c r="E4359" s="43">
        <f>C4359</f>
        <v>0</v>
      </c>
      <c r="F4359" s="42"/>
    </row>
    <row r="4360" spans="1:6">
      <c r="A4360" s="39">
        <f>A4359</f>
        <v>46048</v>
      </c>
      <c r="B4360" s="40"/>
      <c r="C4360" s="40"/>
      <c r="D4360" s="41"/>
      <c r="E4360" s="43">
        <f>C4360</f>
        <v>0</v>
      </c>
      <c r="F4360" s="42"/>
    </row>
    <row r="4361" spans="1:6">
      <c r="A4361" s="39">
        <f>A4360</f>
        <v>46048</v>
      </c>
      <c r="B4361" s="40"/>
      <c r="C4361" s="40"/>
      <c r="D4361" s="41"/>
      <c r="E4361" s="43">
        <f>C4361</f>
        <v>0</v>
      </c>
      <c r="F4361" s="42"/>
    </row>
    <row r="4362" spans="1:6">
      <c r="A4362" s="39">
        <f>A4361</f>
        <v>46048</v>
      </c>
      <c r="B4362" s="40"/>
      <c r="C4362" s="40"/>
      <c r="D4362" s="41"/>
      <c r="E4362" s="43">
        <f>C4362</f>
        <v>0</v>
      </c>
      <c r="F4362" s="42"/>
    </row>
    <row r="4363" spans="1:6">
      <c r="A4363" s="39">
        <f>A4362</f>
        <v>46048</v>
      </c>
      <c r="B4363" s="40"/>
      <c r="C4363" s="40"/>
      <c r="D4363" s="41"/>
      <c r="E4363" s="43">
        <f>C4363</f>
        <v>0</v>
      </c>
      <c r="F4363" s="42"/>
    </row>
    <row r="4364" spans="1:6">
      <c r="A4364" s="39">
        <f>A4363</f>
        <v>46048</v>
      </c>
      <c r="B4364" s="40"/>
      <c r="C4364" s="40"/>
      <c r="D4364" s="41"/>
      <c r="E4364" s="43">
        <f>C4364</f>
        <v>0</v>
      </c>
      <c r="F4364" s="42"/>
    </row>
    <row r="4365" spans="1:6">
      <c r="A4365" s="39">
        <f>A4364</f>
        <v>46048</v>
      </c>
      <c r="B4365" s="40"/>
      <c r="C4365" s="40"/>
      <c r="D4365" s="41"/>
      <c r="E4365" s="43">
        <f>C4365</f>
        <v>0</v>
      </c>
      <c r="F4365" s="42"/>
    </row>
    <row r="4366" spans="1:6">
      <c r="A4366" s="39">
        <f>A4365</f>
        <v>46048</v>
      </c>
      <c r="B4366" s="40"/>
      <c r="C4366" s="40"/>
      <c r="D4366" s="41"/>
      <c r="E4366" s="43">
        <f>C4366</f>
        <v>0</v>
      </c>
      <c r="F4366" s="42"/>
    </row>
    <row r="4367" spans="1:6">
      <c r="A4367" s="39">
        <f>A4366</f>
        <v>46048</v>
      </c>
      <c r="B4367" s="40"/>
      <c r="C4367" s="40"/>
      <c r="D4367" s="41"/>
      <c r="E4367" s="43">
        <f>C4367</f>
        <v>0</v>
      </c>
      <c r="F4367" s="42"/>
    </row>
    <row r="4368" spans="1:6">
      <c r="A4368" s="39">
        <f>A4367</f>
        <v>46048</v>
      </c>
      <c r="B4368" s="40"/>
      <c r="C4368" s="40"/>
      <c r="D4368" s="41"/>
      <c r="E4368" s="43">
        <f>C4368</f>
        <v>0</v>
      </c>
      <c r="F4368" s="42"/>
    </row>
    <row r="4369" spans="1:6">
      <c r="A4369" s="39">
        <f>A4368</f>
        <v>46048</v>
      </c>
      <c r="B4369" s="40"/>
      <c r="C4369" s="40"/>
      <c r="D4369" s="41"/>
      <c r="E4369" s="43">
        <f>C4369</f>
        <v>0</v>
      </c>
      <c r="F4369" s="42"/>
    </row>
    <row r="4370" spans="1:6">
      <c r="A4370" s="39">
        <f>A4369</f>
        <v>46048</v>
      </c>
      <c r="B4370" s="40"/>
      <c r="C4370" s="40"/>
      <c r="D4370" s="41"/>
      <c r="E4370" s="43">
        <f>C4370</f>
        <v>0</v>
      </c>
      <c r="F4370" s="42"/>
    </row>
    <row r="4371" spans="1:6">
      <c r="A4371" s="39">
        <f>A4370</f>
        <v>46048</v>
      </c>
      <c r="B4371" s="40"/>
      <c r="C4371" s="40"/>
      <c r="D4371" s="41"/>
      <c r="E4371" s="43">
        <f>C4371</f>
        <v>0</v>
      </c>
      <c r="F4371" s="42"/>
    </row>
    <row r="4372" spans="1:6">
      <c r="A4372" s="39">
        <f>A4371</f>
        <v>46048</v>
      </c>
      <c r="B4372" s="40"/>
      <c r="C4372" s="40"/>
      <c r="D4372" s="41"/>
      <c r="E4372" s="43">
        <f>C4372</f>
        <v>0</v>
      </c>
      <c r="F4372" s="42"/>
    </row>
    <row r="4373" spans="1:6">
      <c r="A4373" s="39">
        <f>A4372</f>
        <v>46048</v>
      </c>
      <c r="B4373" s="40"/>
      <c r="C4373" s="40"/>
      <c r="D4373" s="41"/>
      <c r="E4373" s="43">
        <f>C4373</f>
        <v>0</v>
      </c>
      <c r="F4373" s="42"/>
    </row>
    <row r="4374" spans="1:6">
      <c r="A4374" s="39">
        <f>A4373</f>
        <v>46048</v>
      </c>
      <c r="B4374" s="40"/>
      <c r="C4374" s="40"/>
      <c r="D4374" s="41"/>
      <c r="E4374" s="43">
        <f>C4374</f>
        <v>0</v>
      </c>
      <c r="F4374" s="42"/>
    </row>
    <row r="4375" spans="1:6">
      <c r="A4375" s="39">
        <f>A4374</f>
        <v>46048</v>
      </c>
      <c r="B4375" s="40"/>
      <c r="C4375" s="40"/>
      <c r="D4375" s="41"/>
      <c r="E4375" s="43">
        <f>C4375</f>
        <v>0</v>
      </c>
      <c r="F4375" s="42"/>
    </row>
    <row r="4376" spans="1:6">
      <c r="A4376" s="39">
        <f>A4375</f>
        <v>46048</v>
      </c>
      <c r="B4376" s="40"/>
      <c r="C4376" s="40"/>
      <c r="D4376" s="41"/>
      <c r="E4376" s="43">
        <f>C4376</f>
        <v>0</v>
      </c>
      <c r="F4376" s="42"/>
    </row>
    <row r="4377" spans="1:6">
      <c r="A4377" s="39">
        <f>A4376</f>
        <v>46048</v>
      </c>
      <c r="B4377" s="40"/>
      <c r="C4377" s="40"/>
      <c r="D4377" s="41"/>
      <c r="E4377" s="43">
        <f>C4377</f>
        <v>0</v>
      </c>
      <c r="F4377" s="42"/>
    </row>
    <row r="4378" spans="1:6">
      <c r="A4378" s="39">
        <f>A4377</f>
        <v>46048</v>
      </c>
      <c r="B4378" s="40"/>
      <c r="C4378" s="40"/>
      <c r="D4378" s="41"/>
      <c r="E4378" s="43">
        <f>C4378</f>
        <v>0</v>
      </c>
      <c r="F4378" s="42"/>
    </row>
    <row r="4379" spans="1:6">
      <c r="A4379" s="39">
        <f>A4378</f>
        <v>46048</v>
      </c>
      <c r="B4379" s="40"/>
      <c r="C4379" s="40"/>
      <c r="D4379" s="41"/>
      <c r="E4379" s="43">
        <f>C4379</f>
        <v>0</v>
      </c>
      <c r="F4379" s="42"/>
    </row>
    <row r="4380" spans="1:6">
      <c r="A4380" s="39">
        <f>A4379</f>
        <v>46048</v>
      </c>
      <c r="B4380" s="40"/>
      <c r="C4380" s="40"/>
      <c r="D4380" s="41"/>
      <c r="E4380" s="43">
        <f>C4380</f>
        <v>0</v>
      </c>
      <c r="F4380" s="42"/>
    </row>
    <row r="4381" spans="1:6">
      <c r="A4381" s="39">
        <f>A4380</f>
        <v>46048</v>
      </c>
      <c r="B4381" s="40"/>
      <c r="C4381" s="40"/>
      <c r="D4381" s="41"/>
      <c r="E4381" s="43">
        <f>C4381</f>
        <v>0</v>
      </c>
      <c r="F4381" s="42"/>
    </row>
    <row r="4382" spans="1:6">
      <c r="A4382" s="39">
        <f>A4381</f>
        <v>46048</v>
      </c>
      <c r="B4382" s="40"/>
      <c r="C4382" s="40"/>
      <c r="D4382" s="41"/>
      <c r="E4382" s="43">
        <f>C4382</f>
        <v>0</v>
      </c>
      <c r="F4382" s="42"/>
    </row>
    <row r="4383" spans="1:6">
      <c r="A4383" s="39">
        <f>A4382</f>
        <v>46048</v>
      </c>
      <c r="B4383" s="40"/>
      <c r="C4383" s="40"/>
      <c r="D4383" s="41"/>
      <c r="E4383" s="43">
        <f>C4383</f>
        <v>0</v>
      </c>
      <c r="F4383" s="42"/>
    </row>
    <row r="4384" spans="1:6">
      <c r="A4384" s="39">
        <f>A4383</f>
        <v>46048</v>
      </c>
      <c r="B4384" s="40"/>
      <c r="C4384" s="40"/>
      <c r="D4384" s="41"/>
      <c r="E4384" s="43">
        <f>C4384</f>
        <v>0</v>
      </c>
      <c r="F4384" s="42"/>
    </row>
    <row r="4385" spans="1:6">
      <c r="A4385" s="39">
        <f>A4384</f>
        <v>46048</v>
      </c>
      <c r="B4385" s="40"/>
      <c r="C4385" s="40"/>
      <c r="D4385" s="41"/>
      <c r="E4385" s="43">
        <f>C4385</f>
        <v>0</v>
      </c>
      <c r="F4385" s="42"/>
    </row>
    <row r="4386" spans="1:6">
      <c r="A4386" s="39">
        <f>A4385</f>
        <v>46048</v>
      </c>
      <c r="B4386" s="40"/>
      <c r="C4386" s="40"/>
      <c r="D4386" s="41"/>
      <c r="E4386" s="43">
        <f>C4386</f>
        <v>0</v>
      </c>
      <c r="F4386" s="42"/>
    </row>
    <row r="4387" spans="1:6">
      <c r="A4387" s="39">
        <f>A4386</f>
        <v>46048</v>
      </c>
      <c r="B4387" s="40"/>
      <c r="C4387" s="40"/>
      <c r="D4387" s="41"/>
      <c r="E4387" s="43">
        <f>C4387</f>
        <v>0</v>
      </c>
      <c r="F4387" s="42"/>
    </row>
    <row r="4388" spans="1:6">
      <c r="A4388" s="39">
        <f>A4387</f>
        <v>46048</v>
      </c>
      <c r="B4388" s="40"/>
      <c r="C4388" s="40"/>
      <c r="D4388" s="41"/>
      <c r="E4388" s="43">
        <f>C4388</f>
        <v>0</v>
      </c>
      <c r="F4388" s="42"/>
    </row>
    <row r="4389" spans="1:6">
      <c r="A4389" s="39">
        <f>A4388</f>
        <v>46048</v>
      </c>
      <c r="B4389" s="40"/>
      <c r="C4389" s="40"/>
      <c r="D4389" s="41"/>
      <c r="E4389" s="43">
        <f>C4389</f>
        <v>0</v>
      </c>
      <c r="F4389" s="42"/>
    </row>
    <row r="4390" spans="1:6">
      <c r="A4390" s="39">
        <f>A4389</f>
        <v>46048</v>
      </c>
      <c r="B4390" s="40"/>
      <c r="C4390" s="40"/>
      <c r="D4390" s="41"/>
      <c r="E4390" s="43">
        <f>C4390</f>
        <v>0</v>
      </c>
      <c r="F4390" s="42"/>
    </row>
    <row r="4391" spans="1:6">
      <c r="A4391" s="39">
        <f>A4390</f>
        <v>46048</v>
      </c>
      <c r="B4391" s="40"/>
      <c r="C4391" s="40"/>
      <c r="D4391" s="41"/>
      <c r="E4391" s="43">
        <f>C4391</f>
        <v>0</v>
      </c>
      <c r="F4391" s="42"/>
    </row>
    <row r="4392" spans="1:6">
      <c r="A4392" s="39">
        <f>A4391</f>
        <v>46048</v>
      </c>
      <c r="B4392" s="40"/>
      <c r="C4392" s="40"/>
      <c r="D4392" s="41"/>
      <c r="E4392" s="43">
        <f>C4392</f>
        <v>0</v>
      </c>
      <c r="F4392" s="42"/>
    </row>
    <row r="4393" spans="1:6">
      <c r="A4393" s="39">
        <f>A4392</f>
        <v>46048</v>
      </c>
      <c r="B4393" s="40"/>
      <c r="C4393" s="40"/>
      <c r="D4393" s="41"/>
      <c r="E4393" s="43">
        <f>C4393</f>
        <v>0</v>
      </c>
      <c r="F4393" s="42"/>
    </row>
    <row r="4394" spans="1:6">
      <c r="A4394" s="39">
        <f>A4393</f>
        <v>46048</v>
      </c>
      <c r="B4394" s="40"/>
      <c r="C4394" s="40"/>
      <c r="D4394" s="41"/>
      <c r="E4394" s="43">
        <f>C4394</f>
        <v>0</v>
      </c>
      <c r="F4394" s="42"/>
    </row>
    <row r="4395" spans="1:6">
      <c r="A4395" s="39">
        <f>A4394</f>
        <v>46048</v>
      </c>
      <c r="B4395" s="40"/>
      <c r="C4395" s="40"/>
      <c r="D4395" s="41"/>
      <c r="E4395" s="43">
        <f>C4395</f>
        <v>0</v>
      </c>
      <c r="F4395" s="42"/>
    </row>
    <row r="4396" spans="1:6">
      <c r="A4396" s="39">
        <f>A4395</f>
        <v>46048</v>
      </c>
      <c r="B4396" s="40"/>
      <c r="C4396" s="40"/>
      <c r="D4396" s="41"/>
      <c r="E4396" s="43">
        <f>C4396</f>
        <v>0</v>
      </c>
      <c r="F4396" s="42"/>
    </row>
    <row r="4397" spans="1:6">
      <c r="A4397" s="39">
        <f>A4396</f>
        <v>46048</v>
      </c>
      <c r="B4397" s="40"/>
      <c r="C4397" s="40"/>
      <c r="D4397" s="41"/>
      <c r="E4397" s="43">
        <f>C4397</f>
        <v>0</v>
      </c>
      <c r="F4397" s="42"/>
    </row>
    <row r="4398" spans="1:6">
      <c r="A4398" s="39">
        <f>A4397</f>
        <v>46048</v>
      </c>
      <c r="B4398" s="40"/>
      <c r="C4398" s="40"/>
      <c r="D4398" s="41"/>
      <c r="E4398" s="43">
        <f>C4398</f>
        <v>0</v>
      </c>
      <c r="F4398" s="42"/>
    </row>
    <row r="4399" spans="1:6">
      <c r="A4399" s="39">
        <f>A4398</f>
        <v>46048</v>
      </c>
      <c r="B4399" s="40"/>
      <c r="C4399" s="40"/>
      <c r="D4399" s="41"/>
      <c r="E4399" s="43">
        <f>C4399</f>
        <v>0</v>
      </c>
      <c r="F4399" s="42"/>
    </row>
    <row r="4400" spans="1:6">
      <c r="A4400" s="39">
        <f>A4399</f>
        <v>46048</v>
      </c>
      <c r="B4400" s="40"/>
      <c r="C4400" s="40"/>
      <c r="D4400" s="41"/>
      <c r="E4400" s="43">
        <f>C4400</f>
        <v>0</v>
      </c>
      <c r="F4400" s="42"/>
    </row>
    <row r="4401" spans="1:6">
      <c r="A4401" s="39">
        <f>A4400</f>
        <v>46048</v>
      </c>
      <c r="B4401" s="40"/>
      <c r="C4401" s="40"/>
      <c r="D4401" s="41"/>
      <c r="E4401" s="43">
        <f>C4401</f>
        <v>0</v>
      </c>
      <c r="F4401" s="42"/>
    </row>
    <row r="4402" spans="1:6">
      <c r="A4402" s="39">
        <f>A4401</f>
        <v>46048</v>
      </c>
      <c r="B4402" s="40"/>
      <c r="C4402" s="40"/>
      <c r="D4402" s="41"/>
      <c r="E4402" s="43">
        <f>C4402</f>
        <v>0</v>
      </c>
      <c r="F4402" s="42"/>
    </row>
    <row r="4403" spans="1:6">
      <c r="A4403" s="39">
        <f>A4402</f>
        <v>46048</v>
      </c>
      <c r="B4403" s="40"/>
      <c r="C4403" s="40"/>
      <c r="D4403" s="41"/>
      <c r="E4403" s="43">
        <f>C4403</f>
        <v>0</v>
      </c>
      <c r="F4403" s="42"/>
    </row>
    <row r="4404" spans="1:6">
      <c r="A4404" s="39">
        <f>A4403</f>
        <v>46048</v>
      </c>
      <c r="B4404" s="40"/>
      <c r="C4404" s="40"/>
      <c r="D4404" s="41"/>
      <c r="E4404" s="43">
        <f>C4404</f>
        <v>0</v>
      </c>
      <c r="F4404" s="42"/>
    </row>
    <row r="4405" spans="1:6">
      <c r="A4405" s="39">
        <f>A4404</f>
        <v>46048</v>
      </c>
      <c r="B4405" s="40"/>
      <c r="C4405" s="40"/>
      <c r="D4405" s="41"/>
      <c r="E4405" s="43">
        <f>C4405</f>
        <v>0</v>
      </c>
      <c r="F4405" s="42"/>
    </row>
    <row r="4406" spans="1:6">
      <c r="A4406" s="39">
        <f>A4405</f>
        <v>46048</v>
      </c>
      <c r="B4406" s="40"/>
      <c r="C4406" s="40"/>
      <c r="D4406" s="41"/>
      <c r="E4406" s="43">
        <f>C4406</f>
        <v>0</v>
      </c>
      <c r="F4406" s="42"/>
    </row>
    <row r="4407" spans="1:6">
      <c r="A4407" s="39">
        <f>A4406</f>
        <v>46048</v>
      </c>
      <c r="B4407" s="40"/>
      <c r="C4407" s="40"/>
      <c r="D4407" s="41"/>
      <c r="E4407" s="43">
        <f>C4407</f>
        <v>0</v>
      </c>
      <c r="F4407" s="42"/>
    </row>
    <row r="4408" spans="1:6">
      <c r="A4408" s="39">
        <f>A4407</f>
        <v>46048</v>
      </c>
      <c r="B4408" s="40"/>
      <c r="C4408" s="40"/>
      <c r="D4408" s="41"/>
      <c r="E4408" s="43">
        <f>C4408</f>
        <v>0</v>
      </c>
      <c r="F4408" s="42"/>
    </row>
    <row r="4409" spans="1:6">
      <c r="A4409" s="39">
        <f>A4408</f>
        <v>46048</v>
      </c>
      <c r="B4409" s="40"/>
      <c r="C4409" s="40"/>
      <c r="D4409" s="41"/>
      <c r="E4409" s="43">
        <f>C4409</f>
        <v>0</v>
      </c>
      <c r="F4409" s="42"/>
    </row>
    <row r="4410" spans="1:6">
      <c r="A4410" s="39">
        <f>A4409</f>
        <v>46048</v>
      </c>
      <c r="B4410" s="40"/>
      <c r="C4410" s="40"/>
      <c r="D4410" s="41"/>
      <c r="E4410" s="43">
        <f>C4410</f>
        <v>0</v>
      </c>
      <c r="F4410" s="42"/>
    </row>
    <row r="4411" spans="1:6">
      <c r="A4411" s="39">
        <f>A4410</f>
        <v>46048</v>
      </c>
      <c r="B4411" s="40"/>
      <c r="C4411" s="40"/>
      <c r="D4411" s="41"/>
      <c r="E4411" s="43">
        <f>C4411</f>
        <v>0</v>
      </c>
      <c r="F4411" s="42"/>
    </row>
    <row r="4412" spans="1:6">
      <c r="A4412" s="39">
        <f>A4411</f>
        <v>46048</v>
      </c>
      <c r="B4412" s="40"/>
      <c r="C4412" s="40"/>
      <c r="D4412" s="41"/>
      <c r="E4412" s="43">
        <f>C4412</f>
        <v>0</v>
      </c>
      <c r="F4412" s="42"/>
    </row>
    <row r="4413" spans="1:6">
      <c r="A4413" s="39">
        <f>A4412</f>
        <v>46048</v>
      </c>
      <c r="B4413" s="40"/>
      <c r="C4413" s="40"/>
      <c r="D4413" s="41"/>
      <c r="E4413" s="43">
        <f>C4413</f>
        <v>0</v>
      </c>
      <c r="F4413" s="42"/>
    </row>
    <row r="4414" spans="1:6">
      <c r="A4414" s="39">
        <f>A4413</f>
        <v>46048</v>
      </c>
      <c r="B4414" s="40"/>
      <c r="C4414" s="40"/>
      <c r="D4414" s="41"/>
      <c r="E4414" s="43">
        <f>C4414</f>
        <v>0</v>
      </c>
      <c r="F4414" s="42"/>
    </row>
    <row r="4415" spans="1:6">
      <c r="A4415" s="39">
        <f>A4414</f>
        <v>46048</v>
      </c>
      <c r="B4415" s="40"/>
      <c r="C4415" s="40"/>
      <c r="D4415" s="41"/>
      <c r="E4415" s="43">
        <f>C4415</f>
        <v>0</v>
      </c>
      <c r="F4415" s="42"/>
    </row>
    <row r="4416" spans="1:6">
      <c r="A4416" s="39">
        <f>A4415</f>
        <v>46048</v>
      </c>
      <c r="B4416" s="40"/>
      <c r="C4416" s="40"/>
      <c r="D4416" s="41"/>
      <c r="E4416" s="43">
        <f>C4416</f>
        <v>0</v>
      </c>
      <c r="F4416" s="42"/>
    </row>
    <row r="4417" spans="1:6">
      <c r="A4417" s="39">
        <f>A4416</f>
        <v>46048</v>
      </c>
      <c r="B4417" s="40"/>
      <c r="C4417" s="40"/>
      <c r="D4417" s="41"/>
      <c r="E4417" s="43">
        <f>C4417</f>
        <v>0</v>
      </c>
      <c r="F4417" s="42"/>
    </row>
    <row r="4418" spans="1:6">
      <c r="A4418" s="39">
        <f>A4417</f>
        <v>46048</v>
      </c>
      <c r="B4418" s="40"/>
      <c r="C4418" s="40"/>
      <c r="D4418" s="41"/>
      <c r="E4418" s="43">
        <f>C4418</f>
        <v>0</v>
      </c>
      <c r="F4418" s="42"/>
    </row>
    <row r="4419" spans="1:6">
      <c r="A4419" s="39">
        <f>A4418</f>
        <v>46048</v>
      </c>
      <c r="B4419" s="40"/>
      <c r="C4419" s="40"/>
      <c r="D4419" s="41"/>
      <c r="E4419" s="43">
        <f>C4419</f>
        <v>0</v>
      </c>
      <c r="F4419" s="42"/>
    </row>
    <row r="4420" spans="1:6">
      <c r="A4420" s="39">
        <f>A4419</f>
        <v>46048</v>
      </c>
      <c r="B4420" s="40"/>
      <c r="C4420" s="40"/>
      <c r="D4420" s="41"/>
      <c r="E4420" s="43">
        <f>C4420</f>
        <v>0</v>
      </c>
      <c r="F4420" s="42"/>
    </row>
    <row r="4421" spans="1:6">
      <c r="A4421" s="39">
        <f>A4420</f>
        <v>46048</v>
      </c>
      <c r="B4421" s="40"/>
      <c r="C4421" s="40"/>
      <c r="D4421" s="41"/>
      <c r="E4421" s="43">
        <f>C4421</f>
        <v>0</v>
      </c>
      <c r="F4421" s="42"/>
    </row>
    <row r="4422" spans="1:6">
      <c r="A4422" s="39">
        <f>A4421</f>
        <v>46048</v>
      </c>
      <c r="B4422" s="40"/>
      <c r="C4422" s="40"/>
      <c r="D4422" s="41"/>
      <c r="E4422" s="43">
        <f>C4422</f>
        <v>0</v>
      </c>
      <c r="F4422" s="42"/>
    </row>
    <row r="4423" spans="1:6">
      <c r="A4423" s="39">
        <f>A4422</f>
        <v>46048</v>
      </c>
      <c r="B4423" s="40"/>
      <c r="C4423" s="40"/>
      <c r="D4423" s="41"/>
      <c r="E4423" s="43">
        <f>C4423</f>
        <v>0</v>
      </c>
      <c r="F4423" s="42"/>
    </row>
    <row r="4424" spans="1:6">
      <c r="A4424" s="39">
        <f>A4423</f>
        <v>46048</v>
      </c>
      <c r="B4424" s="40"/>
      <c r="C4424" s="40"/>
      <c r="D4424" s="41"/>
      <c r="E4424" s="43">
        <f>C4424</f>
        <v>0</v>
      </c>
      <c r="F4424" s="42"/>
    </row>
    <row r="4425" spans="1:6">
      <c r="A4425" s="39">
        <f>A4424</f>
        <v>46048</v>
      </c>
      <c r="B4425" s="40"/>
      <c r="C4425" s="40"/>
      <c r="D4425" s="41"/>
      <c r="E4425" s="43">
        <f>C4425</f>
        <v>0</v>
      </c>
      <c r="F4425" s="42"/>
    </row>
    <row r="4426" spans="1:6">
      <c r="A4426" s="39">
        <f>A4425</f>
        <v>46048</v>
      </c>
      <c r="B4426" s="40"/>
      <c r="C4426" s="40"/>
      <c r="D4426" s="41"/>
      <c r="E4426" s="43">
        <f>C4426</f>
        <v>0</v>
      </c>
      <c r="F4426" s="42"/>
    </row>
    <row r="4427" spans="1:6">
      <c r="A4427" s="39">
        <f>A4426</f>
        <v>46048</v>
      </c>
      <c r="B4427" s="40"/>
      <c r="C4427" s="40"/>
      <c r="D4427" s="41"/>
      <c r="E4427" s="43">
        <f>C4427</f>
        <v>0</v>
      </c>
      <c r="F4427" s="42"/>
    </row>
    <row r="4428" spans="1:6">
      <c r="A4428" s="39">
        <f>A4427</f>
        <v>46048</v>
      </c>
      <c r="B4428" s="40"/>
      <c r="C4428" s="40"/>
      <c r="D4428" s="41"/>
      <c r="E4428" s="43">
        <f>C4428</f>
        <v>0</v>
      </c>
      <c r="F4428" s="42"/>
    </row>
    <row r="4429" spans="1:6">
      <c r="A4429" s="39">
        <f>A4428</f>
        <v>46048</v>
      </c>
      <c r="B4429" s="40"/>
      <c r="C4429" s="40"/>
      <c r="D4429" s="41"/>
      <c r="E4429" s="43">
        <f>C4429</f>
        <v>0</v>
      </c>
      <c r="F4429" s="42"/>
    </row>
    <row r="4430" spans="1:6">
      <c r="A4430" s="39">
        <f>A4429</f>
        <v>46048</v>
      </c>
      <c r="B4430" s="40"/>
      <c r="C4430" s="40"/>
      <c r="D4430" s="41"/>
      <c r="E4430" s="43">
        <f>C4430</f>
        <v>0</v>
      </c>
      <c r="F4430" s="42"/>
    </row>
    <row r="4431" spans="1:6">
      <c r="A4431" s="39">
        <f>A4430</f>
        <v>46048</v>
      </c>
      <c r="B4431" s="40"/>
      <c r="C4431" s="40"/>
      <c r="D4431" s="41"/>
      <c r="E4431" s="43">
        <f>C4431</f>
        <v>0</v>
      </c>
      <c r="F4431" s="42"/>
    </row>
    <row r="4432" spans="1:6">
      <c r="A4432" s="39">
        <f>A4431</f>
        <v>46048</v>
      </c>
      <c r="B4432" s="40"/>
      <c r="C4432" s="40"/>
      <c r="D4432" s="41"/>
      <c r="E4432" s="43">
        <f>C4432</f>
        <v>0</v>
      </c>
      <c r="F4432" s="42"/>
    </row>
    <row r="4433" spans="1:6">
      <c r="A4433" s="39">
        <f>A4432</f>
        <v>46048</v>
      </c>
      <c r="B4433" s="40"/>
      <c r="C4433" s="40"/>
      <c r="D4433" s="41"/>
      <c r="E4433" s="43">
        <f>C4433</f>
        <v>0</v>
      </c>
      <c r="F4433" s="42"/>
    </row>
    <row r="4434" spans="1:6">
      <c r="A4434" s="39">
        <f>A4433</f>
        <v>46048</v>
      </c>
      <c r="B4434" s="40"/>
      <c r="C4434" s="40"/>
      <c r="D4434" s="41"/>
      <c r="E4434" s="43">
        <f>C4434</f>
        <v>0</v>
      </c>
      <c r="F4434" s="42"/>
    </row>
    <row r="4435" spans="1:6">
      <c r="A4435" s="39">
        <f>A4434</f>
        <v>46048</v>
      </c>
      <c r="B4435" s="40"/>
      <c r="C4435" s="40"/>
      <c r="D4435" s="41"/>
      <c r="E4435" s="43">
        <f>C4435</f>
        <v>0</v>
      </c>
      <c r="F4435" s="42"/>
    </row>
    <row r="4436" spans="1:6">
      <c r="A4436" s="39">
        <f>A4435</f>
        <v>46048</v>
      </c>
      <c r="B4436" s="40"/>
      <c r="C4436" s="40"/>
      <c r="D4436" s="41"/>
      <c r="E4436" s="43">
        <f>C4436</f>
        <v>0</v>
      </c>
      <c r="F4436" s="42"/>
    </row>
    <row r="4437" spans="1:6">
      <c r="A4437" s="39">
        <f>A4436</f>
        <v>46048</v>
      </c>
      <c r="B4437" s="40"/>
      <c r="C4437" s="40"/>
      <c r="D4437" s="41"/>
      <c r="E4437" s="43">
        <f>C4437</f>
        <v>0</v>
      </c>
      <c r="F4437" s="42"/>
    </row>
    <row r="4438" spans="1:6">
      <c r="A4438" s="39">
        <f>A4437</f>
        <v>46048</v>
      </c>
      <c r="B4438" s="40"/>
      <c r="C4438" s="40"/>
      <c r="D4438" s="41"/>
      <c r="E4438" s="43">
        <f>C4438</f>
        <v>0</v>
      </c>
      <c r="F4438" s="42"/>
    </row>
    <row r="4439" spans="1:6">
      <c r="A4439" s="39">
        <f>A4438</f>
        <v>46048</v>
      </c>
      <c r="B4439" s="40"/>
      <c r="C4439" s="40"/>
      <c r="D4439" s="41"/>
      <c r="E4439" s="43">
        <f>C4439</f>
        <v>0</v>
      </c>
      <c r="F4439" s="42"/>
    </row>
    <row r="4440" spans="1:6">
      <c r="A4440" s="39">
        <f>A4439</f>
        <v>46048</v>
      </c>
      <c r="B4440" s="40"/>
      <c r="C4440" s="40"/>
      <c r="D4440" s="41"/>
      <c r="E4440" s="43">
        <f>C4440</f>
        <v>0</v>
      </c>
      <c r="F4440" s="42"/>
    </row>
    <row r="4441" spans="1:6">
      <c r="A4441" s="39">
        <f>A4440</f>
        <v>46048</v>
      </c>
      <c r="B4441" s="40"/>
      <c r="C4441" s="40"/>
      <c r="D4441" s="41"/>
      <c r="E4441" s="43">
        <f>C4441</f>
        <v>0</v>
      </c>
      <c r="F4441" s="42"/>
    </row>
    <row r="4442" spans="1:6">
      <c r="A4442" s="39">
        <f>A4441</f>
        <v>46048</v>
      </c>
      <c r="B4442" s="40"/>
      <c r="C4442" s="40"/>
      <c r="D4442" s="41"/>
      <c r="E4442" s="43">
        <f>C4442</f>
        <v>0</v>
      </c>
      <c r="F4442" s="42"/>
    </row>
    <row r="4443" spans="1:6">
      <c r="A4443" s="39">
        <f>A4442</f>
        <v>46048</v>
      </c>
      <c r="B4443" s="40"/>
      <c r="C4443" s="40"/>
      <c r="D4443" s="41"/>
      <c r="E4443" s="43">
        <f>C4443</f>
        <v>0</v>
      </c>
      <c r="F4443" s="42"/>
    </row>
    <row r="4444" spans="1:6">
      <c r="A4444" s="39">
        <f>A4443</f>
        <v>46048</v>
      </c>
      <c r="B4444" s="40"/>
      <c r="C4444" s="40"/>
      <c r="D4444" s="41"/>
      <c r="E4444" s="43">
        <f>C4444</f>
        <v>0</v>
      </c>
      <c r="F4444" s="42"/>
    </row>
    <row r="4445" spans="1:6">
      <c r="A4445" s="39">
        <f>A4444</f>
        <v>46048</v>
      </c>
      <c r="B4445" s="40"/>
      <c r="C4445" s="40"/>
      <c r="D4445" s="41"/>
      <c r="E4445" s="43">
        <f>C4445</f>
        <v>0</v>
      </c>
      <c r="F4445" s="42"/>
    </row>
    <row r="4446" spans="1:6">
      <c r="A4446" s="39">
        <f>A4445</f>
        <v>46048</v>
      </c>
      <c r="B4446" s="40"/>
      <c r="C4446" s="40"/>
      <c r="D4446" s="41"/>
      <c r="E4446" s="43">
        <f>C4446</f>
        <v>0</v>
      </c>
      <c r="F4446" s="42"/>
    </row>
    <row r="4447" spans="1:6">
      <c r="A4447" s="39">
        <f>A4446</f>
        <v>46048</v>
      </c>
      <c r="B4447" s="40"/>
      <c r="C4447" s="40"/>
      <c r="D4447" s="41"/>
      <c r="E4447" s="43">
        <f>C4447</f>
        <v>0</v>
      </c>
      <c r="F4447" s="42"/>
    </row>
    <row r="4448" spans="1:6">
      <c r="A4448" s="39">
        <f>A4447</f>
        <v>46048</v>
      </c>
      <c r="B4448" s="40"/>
      <c r="C4448" s="40"/>
      <c r="D4448" s="41"/>
      <c r="E4448" s="43">
        <f>C4448</f>
        <v>0</v>
      </c>
      <c r="F4448" s="42"/>
    </row>
    <row r="4449" spans="1:6">
      <c r="A4449" s="39">
        <f>A4448</f>
        <v>46048</v>
      </c>
      <c r="B4449" s="40"/>
      <c r="C4449" s="40"/>
      <c r="D4449" s="41"/>
      <c r="E4449" s="43">
        <f>C4449</f>
        <v>0</v>
      </c>
      <c r="F4449" s="42"/>
    </row>
    <row r="4450" spans="1:6">
      <c r="A4450" s="39">
        <f>A4449</f>
        <v>46048</v>
      </c>
      <c r="B4450" s="40"/>
      <c r="C4450" s="40"/>
      <c r="D4450" s="41"/>
      <c r="E4450" s="43">
        <f>C4450</f>
        <v>0</v>
      </c>
      <c r="F4450" s="42"/>
    </row>
    <row r="4451" spans="1:6">
      <c r="A4451" s="39">
        <f>A4450</f>
        <v>46048</v>
      </c>
      <c r="B4451" s="40"/>
      <c r="C4451" s="40"/>
      <c r="D4451" s="41"/>
      <c r="E4451" s="43">
        <f>C4451</f>
        <v>0</v>
      </c>
      <c r="F4451" s="42"/>
    </row>
    <row r="4452" spans="1:6">
      <c r="A4452" s="39">
        <f>A4451</f>
        <v>46048</v>
      </c>
      <c r="B4452" s="40"/>
      <c r="C4452" s="40"/>
      <c r="D4452" s="41"/>
      <c r="E4452" s="43">
        <f>C4452</f>
        <v>0</v>
      </c>
      <c r="F4452" s="42"/>
    </row>
    <row r="4453" spans="1:6">
      <c r="A4453" s="39">
        <f>A4452</f>
        <v>46048</v>
      </c>
      <c r="B4453" s="40"/>
      <c r="C4453" s="40"/>
      <c r="D4453" s="41"/>
      <c r="E4453" s="43">
        <f>C4453</f>
        <v>0</v>
      </c>
      <c r="F4453" s="42"/>
    </row>
    <row r="4454" spans="1:6">
      <c r="A4454" s="39">
        <f>A4453</f>
        <v>46048</v>
      </c>
      <c r="B4454" s="40"/>
      <c r="C4454" s="40"/>
      <c r="D4454" s="41"/>
      <c r="E4454" s="43">
        <f>C4454</f>
        <v>0</v>
      </c>
      <c r="F4454" s="42"/>
    </row>
    <row r="4455" spans="1:6">
      <c r="A4455" s="39">
        <f>A4454</f>
        <v>46048</v>
      </c>
      <c r="B4455" s="40"/>
      <c r="C4455" s="40"/>
      <c r="D4455" s="41"/>
      <c r="E4455" s="43">
        <f>C4455</f>
        <v>0</v>
      </c>
      <c r="F4455" s="42"/>
    </row>
    <row r="4456" spans="1:6">
      <c r="A4456" s="39">
        <f>A4455</f>
        <v>46048</v>
      </c>
      <c r="B4456" s="40"/>
      <c r="C4456" s="40"/>
      <c r="D4456" s="41"/>
      <c r="E4456" s="43">
        <f>C4456</f>
        <v>0</v>
      </c>
      <c r="F4456" s="42"/>
    </row>
    <row r="4457" spans="1:6">
      <c r="A4457" s="39">
        <f>A4456</f>
        <v>46048</v>
      </c>
      <c r="B4457" s="40"/>
      <c r="C4457" s="40"/>
      <c r="D4457" s="41"/>
      <c r="E4457" s="43">
        <f>C4457</f>
        <v>0</v>
      </c>
      <c r="F4457" s="42"/>
    </row>
    <row r="4458" spans="1:6">
      <c r="A4458" s="39">
        <f>A4457</f>
        <v>46048</v>
      </c>
      <c r="B4458" s="40"/>
      <c r="C4458" s="40"/>
      <c r="D4458" s="41"/>
      <c r="E4458" s="43">
        <f>C4458</f>
        <v>0</v>
      </c>
      <c r="F4458" s="42"/>
    </row>
    <row r="4459" spans="1:6">
      <c r="A4459" s="39">
        <f>A4458</f>
        <v>46048</v>
      </c>
      <c r="B4459" s="40"/>
      <c r="C4459" s="40"/>
      <c r="D4459" s="41"/>
      <c r="E4459" s="43">
        <f>C4459</f>
        <v>0</v>
      </c>
      <c r="F4459" s="42"/>
    </row>
    <row r="4460" spans="1:6">
      <c r="A4460" s="39">
        <f>A4459</f>
        <v>46048</v>
      </c>
      <c r="B4460" s="40"/>
      <c r="C4460" s="40"/>
      <c r="D4460" s="41"/>
      <c r="E4460" s="43">
        <f>C4460</f>
        <v>0</v>
      </c>
      <c r="F4460" s="42"/>
    </row>
    <row r="4461" spans="1:6">
      <c r="A4461" s="39">
        <f>A4460</f>
        <v>46048</v>
      </c>
      <c r="B4461" s="40"/>
      <c r="C4461" s="40"/>
      <c r="D4461" s="41"/>
      <c r="E4461" s="43">
        <f>C4461</f>
        <v>0</v>
      </c>
      <c r="F4461" s="42"/>
    </row>
    <row r="4462" spans="1:6">
      <c r="A4462" s="39">
        <f>A4461</f>
        <v>46048</v>
      </c>
      <c r="B4462" s="40"/>
      <c r="C4462" s="40"/>
      <c r="D4462" s="41"/>
      <c r="E4462" s="43">
        <f>C4462</f>
        <v>0</v>
      </c>
      <c r="F4462" s="42"/>
    </row>
    <row r="4463" spans="1:6">
      <c r="A4463" s="39">
        <f>A4462</f>
        <v>46048</v>
      </c>
      <c r="B4463" s="40"/>
      <c r="C4463" s="40"/>
      <c r="D4463" s="41"/>
      <c r="E4463" s="43">
        <f>C4463</f>
        <v>0</v>
      </c>
      <c r="F4463" s="42"/>
    </row>
    <row r="4464" spans="1:6">
      <c r="A4464" s="39">
        <f>A4463</f>
        <v>46048</v>
      </c>
      <c r="B4464" s="40"/>
      <c r="C4464" s="40"/>
      <c r="D4464" s="41"/>
      <c r="E4464" s="43">
        <f>C4464</f>
        <v>0</v>
      </c>
      <c r="F4464" s="42"/>
    </row>
    <row r="4465" spans="1:6">
      <c r="A4465" s="39">
        <f>A4464</f>
        <v>46048</v>
      </c>
      <c r="B4465" s="40"/>
      <c r="C4465" s="40"/>
      <c r="D4465" s="41"/>
      <c r="E4465" s="43">
        <f>C4465</f>
        <v>0</v>
      </c>
      <c r="F4465" s="42"/>
    </row>
    <row r="4466" spans="1:6">
      <c r="A4466" s="39">
        <f>A4465</f>
        <v>46048</v>
      </c>
      <c r="B4466" s="40"/>
      <c r="C4466" s="40"/>
      <c r="D4466" s="41"/>
      <c r="E4466" s="43">
        <f>C4466</f>
        <v>0</v>
      </c>
      <c r="F4466" s="42"/>
    </row>
    <row r="4467" spans="1:6">
      <c r="A4467" s="39">
        <f>A4466</f>
        <v>46048</v>
      </c>
      <c r="B4467" s="40"/>
      <c r="C4467" s="40"/>
      <c r="D4467" s="41"/>
      <c r="E4467" s="43">
        <f>C4467</f>
        <v>0</v>
      </c>
      <c r="F4467" s="42"/>
    </row>
    <row r="4468" spans="1:6">
      <c r="A4468" s="39">
        <f>A4467</f>
        <v>46048</v>
      </c>
      <c r="B4468" s="40"/>
      <c r="C4468" s="40"/>
      <c r="D4468" s="41"/>
      <c r="E4468" s="43">
        <f>C4468</f>
        <v>0</v>
      </c>
      <c r="F4468" s="42"/>
    </row>
    <row r="4469" spans="1:6">
      <c r="A4469" s="39">
        <f>A4468</f>
        <v>46048</v>
      </c>
      <c r="B4469" s="40"/>
      <c r="C4469" s="40"/>
      <c r="D4469" s="41"/>
      <c r="E4469" s="43">
        <f>C4469</f>
        <v>0</v>
      </c>
      <c r="F4469" s="42"/>
    </row>
    <row r="4470" spans="1:6">
      <c r="A4470" s="39">
        <f>A4469</f>
        <v>46048</v>
      </c>
      <c r="B4470" s="40"/>
      <c r="C4470" s="40"/>
      <c r="D4470" s="41"/>
      <c r="E4470" s="43">
        <f>C4470</f>
        <v>0</v>
      </c>
      <c r="F4470" s="42"/>
    </row>
    <row r="4471" spans="1:6">
      <c r="A4471" s="39">
        <f>A4470</f>
        <v>46048</v>
      </c>
      <c r="B4471" s="40"/>
      <c r="C4471" s="40"/>
      <c r="D4471" s="41"/>
      <c r="E4471" s="43">
        <f>C4471</f>
        <v>0</v>
      </c>
      <c r="F4471" s="42"/>
    </row>
    <row r="4472" spans="1:6">
      <c r="A4472" s="39">
        <f>A4471</f>
        <v>46048</v>
      </c>
      <c r="B4472" s="40"/>
      <c r="C4472" s="40"/>
      <c r="D4472" s="41"/>
      <c r="E4472" s="43">
        <f>C4472</f>
        <v>0</v>
      </c>
      <c r="F4472" s="42"/>
    </row>
    <row r="4473" spans="1:6">
      <c r="A4473" s="39">
        <f>A4472</f>
        <v>46048</v>
      </c>
      <c r="B4473" s="40"/>
      <c r="C4473" s="40"/>
      <c r="D4473" s="41"/>
      <c r="E4473" s="43">
        <f>C4473</f>
        <v>0</v>
      </c>
      <c r="F4473" s="42"/>
    </row>
    <row r="4474" spans="1:6">
      <c r="A4474" s="39">
        <f>A4473</f>
        <v>46048</v>
      </c>
      <c r="B4474" s="40"/>
      <c r="C4474" s="40"/>
      <c r="D4474" s="41"/>
      <c r="E4474" s="43">
        <f>C4474</f>
        <v>0</v>
      </c>
      <c r="F4474" s="42"/>
    </row>
    <row r="4475" spans="1:6">
      <c r="A4475" s="39">
        <f>A4474</f>
        <v>46048</v>
      </c>
      <c r="B4475" s="40"/>
      <c r="C4475" s="40"/>
      <c r="D4475" s="41"/>
      <c r="E4475" s="43">
        <f>C4475</f>
        <v>0</v>
      </c>
      <c r="F4475" s="42"/>
    </row>
    <row r="4476" spans="1:6">
      <c r="A4476" s="39">
        <f>A4475</f>
        <v>46048</v>
      </c>
      <c r="B4476" s="40"/>
      <c r="C4476" s="40"/>
      <c r="D4476" s="41"/>
      <c r="E4476" s="43">
        <f>C4476</f>
        <v>0</v>
      </c>
      <c r="F4476" s="42"/>
    </row>
    <row r="4477" spans="1:6">
      <c r="A4477" s="39">
        <f>A4476</f>
        <v>46048</v>
      </c>
      <c r="B4477" s="40"/>
      <c r="C4477" s="40"/>
      <c r="D4477" s="41"/>
      <c r="E4477" s="43">
        <f>C4477</f>
        <v>0</v>
      </c>
      <c r="F4477" s="42"/>
    </row>
    <row r="4478" spans="1:6">
      <c r="A4478" s="39">
        <f>A4477</f>
        <v>46048</v>
      </c>
      <c r="B4478" s="40"/>
      <c r="C4478" s="40"/>
      <c r="D4478" s="41"/>
      <c r="E4478" s="43">
        <f>C4478</f>
        <v>0</v>
      </c>
      <c r="F4478" s="42"/>
    </row>
    <row r="4479" spans="1:6">
      <c r="A4479" s="39">
        <f>A4478</f>
        <v>46048</v>
      </c>
      <c r="B4479" s="40"/>
      <c r="C4479" s="40"/>
      <c r="D4479" s="41"/>
      <c r="E4479" s="43">
        <f>C4479</f>
        <v>0</v>
      </c>
      <c r="F4479" s="42"/>
    </row>
    <row r="4480" spans="1:6">
      <c r="A4480" s="39">
        <f>A4479</f>
        <v>46048</v>
      </c>
      <c r="B4480" s="40"/>
      <c r="C4480" s="40"/>
      <c r="D4480" s="41"/>
      <c r="E4480" s="43">
        <f>C4480</f>
        <v>0</v>
      </c>
      <c r="F4480" s="42"/>
    </row>
    <row r="4481" spans="1:6">
      <c r="A4481" s="39">
        <f>A4480</f>
        <v>46048</v>
      </c>
      <c r="B4481" s="40"/>
      <c r="C4481" s="40"/>
      <c r="D4481" s="41"/>
      <c r="E4481" s="43">
        <f>C4481</f>
        <v>0</v>
      </c>
      <c r="F4481" s="42"/>
    </row>
    <row r="4482" spans="1:6">
      <c r="A4482" s="39">
        <f>A4481</f>
        <v>46048</v>
      </c>
      <c r="B4482" s="40"/>
      <c r="C4482" s="40"/>
      <c r="D4482" s="41"/>
      <c r="E4482" s="43">
        <f>C4482</f>
        <v>0</v>
      </c>
      <c r="F4482" s="42"/>
    </row>
    <row r="4483" spans="1:6">
      <c r="A4483" s="39">
        <f>A4482</f>
        <v>46048</v>
      </c>
      <c r="B4483" s="40"/>
      <c r="C4483" s="40"/>
      <c r="D4483" s="41"/>
      <c r="E4483" s="43">
        <f>C4483</f>
        <v>0</v>
      </c>
      <c r="F4483" s="42"/>
    </row>
    <row r="4484" spans="1:6">
      <c r="A4484" s="39">
        <f>A4483</f>
        <v>46048</v>
      </c>
      <c r="B4484" s="40"/>
      <c r="C4484" s="40"/>
      <c r="D4484" s="41"/>
      <c r="E4484" s="43">
        <f>C4484</f>
        <v>0</v>
      </c>
      <c r="F4484" s="42"/>
    </row>
    <row r="4485" spans="1:6">
      <c r="A4485" s="39">
        <f>A4484</f>
        <v>46048</v>
      </c>
      <c r="B4485" s="40"/>
      <c r="C4485" s="40"/>
      <c r="D4485" s="41"/>
      <c r="E4485" s="43">
        <f>C4485</f>
        <v>0</v>
      </c>
      <c r="F4485" s="42"/>
    </row>
    <row r="4486" spans="1:6">
      <c r="A4486" s="39">
        <f>A4485</f>
        <v>46048</v>
      </c>
      <c r="B4486" s="40"/>
      <c r="C4486" s="40"/>
      <c r="D4486" s="41"/>
      <c r="E4486" s="43">
        <f>C4486</f>
        <v>0</v>
      </c>
      <c r="F4486" s="42"/>
    </row>
    <row r="4487" spans="1:6">
      <c r="A4487" s="39">
        <f>A4486</f>
        <v>46048</v>
      </c>
      <c r="B4487" s="40"/>
      <c r="C4487" s="40"/>
      <c r="D4487" s="41"/>
      <c r="E4487" s="43">
        <f>C4487</f>
        <v>0</v>
      </c>
      <c r="F4487" s="42"/>
    </row>
    <row r="4488" spans="1:6">
      <c r="A4488" s="39">
        <f>A4487</f>
        <v>46048</v>
      </c>
      <c r="B4488" s="40"/>
      <c r="C4488" s="40"/>
      <c r="D4488" s="41"/>
      <c r="E4488" s="43">
        <f>C4488</f>
        <v>0</v>
      </c>
      <c r="F4488" s="42"/>
    </row>
    <row r="4489" spans="1:6">
      <c r="A4489" s="39">
        <f>A4488</f>
        <v>46048</v>
      </c>
      <c r="B4489" s="40"/>
      <c r="C4489" s="40"/>
      <c r="D4489" s="41"/>
      <c r="E4489" s="43">
        <f>C4489</f>
        <v>0</v>
      </c>
      <c r="F4489" s="42"/>
    </row>
    <row r="4490" spans="1:6">
      <c r="A4490" s="39">
        <f>A4489</f>
        <v>46048</v>
      </c>
      <c r="B4490" s="40"/>
      <c r="C4490" s="40"/>
      <c r="D4490" s="41"/>
      <c r="E4490" s="43">
        <f>C4490</f>
        <v>0</v>
      </c>
      <c r="F4490" s="42"/>
    </row>
    <row r="4491" spans="1:6">
      <c r="A4491" s="39">
        <f>A4490</f>
        <v>46048</v>
      </c>
      <c r="B4491" s="40"/>
      <c r="C4491" s="40"/>
      <c r="D4491" s="41"/>
      <c r="E4491" s="43">
        <f>C4491</f>
        <v>0</v>
      </c>
      <c r="F4491" s="42"/>
    </row>
    <row r="4492" spans="1:6">
      <c r="A4492" s="39">
        <f>A4491</f>
        <v>46048</v>
      </c>
      <c r="B4492" s="40"/>
      <c r="C4492" s="40"/>
      <c r="D4492" s="41"/>
      <c r="E4492" s="43">
        <f>C4492</f>
        <v>0</v>
      </c>
      <c r="F4492" s="42"/>
    </row>
    <row r="4493" spans="1:6">
      <c r="A4493" s="39">
        <f>A4492</f>
        <v>46048</v>
      </c>
      <c r="B4493" s="40"/>
      <c r="C4493" s="40"/>
      <c r="D4493" s="41"/>
      <c r="E4493" s="43">
        <f>C4493</f>
        <v>0</v>
      </c>
      <c r="F4493" s="42"/>
    </row>
    <row r="4494" spans="1:6">
      <c r="A4494" s="39">
        <f>A4493</f>
        <v>46048</v>
      </c>
      <c r="B4494" s="40"/>
      <c r="C4494" s="40"/>
      <c r="D4494" s="41"/>
      <c r="E4494" s="43">
        <f>C4494</f>
        <v>0</v>
      </c>
      <c r="F4494" s="42"/>
    </row>
    <row r="4495" spans="1:6">
      <c r="A4495" s="39">
        <f>A4494</f>
        <v>46048</v>
      </c>
      <c r="B4495" s="40"/>
      <c r="C4495" s="40"/>
      <c r="D4495" s="41"/>
      <c r="E4495" s="43">
        <f>C4495</f>
        <v>0</v>
      </c>
      <c r="F4495" s="42"/>
    </row>
    <row r="4496" spans="1:6">
      <c r="A4496" s="39">
        <f>A4495</f>
        <v>46048</v>
      </c>
      <c r="B4496" s="40"/>
      <c r="C4496" s="40"/>
      <c r="D4496" s="41"/>
      <c r="E4496" s="43">
        <f>C4496</f>
        <v>0</v>
      </c>
      <c r="F4496" s="42"/>
    </row>
    <row r="4497" spans="1:6">
      <c r="A4497" s="39">
        <f>A4496</f>
        <v>46048</v>
      </c>
      <c r="B4497" s="40"/>
      <c r="C4497" s="40"/>
      <c r="D4497" s="41"/>
      <c r="E4497" s="43">
        <f>C4497</f>
        <v>0</v>
      </c>
      <c r="F4497" s="42"/>
    </row>
    <row r="4498" spans="1:6">
      <c r="A4498" s="39">
        <f>A4497</f>
        <v>46048</v>
      </c>
      <c r="B4498" s="40"/>
      <c r="C4498" s="40"/>
      <c r="D4498" s="41"/>
      <c r="E4498" s="43">
        <f>C4498</f>
        <v>0</v>
      </c>
      <c r="F4498" s="42"/>
    </row>
    <row r="4499" spans="1:6">
      <c r="A4499" s="39">
        <f>A4498</f>
        <v>46048</v>
      </c>
      <c r="B4499" s="40"/>
      <c r="C4499" s="40"/>
      <c r="D4499" s="41"/>
      <c r="E4499" s="43">
        <f>C4499</f>
        <v>0</v>
      </c>
      <c r="F4499" s="42"/>
    </row>
    <row r="4500" spans="1:6">
      <c r="A4500" s="39">
        <f>A4499</f>
        <v>46048</v>
      </c>
      <c r="B4500" s="40"/>
      <c r="C4500" s="40"/>
      <c r="D4500" s="41"/>
      <c r="E4500" s="43">
        <f>C4500</f>
        <v>0</v>
      </c>
      <c r="F4500" s="42"/>
    </row>
    <row r="4501" spans="1:6">
      <c r="A4501" s="39">
        <f>A4500</f>
        <v>46048</v>
      </c>
      <c r="B4501" s="40"/>
      <c r="C4501" s="40"/>
      <c r="D4501" s="41"/>
      <c r="E4501" s="43">
        <f>C4501</f>
        <v>0</v>
      </c>
      <c r="F4501" s="42"/>
    </row>
    <row r="4502" spans="1:6">
      <c r="A4502" s="39">
        <f>A4501</f>
        <v>46048</v>
      </c>
      <c r="B4502" s="40"/>
      <c r="C4502" s="40"/>
      <c r="D4502" s="41"/>
      <c r="E4502" s="43">
        <f>C4502</f>
        <v>0</v>
      </c>
      <c r="F4502" s="42"/>
    </row>
    <row r="4503" spans="1:6">
      <c r="A4503" s="39">
        <f>A4502</f>
        <v>46048</v>
      </c>
      <c r="B4503" s="40"/>
      <c r="C4503" s="40"/>
      <c r="D4503" s="41"/>
      <c r="E4503" s="43">
        <f>C4503</f>
        <v>0</v>
      </c>
      <c r="F4503" s="42"/>
    </row>
    <row r="4504" spans="1:6">
      <c r="A4504" s="39">
        <f>A4503</f>
        <v>46048</v>
      </c>
      <c r="B4504" s="40"/>
      <c r="C4504" s="40"/>
      <c r="D4504" s="41"/>
      <c r="E4504" s="43">
        <f>C4504</f>
        <v>0</v>
      </c>
      <c r="F4504" s="42"/>
    </row>
    <row r="4505" spans="1:6">
      <c r="A4505" s="39">
        <f>A4504</f>
        <v>46048</v>
      </c>
      <c r="B4505" s="40"/>
      <c r="C4505" s="40"/>
      <c r="D4505" s="41"/>
      <c r="E4505" s="43">
        <f>C4505</f>
        <v>0</v>
      </c>
      <c r="F4505" s="42"/>
    </row>
    <row r="4506" spans="1:6">
      <c r="A4506" s="39">
        <f>A4505</f>
        <v>46048</v>
      </c>
      <c r="B4506" s="40"/>
      <c r="C4506" s="40"/>
      <c r="D4506" s="41"/>
      <c r="E4506" s="43">
        <f>C4506</f>
        <v>0</v>
      </c>
      <c r="F4506" s="42"/>
    </row>
    <row r="4507" spans="1:6">
      <c r="A4507" s="39">
        <f>A4506</f>
        <v>46048</v>
      </c>
      <c r="B4507" s="40"/>
      <c r="C4507" s="40"/>
      <c r="D4507" s="41"/>
      <c r="E4507" s="43">
        <f>C4507</f>
        <v>0</v>
      </c>
      <c r="F4507" s="42"/>
    </row>
    <row r="4508" spans="1:6">
      <c r="A4508" s="39">
        <f>A4507</f>
        <v>46048</v>
      </c>
      <c r="B4508" s="40"/>
      <c r="C4508" s="40"/>
      <c r="D4508" s="41"/>
      <c r="E4508" s="43">
        <f>C4508</f>
        <v>0</v>
      </c>
      <c r="F4508" s="42"/>
    </row>
    <row r="4509" spans="1:6">
      <c r="A4509" s="39">
        <f>A4508</f>
        <v>46048</v>
      </c>
      <c r="B4509" s="40"/>
      <c r="C4509" s="40"/>
      <c r="D4509" s="41"/>
      <c r="E4509" s="43">
        <f>C4509</f>
        <v>0</v>
      </c>
      <c r="F4509" s="42"/>
    </row>
    <row r="4510" spans="1:6">
      <c r="A4510" s="39">
        <f>A4509</f>
        <v>46048</v>
      </c>
      <c r="B4510" s="40"/>
      <c r="C4510" s="40"/>
      <c r="D4510" s="41"/>
      <c r="E4510" s="43">
        <f>C4510</f>
        <v>0</v>
      </c>
      <c r="F4510" s="42"/>
    </row>
    <row r="4511" spans="1:6">
      <c r="A4511" s="39">
        <f>A4510</f>
        <v>46048</v>
      </c>
      <c r="B4511" s="40"/>
      <c r="C4511" s="40"/>
      <c r="D4511" s="41"/>
      <c r="E4511" s="43">
        <f>C4511</f>
        <v>0</v>
      </c>
      <c r="F4511" s="42"/>
    </row>
    <row r="4512" spans="1:6">
      <c r="A4512" s="39">
        <f>A4511</f>
        <v>46048</v>
      </c>
      <c r="B4512" s="40"/>
      <c r="C4512" s="40"/>
      <c r="D4512" s="41"/>
      <c r="E4512" s="43">
        <f>C4512</f>
        <v>0</v>
      </c>
      <c r="F4512" s="42"/>
    </row>
    <row r="4513" spans="1:6">
      <c r="A4513" s="39">
        <f>A4512</f>
        <v>46048</v>
      </c>
      <c r="B4513" s="40"/>
      <c r="C4513" s="40"/>
      <c r="D4513" s="41"/>
      <c r="E4513" s="43">
        <f>C4513</f>
        <v>0</v>
      </c>
      <c r="F4513" s="42"/>
    </row>
    <row r="4514" spans="1:6">
      <c r="A4514" s="39">
        <f>A4513</f>
        <v>46048</v>
      </c>
      <c r="B4514" s="40"/>
      <c r="C4514" s="40"/>
      <c r="D4514" s="41"/>
      <c r="E4514" s="43">
        <f>C4514</f>
        <v>0</v>
      </c>
      <c r="F4514" s="42"/>
    </row>
    <row r="4515" spans="1:6">
      <c r="A4515" s="39">
        <f>A4514</f>
        <v>46048</v>
      </c>
      <c r="B4515" s="40"/>
      <c r="C4515" s="40"/>
      <c r="D4515" s="41"/>
      <c r="E4515" s="43">
        <f>C4515</f>
        <v>0</v>
      </c>
      <c r="F4515" s="42"/>
    </row>
    <row r="4516" spans="1:6">
      <c r="A4516" s="39">
        <f>A4515</f>
        <v>46048</v>
      </c>
      <c r="B4516" s="40"/>
      <c r="C4516" s="40"/>
      <c r="D4516" s="41"/>
      <c r="E4516" s="43">
        <f>C4516</f>
        <v>0</v>
      </c>
      <c r="F4516" s="42"/>
    </row>
    <row r="4517" spans="1:6">
      <c r="A4517" s="39">
        <f>A4516</f>
        <v>46048</v>
      </c>
      <c r="B4517" s="40"/>
      <c r="C4517" s="40"/>
      <c r="D4517" s="41"/>
      <c r="E4517" s="43">
        <f>C4517</f>
        <v>0</v>
      </c>
      <c r="F4517" s="42"/>
    </row>
    <row r="4518" spans="1:6">
      <c r="A4518" s="39">
        <f>A4517</f>
        <v>46048</v>
      </c>
      <c r="B4518" s="40"/>
      <c r="C4518" s="40"/>
      <c r="D4518" s="41"/>
      <c r="E4518" s="43">
        <f>C4518</f>
        <v>0</v>
      </c>
      <c r="F4518" s="42"/>
    </row>
    <row r="4519" spans="1:6">
      <c r="A4519" s="39">
        <f>A4518</f>
        <v>46048</v>
      </c>
      <c r="B4519" s="40"/>
      <c r="C4519" s="40"/>
      <c r="D4519" s="41"/>
      <c r="E4519" s="43">
        <f>C4519</f>
        <v>0</v>
      </c>
      <c r="F4519" s="42"/>
    </row>
    <row r="4520" spans="1:6">
      <c r="A4520" s="39">
        <f>A4519</f>
        <v>46048</v>
      </c>
      <c r="B4520" s="40"/>
      <c r="C4520" s="40"/>
      <c r="D4520" s="41"/>
      <c r="E4520" s="43">
        <f>C4520</f>
        <v>0</v>
      </c>
      <c r="F4520" s="42"/>
    </row>
    <row r="4521" spans="1:6">
      <c r="A4521" s="39">
        <f>A4520</f>
        <v>46048</v>
      </c>
      <c r="B4521" s="40"/>
      <c r="C4521" s="40"/>
      <c r="D4521" s="41"/>
      <c r="E4521" s="43">
        <f>C4521</f>
        <v>0</v>
      </c>
      <c r="F4521" s="42"/>
    </row>
    <row r="4522" spans="1:6">
      <c r="A4522" s="39">
        <f>A4521</f>
        <v>46048</v>
      </c>
      <c r="B4522" s="40"/>
      <c r="C4522" s="40"/>
      <c r="D4522" s="41"/>
      <c r="E4522" s="43">
        <f>C4522</f>
        <v>0</v>
      </c>
      <c r="F4522" s="42"/>
    </row>
    <row r="4523" spans="1:6">
      <c r="A4523" s="39">
        <f>A4522</f>
        <v>46048</v>
      </c>
      <c r="B4523" s="40"/>
      <c r="C4523" s="40"/>
      <c r="D4523" s="41"/>
      <c r="E4523" s="43">
        <f>C4523</f>
        <v>0</v>
      </c>
      <c r="F4523" s="42"/>
    </row>
    <row r="4524" spans="1:6">
      <c r="A4524" s="39">
        <f>A4523</f>
        <v>46048</v>
      </c>
      <c r="B4524" s="40"/>
      <c r="C4524" s="40"/>
      <c r="D4524" s="41"/>
      <c r="E4524" s="43">
        <f>C4524</f>
        <v>0</v>
      </c>
      <c r="F4524" s="42"/>
    </row>
    <row r="4525" spans="1:6">
      <c r="A4525" s="39">
        <f>A4524</f>
        <v>46048</v>
      </c>
      <c r="B4525" s="40"/>
      <c r="C4525" s="40"/>
      <c r="D4525" s="41"/>
      <c r="E4525" s="43">
        <f>C4525</f>
        <v>0</v>
      </c>
      <c r="F4525" s="42"/>
    </row>
    <row r="4526" spans="1:6">
      <c r="A4526" s="39">
        <f>A4525</f>
        <v>46048</v>
      </c>
      <c r="B4526" s="40"/>
      <c r="C4526" s="40"/>
      <c r="D4526" s="41"/>
      <c r="E4526" s="43">
        <f>C4526</f>
        <v>0</v>
      </c>
      <c r="F4526" s="42"/>
    </row>
    <row r="4527" spans="1:6">
      <c r="A4527" s="39">
        <f>A4526</f>
        <v>46048</v>
      </c>
      <c r="B4527" s="40"/>
      <c r="C4527" s="40"/>
      <c r="D4527" s="41"/>
      <c r="E4527" s="43">
        <f>C4527</f>
        <v>0</v>
      </c>
      <c r="F4527" s="42"/>
    </row>
    <row r="4528" spans="1:6">
      <c r="A4528" s="39">
        <f>A4527</f>
        <v>46048</v>
      </c>
      <c r="B4528" s="40"/>
      <c r="C4528" s="40"/>
      <c r="D4528" s="41"/>
      <c r="E4528" s="43">
        <f>C4528</f>
        <v>0</v>
      </c>
      <c r="F4528" s="42"/>
    </row>
    <row r="4529" spans="1:6">
      <c r="A4529" s="39">
        <f>A4528</f>
        <v>46048</v>
      </c>
      <c r="B4529" s="40"/>
      <c r="C4529" s="40"/>
      <c r="D4529" s="41"/>
      <c r="E4529" s="43">
        <f>C4529</f>
        <v>0</v>
      </c>
      <c r="F4529" s="42"/>
    </row>
    <row r="4530" spans="1:6">
      <c r="A4530" s="39">
        <f>A4529</f>
        <v>46048</v>
      </c>
      <c r="B4530" s="40"/>
      <c r="C4530" s="40"/>
      <c r="D4530" s="41"/>
      <c r="E4530" s="43">
        <f>C4530</f>
        <v>0</v>
      </c>
      <c r="F4530" s="42"/>
    </row>
    <row r="4531" spans="1:6">
      <c r="A4531" s="39">
        <f>A4530</f>
        <v>46048</v>
      </c>
      <c r="B4531" s="40"/>
      <c r="C4531" s="40"/>
      <c r="D4531" s="41"/>
      <c r="E4531" s="43">
        <f>C4531</f>
        <v>0</v>
      </c>
      <c r="F4531" s="42"/>
    </row>
    <row r="4532" spans="1:6">
      <c r="A4532" s="39">
        <f>A4531</f>
        <v>46048</v>
      </c>
      <c r="B4532" s="40"/>
      <c r="C4532" s="40"/>
      <c r="D4532" s="41"/>
      <c r="E4532" s="43">
        <f>C4532</f>
        <v>0</v>
      </c>
      <c r="F4532" s="42"/>
    </row>
    <row r="4533" spans="1:6">
      <c r="A4533" s="39">
        <f>A4532</f>
        <v>46048</v>
      </c>
      <c r="B4533" s="40"/>
      <c r="C4533" s="40"/>
      <c r="D4533" s="41"/>
      <c r="E4533" s="43">
        <f>C4533</f>
        <v>0</v>
      </c>
      <c r="F4533" s="42"/>
    </row>
    <row r="4534" spans="1:6">
      <c r="A4534" s="39">
        <f>A4533</f>
        <v>46048</v>
      </c>
      <c r="B4534" s="40"/>
      <c r="C4534" s="40"/>
      <c r="D4534" s="41"/>
      <c r="E4534" s="43">
        <f>C4534</f>
        <v>0</v>
      </c>
      <c r="F4534" s="42"/>
    </row>
    <row r="4535" spans="1:6">
      <c r="A4535" s="39">
        <f>A4534</f>
        <v>46048</v>
      </c>
      <c r="B4535" s="40"/>
      <c r="C4535" s="40"/>
      <c r="D4535" s="41"/>
      <c r="E4535" s="43">
        <f>C4535</f>
        <v>0</v>
      </c>
      <c r="F4535" s="42"/>
    </row>
    <row r="4536" spans="1:6">
      <c r="A4536" s="39">
        <f>A4535</f>
        <v>46048</v>
      </c>
      <c r="B4536" s="40"/>
      <c r="C4536" s="40"/>
      <c r="D4536" s="41"/>
      <c r="E4536" s="43">
        <f>C4536</f>
        <v>0</v>
      </c>
      <c r="F4536" s="42"/>
    </row>
    <row r="4537" spans="1:6">
      <c r="A4537" s="39">
        <f>A4536</f>
        <v>46048</v>
      </c>
      <c r="B4537" s="40"/>
      <c r="C4537" s="40"/>
      <c r="D4537" s="41"/>
      <c r="E4537" s="43">
        <f>C4537</f>
        <v>0</v>
      </c>
      <c r="F4537" s="42"/>
    </row>
    <row r="4538" spans="1:6">
      <c r="A4538" s="39">
        <f>A4537</f>
        <v>46048</v>
      </c>
      <c r="B4538" s="40"/>
      <c r="C4538" s="40"/>
      <c r="D4538" s="41"/>
      <c r="E4538" s="43">
        <f>C4538</f>
        <v>0</v>
      </c>
      <c r="F4538" s="42"/>
    </row>
    <row r="4539" spans="1:6">
      <c r="A4539" s="39">
        <f>A4538</f>
        <v>46048</v>
      </c>
      <c r="B4539" s="40"/>
      <c r="C4539" s="40"/>
      <c r="D4539" s="41"/>
      <c r="E4539" s="43">
        <f>C4539</f>
        <v>0</v>
      </c>
      <c r="F4539" s="42"/>
    </row>
    <row r="4540" spans="1:6">
      <c r="A4540" s="39">
        <f>A4539</f>
        <v>46048</v>
      </c>
      <c r="B4540" s="40"/>
      <c r="C4540" s="40"/>
      <c r="D4540" s="41"/>
      <c r="E4540" s="43">
        <f>C4540</f>
        <v>0</v>
      </c>
      <c r="F4540" s="42"/>
    </row>
    <row r="4541" spans="1:6">
      <c r="A4541" s="39">
        <f>A4540</f>
        <v>46048</v>
      </c>
      <c r="B4541" s="40"/>
      <c r="C4541" s="40"/>
      <c r="D4541" s="41"/>
      <c r="E4541" s="43">
        <f>C4541</f>
        <v>0</v>
      </c>
      <c r="F4541" s="42"/>
    </row>
    <row r="4542" spans="1:6">
      <c r="A4542" s="39">
        <f>A4541</f>
        <v>46048</v>
      </c>
      <c r="B4542" s="40"/>
      <c r="C4542" s="40"/>
      <c r="D4542" s="41"/>
      <c r="E4542" s="43">
        <f>C4542</f>
        <v>0</v>
      </c>
      <c r="F4542" s="42"/>
    </row>
    <row r="4543" spans="1:6">
      <c r="A4543" s="39">
        <f>A4542</f>
        <v>46048</v>
      </c>
      <c r="B4543" s="40"/>
      <c r="C4543" s="40"/>
      <c r="D4543" s="41"/>
      <c r="E4543" s="43">
        <f>C4543</f>
        <v>0</v>
      </c>
      <c r="F4543" s="42"/>
    </row>
    <row r="4544" spans="1:6">
      <c r="A4544" s="39">
        <f>A4543</f>
        <v>46048</v>
      </c>
      <c r="B4544" s="40"/>
      <c r="C4544" s="40"/>
      <c r="D4544" s="41"/>
      <c r="E4544" s="43">
        <f>C4544</f>
        <v>0</v>
      </c>
      <c r="F4544" s="42"/>
    </row>
    <row r="4545" spans="1:6">
      <c r="A4545" s="39">
        <f>A4544</f>
        <v>46048</v>
      </c>
      <c r="B4545" s="40"/>
      <c r="C4545" s="40"/>
      <c r="D4545" s="41"/>
      <c r="E4545" s="43">
        <f>C4545</f>
        <v>0</v>
      </c>
      <c r="F4545" s="42"/>
    </row>
    <row r="4546" spans="1:6">
      <c r="A4546" s="39">
        <f>A4545</f>
        <v>46048</v>
      </c>
      <c r="B4546" s="40"/>
      <c r="C4546" s="40"/>
      <c r="D4546" s="41"/>
      <c r="E4546" s="43">
        <f>C4546</f>
        <v>0</v>
      </c>
      <c r="F4546" s="42"/>
    </row>
    <row r="4547" spans="1:6">
      <c r="A4547" s="39">
        <f>A4546</f>
        <v>46048</v>
      </c>
      <c r="B4547" s="40"/>
      <c r="C4547" s="40"/>
      <c r="D4547" s="41"/>
      <c r="E4547" s="43">
        <f>C4547</f>
        <v>0</v>
      </c>
      <c r="F4547" s="42"/>
    </row>
    <row r="4548" spans="1:6">
      <c r="A4548" s="39">
        <f>A4547</f>
        <v>46048</v>
      </c>
      <c r="B4548" s="40"/>
      <c r="C4548" s="40"/>
      <c r="D4548" s="41"/>
      <c r="E4548" s="43">
        <f>C4548</f>
        <v>0</v>
      </c>
      <c r="F4548" s="42"/>
    </row>
    <row r="4549" spans="1:6">
      <c r="A4549" s="39">
        <f>A4548</f>
        <v>46048</v>
      </c>
      <c r="B4549" s="40"/>
      <c r="C4549" s="40"/>
      <c r="D4549" s="41"/>
      <c r="E4549" s="43">
        <f>C4549</f>
        <v>0</v>
      </c>
      <c r="F4549" s="42"/>
    </row>
    <row r="4550" spans="1:6">
      <c r="A4550" s="39">
        <f>A4549</f>
        <v>46048</v>
      </c>
      <c r="B4550" s="40"/>
      <c r="C4550" s="40"/>
      <c r="D4550" s="41"/>
      <c r="E4550" s="43">
        <f>C4550</f>
        <v>0</v>
      </c>
      <c r="F4550" s="42"/>
    </row>
    <row r="4551" spans="1:6">
      <c r="A4551" s="39">
        <f>A4550</f>
        <v>46048</v>
      </c>
      <c r="B4551" s="40"/>
      <c r="C4551" s="40"/>
      <c r="D4551" s="41"/>
      <c r="E4551" s="43">
        <f>C4551</f>
        <v>0</v>
      </c>
      <c r="F4551" s="42"/>
    </row>
    <row r="4552" spans="1:6">
      <c r="A4552" s="39">
        <f>A4551</f>
        <v>46048</v>
      </c>
      <c r="B4552" s="40"/>
      <c r="C4552" s="40"/>
      <c r="D4552" s="41"/>
      <c r="E4552" s="43">
        <f>C4552</f>
        <v>0</v>
      </c>
      <c r="F4552" s="42"/>
    </row>
    <row r="4553" spans="1:6">
      <c r="A4553" s="39">
        <f>A4552</f>
        <v>46048</v>
      </c>
      <c r="B4553" s="40"/>
      <c r="C4553" s="40"/>
      <c r="D4553" s="41"/>
      <c r="E4553" s="43">
        <f>C4553</f>
        <v>0</v>
      </c>
      <c r="F4553" s="42"/>
    </row>
    <row r="4554" spans="1:6">
      <c r="A4554" s="39">
        <f>A4553</f>
        <v>46048</v>
      </c>
      <c r="B4554" s="40"/>
      <c r="C4554" s="40"/>
      <c r="D4554" s="41"/>
      <c r="E4554" s="43">
        <f>C4554</f>
        <v>0</v>
      </c>
      <c r="F4554" s="42"/>
    </row>
    <row r="4555" spans="1:6">
      <c r="A4555" s="39">
        <f>A4554</f>
        <v>46048</v>
      </c>
      <c r="B4555" s="40"/>
      <c r="C4555" s="40"/>
      <c r="D4555" s="41"/>
      <c r="E4555" s="43">
        <f>C4555</f>
        <v>0</v>
      </c>
      <c r="F4555" s="42"/>
    </row>
    <row r="4556" spans="1:6">
      <c r="A4556" s="39">
        <f>A4555</f>
        <v>46048</v>
      </c>
      <c r="B4556" s="40"/>
      <c r="C4556" s="40"/>
      <c r="D4556" s="41"/>
      <c r="E4556" s="43">
        <f>C4556</f>
        <v>0</v>
      </c>
      <c r="F4556" s="42"/>
    </row>
    <row r="4557" spans="1:6">
      <c r="A4557" s="39">
        <f>A4556</f>
        <v>46048</v>
      </c>
      <c r="B4557" s="40"/>
      <c r="C4557" s="40"/>
      <c r="D4557" s="41"/>
      <c r="E4557" s="43">
        <f>C4557</f>
        <v>0</v>
      </c>
      <c r="F4557" s="42"/>
    </row>
    <row r="4558" spans="1:6">
      <c r="A4558" s="39">
        <f>A4557</f>
        <v>46048</v>
      </c>
      <c r="B4558" s="40"/>
      <c r="C4558" s="40"/>
      <c r="D4558" s="41"/>
      <c r="E4558" s="43">
        <f>C4558</f>
        <v>0</v>
      </c>
      <c r="F4558" s="42"/>
    </row>
    <row r="4559" spans="1:6">
      <c r="A4559" s="39">
        <f>A4558</f>
        <v>46048</v>
      </c>
      <c r="B4559" s="40"/>
      <c r="C4559" s="40"/>
      <c r="D4559" s="41"/>
      <c r="E4559" s="43">
        <f>C4559</f>
        <v>0</v>
      </c>
      <c r="F4559" s="42"/>
    </row>
    <row r="4560" spans="1:6">
      <c r="A4560" s="39">
        <f>A4559</f>
        <v>46048</v>
      </c>
      <c r="B4560" s="40"/>
      <c r="C4560" s="40"/>
      <c r="D4560" s="41"/>
      <c r="E4560" s="43">
        <f>C4560</f>
        <v>0</v>
      </c>
      <c r="F4560" s="42"/>
    </row>
    <row r="4561" spans="1:6">
      <c r="A4561" s="39">
        <f>A4560</f>
        <v>46048</v>
      </c>
      <c r="B4561" s="40"/>
      <c r="C4561" s="40"/>
      <c r="D4561" s="41"/>
      <c r="E4561" s="43">
        <f>C4561</f>
        <v>0</v>
      </c>
      <c r="F4561" s="42"/>
    </row>
    <row r="4562" spans="1:6">
      <c r="A4562" s="39">
        <f>A4561</f>
        <v>46048</v>
      </c>
      <c r="B4562" s="40"/>
      <c r="C4562" s="40"/>
      <c r="D4562" s="41"/>
      <c r="E4562" s="43">
        <f>C4562</f>
        <v>0</v>
      </c>
      <c r="F4562" s="42"/>
    </row>
    <row r="4563" spans="1:6">
      <c r="A4563" s="39">
        <f>A4562</f>
        <v>46048</v>
      </c>
      <c r="B4563" s="40"/>
      <c r="C4563" s="40"/>
      <c r="D4563" s="41"/>
      <c r="E4563" s="43">
        <f>C4563</f>
        <v>0</v>
      </c>
      <c r="F4563" s="42"/>
    </row>
    <row r="4564" spans="1:6">
      <c r="A4564" s="39">
        <f>A4563</f>
        <v>46048</v>
      </c>
      <c r="B4564" s="40"/>
      <c r="C4564" s="40"/>
      <c r="D4564" s="41"/>
      <c r="E4564" s="43">
        <f>C4564</f>
        <v>0</v>
      </c>
      <c r="F4564" s="42"/>
    </row>
    <row r="4565" spans="1:6">
      <c r="A4565" s="39">
        <f>A4564</f>
        <v>46048</v>
      </c>
      <c r="B4565" s="40"/>
      <c r="C4565" s="40"/>
      <c r="D4565" s="41"/>
      <c r="E4565" s="43">
        <f>C4565</f>
        <v>0</v>
      </c>
      <c r="F4565" s="42"/>
    </row>
    <row r="4566" spans="1:6">
      <c r="A4566" s="39">
        <f>A4565</f>
        <v>46048</v>
      </c>
      <c r="B4566" s="40"/>
      <c r="C4566" s="40"/>
      <c r="D4566" s="41"/>
      <c r="E4566" s="43">
        <f>C4566</f>
        <v>0</v>
      </c>
      <c r="F4566" s="42"/>
    </row>
    <row r="4567" spans="1:6">
      <c r="A4567" s="39">
        <f>A4566</f>
        <v>46048</v>
      </c>
      <c r="B4567" s="40"/>
      <c r="C4567" s="40"/>
      <c r="D4567" s="41"/>
      <c r="E4567" s="43">
        <f>C4567</f>
        <v>0</v>
      </c>
      <c r="F4567" s="42"/>
    </row>
    <row r="4568" spans="1:6">
      <c r="A4568" s="39">
        <f>A4567</f>
        <v>46048</v>
      </c>
      <c r="B4568" s="40"/>
      <c r="C4568" s="40"/>
      <c r="D4568" s="41"/>
      <c r="E4568" s="43">
        <f>C4568</f>
        <v>0</v>
      </c>
      <c r="F4568" s="42"/>
    </row>
    <row r="4569" spans="1:6">
      <c r="A4569" s="39">
        <f>A4568</f>
        <v>46048</v>
      </c>
      <c r="B4569" s="40"/>
      <c r="C4569" s="40"/>
      <c r="D4569" s="41"/>
      <c r="E4569" s="43">
        <f>C4569</f>
        <v>0</v>
      </c>
      <c r="F4569" s="42"/>
    </row>
    <row r="4570" spans="1:6">
      <c r="A4570" s="39">
        <f>A4569</f>
        <v>46048</v>
      </c>
      <c r="B4570" s="40"/>
      <c r="C4570" s="40"/>
      <c r="D4570" s="41"/>
      <c r="E4570" s="43">
        <f>C4570</f>
        <v>0</v>
      </c>
      <c r="F4570" s="42"/>
    </row>
    <row r="4571" spans="1:6">
      <c r="A4571" s="39">
        <f>A4570</f>
        <v>46048</v>
      </c>
      <c r="B4571" s="40"/>
      <c r="C4571" s="40"/>
      <c r="D4571" s="41"/>
      <c r="E4571" s="43">
        <f>C4571</f>
        <v>0</v>
      </c>
      <c r="F4571" s="42"/>
    </row>
    <row r="4572" spans="1:6">
      <c r="A4572" s="39">
        <f>A4571</f>
        <v>46048</v>
      </c>
      <c r="B4572" s="40"/>
      <c r="C4572" s="40"/>
      <c r="D4572" s="41"/>
      <c r="E4572" s="43">
        <f>C4572</f>
        <v>0</v>
      </c>
      <c r="F4572" s="42"/>
    </row>
    <row r="4573" spans="1:6">
      <c r="A4573" s="39">
        <f>A4572</f>
        <v>46048</v>
      </c>
      <c r="B4573" s="40"/>
      <c r="C4573" s="40"/>
      <c r="D4573" s="41"/>
      <c r="E4573" s="43">
        <f>C4573</f>
        <v>0</v>
      </c>
      <c r="F4573" s="42"/>
    </row>
    <row r="4574" spans="1:6">
      <c r="A4574" s="39">
        <f>A4573</f>
        <v>46048</v>
      </c>
      <c r="B4574" s="40"/>
      <c r="C4574" s="40"/>
      <c r="D4574" s="41"/>
      <c r="E4574" s="43">
        <f>C4574</f>
        <v>0</v>
      </c>
      <c r="F4574" s="42"/>
    </row>
    <row r="4575" spans="1:6">
      <c r="A4575" s="39">
        <f>A4574</f>
        <v>46048</v>
      </c>
      <c r="B4575" s="40"/>
      <c r="C4575" s="40"/>
      <c r="D4575" s="41"/>
      <c r="E4575" s="43">
        <f>C4575</f>
        <v>0</v>
      </c>
      <c r="F4575" s="42"/>
    </row>
    <row r="4576" spans="1:6">
      <c r="A4576" s="39">
        <f>A4575</f>
        <v>46048</v>
      </c>
      <c r="B4576" s="40"/>
      <c r="C4576" s="40"/>
      <c r="D4576" s="41"/>
      <c r="E4576" s="43">
        <f>C4576</f>
        <v>0</v>
      </c>
      <c r="F4576" s="42"/>
    </row>
    <row r="4577" spans="1:6">
      <c r="A4577" s="39">
        <f>A4576</f>
        <v>46048</v>
      </c>
      <c r="B4577" s="40"/>
      <c r="C4577" s="40"/>
      <c r="D4577" s="41"/>
      <c r="E4577" s="43">
        <f>C4577</f>
        <v>0</v>
      </c>
      <c r="F4577" s="42"/>
    </row>
    <row r="4578" spans="1:6">
      <c r="A4578" s="39">
        <f>A4577</f>
        <v>46048</v>
      </c>
      <c r="B4578" s="40"/>
      <c r="C4578" s="40"/>
      <c r="D4578" s="41"/>
      <c r="E4578" s="43">
        <f>C4578</f>
        <v>0</v>
      </c>
      <c r="F4578" s="42"/>
    </row>
    <row r="4579" spans="1:6">
      <c r="A4579" s="39">
        <f>A4578</f>
        <v>46048</v>
      </c>
      <c r="B4579" s="40"/>
      <c r="C4579" s="40"/>
      <c r="D4579" s="41"/>
      <c r="E4579" s="43">
        <f>C4579</f>
        <v>0</v>
      </c>
      <c r="F4579" s="42"/>
    </row>
    <row r="4580" spans="1:6">
      <c r="A4580" s="39">
        <f>A4579</f>
        <v>46048</v>
      </c>
      <c r="B4580" s="40"/>
      <c r="C4580" s="40"/>
      <c r="D4580" s="41"/>
      <c r="E4580" s="43">
        <f>C4580</f>
        <v>0</v>
      </c>
      <c r="F4580" s="42"/>
    </row>
    <row r="4581" spans="1:6">
      <c r="A4581" s="39">
        <f>A4580</f>
        <v>46048</v>
      </c>
      <c r="B4581" s="40"/>
      <c r="C4581" s="40"/>
      <c r="D4581" s="41"/>
      <c r="E4581" s="43">
        <f>C4581</f>
        <v>0</v>
      </c>
      <c r="F4581" s="42"/>
    </row>
    <row r="4582" spans="1:6">
      <c r="A4582" s="39">
        <f>A4581</f>
        <v>46048</v>
      </c>
      <c r="B4582" s="40"/>
      <c r="C4582" s="40"/>
      <c r="D4582" s="41"/>
      <c r="E4582" s="43">
        <f>C4582</f>
        <v>0</v>
      </c>
      <c r="F4582" s="42"/>
    </row>
    <row r="4583" spans="1:6">
      <c r="A4583" s="39">
        <f>A4582</f>
        <v>46048</v>
      </c>
      <c r="B4583" s="40"/>
      <c r="C4583" s="40"/>
      <c r="D4583" s="41"/>
      <c r="E4583" s="43">
        <f>C4583</f>
        <v>0</v>
      </c>
      <c r="F4583" s="42"/>
    </row>
    <row r="4584" spans="1:6">
      <c r="A4584" s="39">
        <f>A4583</f>
        <v>46048</v>
      </c>
      <c r="B4584" s="40"/>
      <c r="C4584" s="40"/>
      <c r="D4584" s="41"/>
      <c r="E4584" s="43">
        <f>C4584</f>
        <v>0</v>
      </c>
      <c r="F4584" s="42"/>
    </row>
    <row r="4585" spans="1:6">
      <c r="A4585" s="39">
        <f>A4584</f>
        <v>46048</v>
      </c>
      <c r="B4585" s="40"/>
      <c r="C4585" s="40"/>
      <c r="D4585" s="41"/>
      <c r="E4585" s="43">
        <f>C4585</f>
        <v>0</v>
      </c>
      <c r="F4585" s="42"/>
    </row>
    <row r="4586" spans="1:6">
      <c r="A4586" s="39">
        <f>A4585</f>
        <v>46048</v>
      </c>
      <c r="B4586" s="40"/>
      <c r="C4586" s="40"/>
      <c r="D4586" s="41"/>
      <c r="E4586" s="43">
        <f>C4586</f>
        <v>0</v>
      </c>
      <c r="F4586" s="42"/>
    </row>
    <row r="4587" spans="1:6">
      <c r="A4587" s="39">
        <f>A4586</f>
        <v>46048</v>
      </c>
      <c r="B4587" s="40"/>
      <c r="C4587" s="40"/>
      <c r="D4587" s="41"/>
      <c r="E4587" s="43">
        <f>C4587</f>
        <v>0</v>
      </c>
      <c r="F4587" s="42"/>
    </row>
    <row r="4588" spans="1:6">
      <c r="A4588" s="39">
        <f>A4587</f>
        <v>46048</v>
      </c>
      <c r="B4588" s="40"/>
      <c r="C4588" s="40"/>
      <c r="D4588" s="41"/>
      <c r="E4588" s="43">
        <f>C4588</f>
        <v>0</v>
      </c>
      <c r="F4588" s="42"/>
    </row>
    <row r="4589" spans="1:6">
      <c r="A4589" s="39">
        <f>A4588</f>
        <v>46048</v>
      </c>
      <c r="B4589" s="40"/>
      <c r="C4589" s="40"/>
      <c r="D4589" s="41"/>
      <c r="E4589" s="43">
        <f>C4589</f>
        <v>0</v>
      </c>
      <c r="F4589" s="42"/>
    </row>
    <row r="4590" spans="1:6">
      <c r="A4590" s="39">
        <f>A4589</f>
        <v>46048</v>
      </c>
      <c r="B4590" s="40"/>
      <c r="C4590" s="40"/>
      <c r="D4590" s="41"/>
      <c r="E4590" s="43">
        <f>C4590</f>
        <v>0</v>
      </c>
      <c r="F4590" s="42"/>
    </row>
    <row r="4591" spans="1:6">
      <c r="A4591" s="39">
        <f>A4590</f>
        <v>46048</v>
      </c>
      <c r="B4591" s="40"/>
      <c r="C4591" s="40"/>
      <c r="D4591" s="41"/>
      <c r="E4591" s="43">
        <f>C4591</f>
        <v>0</v>
      </c>
      <c r="F4591" s="42"/>
    </row>
    <row r="4592" spans="1:6">
      <c r="A4592" s="39">
        <f>A4591</f>
        <v>46048</v>
      </c>
      <c r="B4592" s="40"/>
      <c r="C4592" s="40"/>
      <c r="D4592" s="41"/>
      <c r="E4592" s="43">
        <f>C4592</f>
        <v>0</v>
      </c>
      <c r="F4592" s="42"/>
    </row>
    <row r="4593" spans="1:6">
      <c r="A4593" s="39">
        <f>A4592</f>
        <v>46048</v>
      </c>
      <c r="B4593" s="40"/>
      <c r="C4593" s="40"/>
      <c r="D4593" s="41"/>
      <c r="E4593" s="43">
        <f>C4593</f>
        <v>0</v>
      </c>
      <c r="F4593" s="42"/>
    </row>
    <row r="4594" spans="1:6">
      <c r="A4594" s="39">
        <f>A4593</f>
        <v>46048</v>
      </c>
      <c r="B4594" s="40"/>
      <c r="C4594" s="40"/>
      <c r="D4594" s="41"/>
      <c r="E4594" s="43">
        <f>C4594</f>
        <v>0</v>
      </c>
      <c r="F4594" s="42"/>
    </row>
    <row r="4595" spans="1:6">
      <c r="A4595" s="39">
        <f>A4594</f>
        <v>46048</v>
      </c>
      <c r="B4595" s="40"/>
      <c r="C4595" s="40"/>
      <c r="D4595" s="41"/>
      <c r="E4595" s="43">
        <f>C4595</f>
        <v>0</v>
      </c>
      <c r="F4595" s="42"/>
    </row>
    <row r="4596" spans="1:6">
      <c r="A4596" s="39">
        <f>A4595</f>
        <v>46048</v>
      </c>
      <c r="B4596" s="40"/>
      <c r="C4596" s="40"/>
      <c r="D4596" s="41"/>
      <c r="E4596" s="43">
        <f>C4596</f>
        <v>0</v>
      </c>
      <c r="F4596" s="42"/>
    </row>
    <row r="4597" spans="1:6">
      <c r="A4597" s="39">
        <f>A4596</f>
        <v>46048</v>
      </c>
      <c r="B4597" s="40"/>
      <c r="C4597" s="40"/>
      <c r="D4597" s="41"/>
      <c r="E4597" s="43">
        <f>C4597</f>
        <v>0</v>
      </c>
      <c r="F4597" s="42"/>
    </row>
    <row r="4598" spans="1:6">
      <c r="A4598" s="39">
        <f>A4597</f>
        <v>46048</v>
      </c>
      <c r="B4598" s="40"/>
      <c r="C4598" s="40"/>
      <c r="D4598" s="41"/>
      <c r="E4598" s="43">
        <f>C4598</f>
        <v>0</v>
      </c>
      <c r="F4598" s="42"/>
    </row>
    <row r="4599" spans="1:6">
      <c r="A4599" s="39">
        <f>A4598</f>
        <v>46048</v>
      </c>
      <c r="B4599" s="40"/>
      <c r="C4599" s="40"/>
      <c r="D4599" s="41"/>
      <c r="E4599" s="43">
        <f>C4599</f>
        <v>0</v>
      </c>
      <c r="F4599" s="42"/>
    </row>
    <row r="4600" spans="1:6">
      <c r="A4600" s="39">
        <f>A4599</f>
        <v>46048</v>
      </c>
      <c r="B4600" s="40"/>
      <c r="C4600" s="40"/>
      <c r="D4600" s="41"/>
      <c r="E4600" s="43">
        <f>C4600</f>
        <v>0</v>
      </c>
      <c r="F4600" s="42"/>
    </row>
    <row r="4601" spans="1:6">
      <c r="A4601" s="39">
        <f>A4600</f>
        <v>46048</v>
      </c>
      <c r="B4601" s="40"/>
      <c r="C4601" s="40"/>
      <c r="D4601" s="41"/>
      <c r="E4601" s="43">
        <f>C4601</f>
        <v>0</v>
      </c>
      <c r="F4601" s="42"/>
    </row>
    <row r="4602" spans="1:6">
      <c r="A4602" s="39">
        <f>A4601</f>
        <v>46048</v>
      </c>
      <c r="B4602" s="40"/>
      <c r="C4602" s="40"/>
      <c r="D4602" s="41"/>
      <c r="E4602" s="43">
        <f>C4602</f>
        <v>0</v>
      </c>
      <c r="F4602" s="42"/>
    </row>
    <row r="4603" spans="1:6">
      <c r="A4603" s="39">
        <f>A4602</f>
        <v>46048</v>
      </c>
      <c r="B4603" s="40"/>
      <c r="C4603" s="40"/>
      <c r="D4603" s="41"/>
      <c r="E4603" s="43">
        <f>C4603</f>
        <v>0</v>
      </c>
      <c r="F4603" s="42"/>
    </row>
    <row r="4604" spans="1:6">
      <c r="A4604" s="39">
        <f>A4603</f>
        <v>46048</v>
      </c>
      <c r="B4604" s="40"/>
      <c r="C4604" s="40"/>
      <c r="D4604" s="41"/>
      <c r="E4604" s="43">
        <f>C4604</f>
        <v>0</v>
      </c>
      <c r="F4604" s="42"/>
    </row>
    <row r="4605" spans="1:6">
      <c r="A4605" s="39">
        <f>A4604</f>
        <v>46048</v>
      </c>
      <c r="B4605" s="40"/>
      <c r="C4605" s="40"/>
      <c r="D4605" s="41"/>
      <c r="E4605" s="43">
        <f>C4605</f>
        <v>0</v>
      </c>
      <c r="F4605" s="42"/>
    </row>
    <row r="4606" spans="1:6">
      <c r="A4606" s="39">
        <f>A4605</f>
        <v>46048</v>
      </c>
      <c r="B4606" s="40"/>
      <c r="C4606" s="40"/>
      <c r="D4606" s="41"/>
      <c r="E4606" s="43">
        <f>C4606</f>
        <v>0</v>
      </c>
      <c r="F4606" s="42"/>
    </row>
    <row r="4607" spans="1:6">
      <c r="A4607" s="39">
        <f>A4606</f>
        <v>46048</v>
      </c>
      <c r="B4607" s="40"/>
      <c r="C4607" s="40"/>
      <c r="D4607" s="41"/>
      <c r="E4607" s="43">
        <f>C4607</f>
        <v>0</v>
      </c>
      <c r="F4607" s="42"/>
    </row>
    <row r="4608" spans="1:6">
      <c r="A4608" s="39">
        <f>A4607</f>
        <v>46048</v>
      </c>
      <c r="B4608" s="40"/>
      <c r="C4608" s="40"/>
      <c r="D4608" s="41"/>
      <c r="E4608" s="43">
        <f>C4608</f>
        <v>0</v>
      </c>
      <c r="F4608" s="42"/>
    </row>
    <row r="4609" spans="1:6">
      <c r="A4609" s="39">
        <f>A4608</f>
        <v>46048</v>
      </c>
      <c r="B4609" s="40"/>
      <c r="C4609" s="40"/>
      <c r="D4609" s="41"/>
      <c r="E4609" s="43">
        <f>C4609</f>
        <v>0</v>
      </c>
      <c r="F4609" s="42"/>
    </row>
    <row r="4610" spans="1:6">
      <c r="A4610" s="39">
        <f>A4609</f>
        <v>46048</v>
      </c>
      <c r="B4610" s="40"/>
      <c r="C4610" s="40"/>
      <c r="D4610" s="41"/>
      <c r="E4610" s="43">
        <f>C4610</f>
        <v>0</v>
      </c>
      <c r="F4610" s="42"/>
    </row>
    <row r="4611" spans="1:6">
      <c r="A4611" s="39">
        <f>A4610</f>
        <v>46048</v>
      </c>
      <c r="B4611" s="40"/>
      <c r="C4611" s="40"/>
      <c r="D4611" s="41"/>
      <c r="E4611" s="43">
        <f>C4611</f>
        <v>0</v>
      </c>
      <c r="F4611" s="42"/>
    </row>
    <row r="4612" spans="1:6">
      <c r="A4612" s="39">
        <f>A4611</f>
        <v>46048</v>
      </c>
      <c r="B4612" s="40"/>
      <c r="C4612" s="40"/>
      <c r="D4612" s="41"/>
      <c r="E4612" s="43">
        <f>C4612</f>
        <v>0</v>
      </c>
      <c r="F4612" s="42"/>
    </row>
    <row r="4613" spans="1:6">
      <c r="A4613" s="39">
        <f>A4612</f>
        <v>46048</v>
      </c>
      <c r="B4613" s="40"/>
      <c r="C4613" s="40"/>
      <c r="D4613" s="41"/>
      <c r="E4613" s="43">
        <f>C4613</f>
        <v>0</v>
      </c>
      <c r="F4613" s="42"/>
    </row>
    <row r="4614" spans="1:6">
      <c r="A4614" s="39">
        <f>A4613</f>
        <v>46048</v>
      </c>
      <c r="B4614" s="40"/>
      <c r="C4614" s="40"/>
      <c r="D4614" s="41"/>
      <c r="E4614" s="43">
        <f>C4614</f>
        <v>0</v>
      </c>
      <c r="F4614" s="42"/>
    </row>
    <row r="4615" spans="1:6">
      <c r="A4615" s="39">
        <f>A4614</f>
        <v>46048</v>
      </c>
      <c r="B4615" s="40"/>
      <c r="C4615" s="40"/>
      <c r="D4615" s="41"/>
      <c r="E4615" s="43">
        <f>C4615</f>
        <v>0</v>
      </c>
      <c r="F4615" s="42"/>
    </row>
    <row r="4616" spans="1:6">
      <c r="A4616" s="39">
        <f>A4615</f>
        <v>46048</v>
      </c>
      <c r="B4616" s="40"/>
      <c r="C4616" s="40"/>
      <c r="D4616" s="41"/>
      <c r="E4616" s="43">
        <f>C4616</f>
        <v>0</v>
      </c>
      <c r="F4616" s="42"/>
    </row>
    <row r="4617" spans="1:6">
      <c r="A4617" s="39">
        <f>A4616</f>
        <v>46048</v>
      </c>
      <c r="B4617" s="40"/>
      <c r="C4617" s="40"/>
      <c r="D4617" s="41"/>
      <c r="E4617" s="43">
        <f>C4617</f>
        <v>0</v>
      </c>
      <c r="F4617" s="42"/>
    </row>
    <row r="4618" spans="1:6">
      <c r="A4618" s="39">
        <f>A4617</f>
        <v>46048</v>
      </c>
      <c r="B4618" s="40"/>
      <c r="C4618" s="40"/>
      <c r="D4618" s="41"/>
      <c r="E4618" s="43">
        <f>C4618</f>
        <v>0</v>
      </c>
      <c r="F4618" s="42"/>
    </row>
    <row r="4619" spans="1:6">
      <c r="A4619" s="39">
        <f>A4618</f>
        <v>46048</v>
      </c>
      <c r="B4619" s="40"/>
      <c r="C4619" s="40"/>
      <c r="D4619" s="41"/>
      <c r="E4619" s="43">
        <f>C4619</f>
        <v>0</v>
      </c>
      <c r="F4619" s="42"/>
    </row>
    <row r="4620" spans="1:6">
      <c r="A4620" s="39">
        <f>A4619</f>
        <v>46048</v>
      </c>
      <c r="B4620" s="40"/>
      <c r="C4620" s="40"/>
      <c r="D4620" s="41"/>
      <c r="E4620" s="43">
        <f>C4620</f>
        <v>0</v>
      </c>
      <c r="F4620" s="42"/>
    </row>
    <row r="4621" spans="1:6">
      <c r="A4621" s="39">
        <f>A4620</f>
        <v>46048</v>
      </c>
      <c r="B4621" s="40"/>
      <c r="C4621" s="40"/>
      <c r="D4621" s="41"/>
      <c r="E4621" s="43">
        <f>C4621</f>
        <v>0</v>
      </c>
      <c r="F4621" s="42"/>
    </row>
    <row r="4622" spans="1:6">
      <c r="A4622" s="39">
        <f>A4621</f>
        <v>46048</v>
      </c>
      <c r="B4622" s="40"/>
      <c r="C4622" s="40"/>
      <c r="D4622" s="41"/>
      <c r="E4622" s="43">
        <f>C4622</f>
        <v>0</v>
      </c>
      <c r="F4622" s="42"/>
    </row>
    <row r="4623" spans="1:6">
      <c r="A4623" s="39">
        <f>A4622</f>
        <v>46048</v>
      </c>
      <c r="B4623" s="40"/>
      <c r="C4623" s="40"/>
      <c r="D4623" s="41"/>
      <c r="E4623" s="43">
        <f>C4623</f>
        <v>0</v>
      </c>
      <c r="F4623" s="42"/>
    </row>
    <row r="4624" spans="1:6">
      <c r="A4624" s="39">
        <f>A4623</f>
        <v>46048</v>
      </c>
      <c r="B4624" s="40"/>
      <c r="C4624" s="40"/>
      <c r="D4624" s="41"/>
      <c r="E4624" s="43">
        <f>C4624</f>
        <v>0</v>
      </c>
      <c r="F4624" s="42"/>
    </row>
    <row r="4625" spans="1:6">
      <c r="A4625" s="39">
        <f>A4624</f>
        <v>46048</v>
      </c>
      <c r="B4625" s="40"/>
      <c r="C4625" s="40"/>
      <c r="D4625" s="41"/>
      <c r="E4625" s="43">
        <f>C4625</f>
        <v>0</v>
      </c>
      <c r="F4625" s="42"/>
    </row>
    <row r="4626" spans="1:6">
      <c r="A4626" s="39">
        <f>A4625</f>
        <v>46048</v>
      </c>
      <c r="B4626" s="40"/>
      <c r="C4626" s="40"/>
      <c r="D4626" s="41"/>
      <c r="E4626" s="43">
        <f>C4626</f>
        <v>0</v>
      </c>
      <c r="F4626" s="42"/>
    </row>
    <row r="4627" spans="1:6">
      <c r="A4627" s="39">
        <f>A4626</f>
        <v>46048</v>
      </c>
      <c r="B4627" s="40"/>
      <c r="C4627" s="40"/>
      <c r="D4627" s="41"/>
      <c r="E4627" s="43">
        <f>C4627</f>
        <v>0</v>
      </c>
      <c r="F4627" s="42"/>
    </row>
    <row r="4628" spans="1:6">
      <c r="A4628" s="39">
        <f>A4627</f>
        <v>46048</v>
      </c>
      <c r="B4628" s="40"/>
      <c r="C4628" s="40"/>
      <c r="D4628" s="41"/>
      <c r="E4628" s="43">
        <f>C4628</f>
        <v>0</v>
      </c>
      <c r="F4628" s="42"/>
    </row>
    <row r="4629" spans="1:6">
      <c r="A4629" s="39">
        <f>A4628</f>
        <v>46048</v>
      </c>
      <c r="B4629" s="40"/>
      <c r="C4629" s="40"/>
      <c r="D4629" s="41"/>
      <c r="E4629" s="43">
        <f>C4629</f>
        <v>0</v>
      </c>
      <c r="F4629" s="42"/>
    </row>
    <row r="4630" spans="1:6">
      <c r="A4630" s="39">
        <f>A4629</f>
        <v>46048</v>
      </c>
      <c r="B4630" s="40"/>
      <c r="C4630" s="40"/>
      <c r="D4630" s="41"/>
      <c r="E4630" s="43">
        <f>C4630</f>
        <v>0</v>
      </c>
      <c r="F4630" s="42"/>
    </row>
    <row r="4631" spans="1:6">
      <c r="A4631" s="39">
        <f>A4630</f>
        <v>46048</v>
      </c>
      <c r="B4631" s="40"/>
      <c r="C4631" s="40"/>
      <c r="D4631" s="41"/>
      <c r="E4631" s="43">
        <f>C4631</f>
        <v>0</v>
      </c>
      <c r="F4631" s="42"/>
    </row>
    <row r="4632" spans="1:6">
      <c r="A4632" s="39">
        <f>A4631</f>
        <v>46048</v>
      </c>
      <c r="B4632" s="40"/>
      <c r="C4632" s="40"/>
      <c r="D4632" s="41"/>
      <c r="E4632" s="43">
        <f>C4632</f>
        <v>0</v>
      </c>
      <c r="F4632" s="42"/>
    </row>
    <row r="4633" spans="1:6">
      <c r="A4633" s="39">
        <f>A4632</f>
        <v>46048</v>
      </c>
      <c r="B4633" s="40"/>
      <c r="C4633" s="40"/>
      <c r="D4633" s="41"/>
      <c r="E4633" s="43">
        <f>C4633</f>
        <v>0</v>
      </c>
      <c r="F4633" s="42"/>
    </row>
    <row r="4634" spans="1:6">
      <c r="A4634" s="39">
        <f>A4633</f>
        <v>46048</v>
      </c>
      <c r="B4634" s="40"/>
      <c r="C4634" s="40"/>
      <c r="D4634" s="41"/>
      <c r="E4634" s="43">
        <f>C4634</f>
        <v>0</v>
      </c>
      <c r="F4634" s="42"/>
    </row>
    <row r="4635" spans="1:6">
      <c r="A4635" s="39">
        <f>A4634</f>
        <v>46048</v>
      </c>
      <c r="B4635" s="40"/>
      <c r="C4635" s="40"/>
      <c r="D4635" s="41"/>
      <c r="E4635" s="43">
        <f>C4635</f>
        <v>0</v>
      </c>
      <c r="F4635" s="42"/>
    </row>
    <row r="4636" spans="1:6">
      <c r="A4636" s="39">
        <f>A4635</f>
        <v>46048</v>
      </c>
      <c r="B4636" s="40"/>
      <c r="C4636" s="40"/>
      <c r="D4636" s="41"/>
      <c r="E4636" s="43">
        <f>C4636</f>
        <v>0</v>
      </c>
      <c r="F4636" s="42"/>
    </row>
    <row r="4637" spans="1:6">
      <c r="A4637" s="39">
        <f>A4636</f>
        <v>46048</v>
      </c>
      <c r="B4637" s="40"/>
      <c r="C4637" s="40"/>
      <c r="D4637" s="41"/>
      <c r="E4637" s="43">
        <f>C4637</f>
        <v>0</v>
      </c>
      <c r="F4637" s="42"/>
    </row>
    <row r="4638" spans="1:6">
      <c r="A4638" s="39">
        <f>A4637</f>
        <v>46048</v>
      </c>
      <c r="B4638" s="40"/>
      <c r="C4638" s="40"/>
      <c r="D4638" s="41"/>
      <c r="E4638" s="43">
        <f>C4638</f>
        <v>0</v>
      </c>
      <c r="F4638" s="42"/>
    </row>
    <row r="4639" spans="1:6">
      <c r="A4639" s="39">
        <f>A4638</f>
        <v>46048</v>
      </c>
      <c r="B4639" s="40"/>
      <c r="C4639" s="40"/>
      <c r="D4639" s="41"/>
      <c r="E4639" s="43">
        <f>C4639</f>
        <v>0</v>
      </c>
      <c r="F4639" s="42"/>
    </row>
    <row r="4640" spans="1:6">
      <c r="A4640" s="39">
        <f>A4639</f>
        <v>46048</v>
      </c>
      <c r="B4640" s="40"/>
      <c r="C4640" s="40"/>
      <c r="D4640" s="41"/>
      <c r="E4640" s="43">
        <f>C4640</f>
        <v>0</v>
      </c>
      <c r="F4640" s="42"/>
    </row>
    <row r="4641" spans="1:6">
      <c r="A4641" s="39">
        <f>A4640</f>
        <v>46048</v>
      </c>
      <c r="B4641" s="40"/>
      <c r="C4641" s="40"/>
      <c r="D4641" s="41"/>
      <c r="E4641" s="43">
        <f>C4641</f>
        <v>0</v>
      </c>
      <c r="F4641" s="42"/>
    </row>
    <row r="4642" spans="1:6">
      <c r="A4642" s="39">
        <f>A4641</f>
        <v>46048</v>
      </c>
      <c r="B4642" s="40"/>
      <c r="C4642" s="40"/>
      <c r="D4642" s="41"/>
      <c r="E4642" s="43">
        <f>C4642</f>
        <v>0</v>
      </c>
      <c r="F4642" s="42"/>
    </row>
    <row r="4643" spans="1:6">
      <c r="A4643" s="39">
        <f>A4642</f>
        <v>46048</v>
      </c>
      <c r="B4643" s="40"/>
      <c r="C4643" s="40"/>
      <c r="D4643" s="41"/>
      <c r="E4643" s="43">
        <f>C4643</f>
        <v>0</v>
      </c>
      <c r="F4643" s="42"/>
    </row>
    <row r="4644" spans="1:6">
      <c r="A4644" s="39">
        <f>A4643</f>
        <v>46048</v>
      </c>
      <c r="B4644" s="40"/>
      <c r="C4644" s="40"/>
      <c r="D4644" s="41"/>
      <c r="E4644" s="43">
        <f>C4644</f>
        <v>0</v>
      </c>
      <c r="F4644" s="42"/>
    </row>
    <row r="4645" spans="1:6">
      <c r="A4645" s="39">
        <f>A4644</f>
        <v>46048</v>
      </c>
      <c r="B4645" s="40"/>
      <c r="C4645" s="40"/>
      <c r="D4645" s="41"/>
      <c r="E4645" s="43">
        <f>C4645</f>
        <v>0</v>
      </c>
      <c r="F4645" s="42"/>
    </row>
    <row r="4646" spans="1:6">
      <c r="A4646" s="39">
        <f>A4645</f>
        <v>46048</v>
      </c>
      <c r="B4646" s="40"/>
      <c r="C4646" s="40"/>
      <c r="D4646" s="41"/>
      <c r="E4646" s="43">
        <f>C4646</f>
        <v>0</v>
      </c>
      <c r="F4646" s="42"/>
    </row>
    <row r="4647" spans="1:6">
      <c r="A4647" s="39">
        <f>A4646</f>
        <v>46048</v>
      </c>
      <c r="B4647" s="40"/>
      <c r="C4647" s="40"/>
      <c r="D4647" s="41"/>
      <c r="E4647" s="43">
        <f>C4647</f>
        <v>0</v>
      </c>
      <c r="F4647" s="42"/>
    </row>
    <row r="4648" spans="1:6">
      <c r="A4648" s="39">
        <f>A4647</f>
        <v>46048</v>
      </c>
      <c r="B4648" s="40"/>
      <c r="C4648" s="40"/>
      <c r="D4648" s="41"/>
      <c r="E4648" s="43">
        <f>C4648</f>
        <v>0</v>
      </c>
      <c r="F4648" s="42"/>
    </row>
    <row r="4649" spans="1:6">
      <c r="A4649" s="39">
        <f>A4648</f>
        <v>46048</v>
      </c>
      <c r="B4649" s="40"/>
      <c r="C4649" s="40"/>
      <c r="D4649" s="41"/>
      <c r="E4649" s="43">
        <f>C4649</f>
        <v>0</v>
      </c>
      <c r="F4649" s="42"/>
    </row>
    <row r="4650" spans="1:6">
      <c r="A4650" s="39">
        <f>A4649</f>
        <v>46048</v>
      </c>
      <c r="B4650" s="40"/>
      <c r="C4650" s="40"/>
      <c r="D4650" s="41"/>
      <c r="E4650" s="43">
        <f>C4650</f>
        <v>0</v>
      </c>
      <c r="F4650" s="42"/>
    </row>
    <row r="4651" spans="1:6">
      <c r="A4651" s="39">
        <f>A4650</f>
        <v>46048</v>
      </c>
      <c r="B4651" s="40"/>
      <c r="C4651" s="40"/>
      <c r="D4651" s="41"/>
      <c r="E4651" s="43">
        <f>C4651</f>
        <v>0</v>
      </c>
      <c r="F4651" s="42"/>
    </row>
    <row r="4652" spans="1:6">
      <c r="A4652" s="39">
        <f>A4651</f>
        <v>46048</v>
      </c>
      <c r="B4652" s="40"/>
      <c r="C4652" s="40"/>
      <c r="D4652" s="41"/>
      <c r="E4652" s="43">
        <f>C4652</f>
        <v>0</v>
      </c>
      <c r="F4652" s="42"/>
    </row>
    <row r="4653" spans="1:6">
      <c r="A4653" s="39">
        <f>A4652</f>
        <v>46048</v>
      </c>
      <c r="B4653" s="40"/>
      <c r="C4653" s="40"/>
      <c r="D4653" s="41"/>
      <c r="E4653" s="43">
        <f>C4653</f>
        <v>0</v>
      </c>
      <c r="F4653" s="42"/>
    </row>
    <row r="4654" spans="1:6">
      <c r="A4654" s="39">
        <f>A4653</f>
        <v>46048</v>
      </c>
      <c r="B4654" s="40"/>
      <c r="C4654" s="40"/>
      <c r="D4654" s="41"/>
      <c r="E4654" s="43">
        <f>C4654</f>
        <v>0</v>
      </c>
      <c r="F4654" s="42"/>
    </row>
    <row r="4655" spans="1:6">
      <c r="A4655" s="39">
        <f>A4654</f>
        <v>46048</v>
      </c>
      <c r="B4655" s="40"/>
      <c r="C4655" s="40"/>
      <c r="D4655" s="41"/>
      <c r="E4655" s="43">
        <f>C4655</f>
        <v>0</v>
      </c>
      <c r="F4655" s="42"/>
    </row>
    <row r="4656" spans="1:6">
      <c r="A4656" s="39">
        <f>A4655</f>
        <v>46048</v>
      </c>
      <c r="B4656" s="40"/>
      <c r="C4656" s="40"/>
      <c r="D4656" s="41"/>
      <c r="E4656" s="43">
        <f>C4656</f>
        <v>0</v>
      </c>
      <c r="F4656" s="42"/>
    </row>
    <row r="4657" spans="1:6">
      <c r="A4657" s="39">
        <f>A4656</f>
        <v>46048</v>
      </c>
      <c r="B4657" s="40"/>
      <c r="C4657" s="40"/>
      <c r="D4657" s="41"/>
      <c r="E4657" s="43">
        <f>C4657</f>
        <v>0</v>
      </c>
      <c r="F4657" s="42"/>
    </row>
    <row r="4658" spans="1:6">
      <c r="A4658" s="39">
        <f>A4657</f>
        <v>46048</v>
      </c>
      <c r="B4658" s="40"/>
      <c r="C4658" s="40"/>
      <c r="D4658" s="41"/>
      <c r="E4658" s="43">
        <f>C4658</f>
        <v>0</v>
      </c>
      <c r="F4658" s="42"/>
    </row>
    <row r="4659" spans="1:6">
      <c r="A4659" s="39">
        <f>A4658</f>
        <v>46048</v>
      </c>
      <c r="B4659" s="40"/>
      <c r="C4659" s="40"/>
      <c r="D4659" s="41"/>
      <c r="E4659" s="43">
        <f>C4659</f>
        <v>0</v>
      </c>
      <c r="F4659" s="42"/>
    </row>
    <row r="4660" spans="1:6">
      <c r="A4660" s="39">
        <f>A4659</f>
        <v>46048</v>
      </c>
      <c r="B4660" s="40"/>
      <c r="C4660" s="40"/>
      <c r="D4660" s="41"/>
      <c r="E4660" s="43">
        <f>C4660</f>
        <v>0</v>
      </c>
      <c r="F4660" s="42"/>
    </row>
    <row r="4661" spans="1:6">
      <c r="A4661" s="39">
        <f>A4660</f>
        <v>46048</v>
      </c>
      <c r="B4661" s="40"/>
      <c r="C4661" s="40"/>
      <c r="D4661" s="41"/>
      <c r="E4661" s="43">
        <f>C4661</f>
        <v>0</v>
      </c>
      <c r="F4661" s="42"/>
    </row>
    <row r="4662" spans="1:6">
      <c r="A4662" s="39">
        <f>A4661</f>
        <v>46048</v>
      </c>
      <c r="B4662" s="40"/>
      <c r="C4662" s="40"/>
      <c r="D4662" s="41"/>
      <c r="E4662" s="43">
        <f>C4662</f>
        <v>0</v>
      </c>
      <c r="F4662" s="42"/>
    </row>
    <row r="4663" spans="1:6">
      <c r="A4663" s="39">
        <f>A4662</f>
        <v>46048</v>
      </c>
      <c r="B4663" s="40"/>
      <c r="C4663" s="40"/>
      <c r="D4663" s="41"/>
      <c r="E4663" s="43">
        <f>C4663</f>
        <v>0</v>
      </c>
      <c r="F4663" s="42"/>
    </row>
    <row r="4664" spans="1:6">
      <c r="A4664" s="39">
        <f>A4663</f>
        <v>46048</v>
      </c>
      <c r="B4664" s="40"/>
      <c r="C4664" s="40"/>
      <c r="D4664" s="41"/>
      <c r="E4664" s="43">
        <f>C4664</f>
        <v>0</v>
      </c>
      <c r="F4664" s="42"/>
    </row>
    <row r="4665" spans="1:6">
      <c r="A4665" s="39">
        <f>A4664</f>
        <v>46048</v>
      </c>
      <c r="B4665" s="40"/>
      <c r="C4665" s="40"/>
      <c r="D4665" s="41"/>
      <c r="E4665" s="43">
        <f>C4665</f>
        <v>0</v>
      </c>
      <c r="F4665" s="42"/>
    </row>
    <row r="4666" spans="1:6">
      <c r="A4666" s="39">
        <f>A4665</f>
        <v>46048</v>
      </c>
      <c r="B4666" s="40"/>
      <c r="C4666" s="40"/>
      <c r="D4666" s="41"/>
      <c r="E4666" s="43">
        <f>C4666</f>
        <v>0</v>
      </c>
      <c r="F4666" s="42"/>
    </row>
    <row r="4667" spans="1:6">
      <c r="A4667" s="39">
        <f>A4666</f>
        <v>46048</v>
      </c>
      <c r="B4667" s="40"/>
      <c r="C4667" s="40"/>
      <c r="D4667" s="41"/>
      <c r="E4667" s="43">
        <f>C4667</f>
        <v>0</v>
      </c>
      <c r="F4667" s="42"/>
    </row>
    <row r="4668" spans="1:6">
      <c r="A4668" s="39">
        <f>A4667</f>
        <v>46048</v>
      </c>
      <c r="B4668" s="40"/>
      <c r="C4668" s="40"/>
      <c r="D4668" s="41"/>
      <c r="E4668" s="43">
        <f>C4668</f>
        <v>0</v>
      </c>
      <c r="F4668" s="42"/>
    </row>
    <row r="4669" spans="1:6">
      <c r="A4669" s="39">
        <f>A4668</f>
        <v>46048</v>
      </c>
      <c r="B4669" s="40"/>
      <c r="C4669" s="40"/>
      <c r="D4669" s="41"/>
      <c r="E4669" s="43">
        <f>C4669</f>
        <v>0</v>
      </c>
      <c r="F4669" s="42"/>
    </row>
    <row r="4670" spans="1:6">
      <c r="A4670" s="39">
        <f>A4669</f>
        <v>46048</v>
      </c>
      <c r="B4670" s="40"/>
      <c r="C4670" s="40"/>
      <c r="D4670" s="41"/>
      <c r="E4670" s="43">
        <f>C4670</f>
        <v>0</v>
      </c>
      <c r="F4670" s="42"/>
    </row>
    <row r="4671" spans="1:6">
      <c r="A4671" s="39">
        <f>A4670</f>
        <v>46048</v>
      </c>
      <c r="B4671" s="40"/>
      <c r="C4671" s="40"/>
      <c r="D4671" s="41"/>
      <c r="E4671" s="43">
        <f>C4671</f>
        <v>0</v>
      </c>
      <c r="F4671" s="42"/>
    </row>
    <row r="4672" spans="1:6">
      <c r="A4672" s="39">
        <f>A4671</f>
        <v>46048</v>
      </c>
      <c r="B4672" s="40"/>
      <c r="C4672" s="40"/>
      <c r="D4672" s="41"/>
      <c r="E4672" s="43">
        <f>C4672</f>
        <v>0</v>
      </c>
      <c r="F4672" s="42"/>
    </row>
    <row r="4673" spans="1:6">
      <c r="A4673" s="39">
        <f>A4672</f>
        <v>46048</v>
      </c>
      <c r="B4673" s="40"/>
      <c r="C4673" s="40"/>
      <c r="D4673" s="41"/>
      <c r="E4673" s="43">
        <f>C4673</f>
        <v>0</v>
      </c>
      <c r="F4673" s="42"/>
    </row>
    <row r="4674" spans="1:6">
      <c r="A4674" s="39">
        <f>A4673</f>
        <v>46048</v>
      </c>
      <c r="B4674" s="40"/>
      <c r="C4674" s="40"/>
      <c r="D4674" s="41"/>
      <c r="E4674" s="43">
        <f>C4674</f>
        <v>0</v>
      </c>
      <c r="F4674" s="42"/>
    </row>
    <row r="4675" spans="1:6">
      <c r="A4675" s="39">
        <f>A4674</f>
        <v>46048</v>
      </c>
      <c r="B4675" s="40"/>
      <c r="C4675" s="40"/>
      <c r="D4675" s="41"/>
      <c r="E4675" s="43">
        <f>C4675</f>
        <v>0</v>
      </c>
      <c r="F4675" s="42"/>
    </row>
    <row r="4676" spans="1:6">
      <c r="A4676" s="39">
        <f>A4675</f>
        <v>46048</v>
      </c>
      <c r="B4676" s="40"/>
      <c r="C4676" s="40"/>
      <c r="D4676" s="41"/>
      <c r="E4676" s="43">
        <f>C4676</f>
        <v>0</v>
      </c>
      <c r="F4676" s="42"/>
    </row>
    <row r="4677" spans="1:6">
      <c r="A4677" s="39">
        <f>A4676</f>
        <v>46048</v>
      </c>
      <c r="B4677" s="40"/>
      <c r="C4677" s="40"/>
      <c r="D4677" s="41"/>
      <c r="E4677" s="43">
        <f>C4677</f>
        <v>0</v>
      </c>
      <c r="F4677" s="42"/>
    </row>
    <row r="4678" spans="1:6">
      <c r="A4678" s="39">
        <f>A4677</f>
        <v>46048</v>
      </c>
      <c r="B4678" s="40"/>
      <c r="C4678" s="40"/>
      <c r="D4678" s="41"/>
      <c r="E4678" s="43">
        <f>C4678</f>
        <v>0</v>
      </c>
      <c r="F4678" s="42"/>
    </row>
    <row r="4679" spans="1:6">
      <c r="A4679" s="39">
        <f>A4678</f>
        <v>46048</v>
      </c>
      <c r="B4679" s="40"/>
      <c r="C4679" s="40"/>
      <c r="D4679" s="41"/>
      <c r="E4679" s="43">
        <f>C4679</f>
        <v>0</v>
      </c>
      <c r="F4679" s="42"/>
    </row>
    <row r="4680" spans="1:6">
      <c r="A4680" s="39">
        <f>A4679</f>
        <v>46048</v>
      </c>
      <c r="B4680" s="40"/>
      <c r="C4680" s="40"/>
      <c r="D4680" s="41"/>
      <c r="E4680" s="43">
        <f>C4680</f>
        <v>0</v>
      </c>
      <c r="F4680" s="42"/>
    </row>
    <row r="4681" spans="1:6">
      <c r="A4681" s="39">
        <f>A4680</f>
        <v>46048</v>
      </c>
      <c r="B4681" s="40"/>
      <c r="C4681" s="40"/>
      <c r="D4681" s="41"/>
      <c r="E4681" s="43">
        <f>C4681</f>
        <v>0</v>
      </c>
      <c r="F4681" s="42"/>
    </row>
    <row r="4682" spans="1:6">
      <c r="A4682" s="39">
        <f>A4681</f>
        <v>46048</v>
      </c>
      <c r="B4682" s="40"/>
      <c r="C4682" s="40"/>
      <c r="D4682" s="41"/>
      <c r="E4682" s="43">
        <f>C4682</f>
        <v>0</v>
      </c>
      <c r="F4682" s="42"/>
    </row>
    <row r="4683" spans="1:6">
      <c r="A4683" s="39">
        <f>A4682</f>
        <v>46048</v>
      </c>
      <c r="B4683" s="40"/>
      <c r="C4683" s="40"/>
      <c r="D4683" s="41"/>
      <c r="E4683" s="43">
        <f>C4683</f>
        <v>0</v>
      </c>
      <c r="F4683" s="42"/>
    </row>
    <row r="4684" spans="1:6">
      <c r="A4684" s="39">
        <f>A4683</f>
        <v>46048</v>
      </c>
      <c r="B4684" s="40"/>
      <c r="C4684" s="40"/>
      <c r="D4684" s="41"/>
      <c r="E4684" s="43">
        <f>C4684</f>
        <v>0</v>
      </c>
      <c r="F4684" s="42"/>
    </row>
    <row r="4685" spans="1:6">
      <c r="A4685" s="39">
        <f>A4684</f>
        <v>46048</v>
      </c>
      <c r="B4685" s="40"/>
      <c r="C4685" s="40"/>
      <c r="D4685" s="41"/>
      <c r="E4685" s="43">
        <f>C4685</f>
        <v>0</v>
      </c>
      <c r="F4685" s="42"/>
    </row>
    <row r="4686" spans="1:6">
      <c r="A4686" s="39">
        <f>A4685</f>
        <v>46048</v>
      </c>
      <c r="B4686" s="40"/>
      <c r="C4686" s="40"/>
      <c r="D4686" s="41"/>
      <c r="E4686" s="43">
        <f>C4686</f>
        <v>0</v>
      </c>
      <c r="F4686" s="42"/>
    </row>
    <row r="4687" spans="1:6">
      <c r="A4687" s="39">
        <f>A4686</f>
        <v>46048</v>
      </c>
      <c r="B4687" s="40"/>
      <c r="C4687" s="40"/>
      <c r="D4687" s="41"/>
      <c r="E4687" s="43">
        <f>C4687</f>
        <v>0</v>
      </c>
      <c r="F4687" s="42"/>
    </row>
    <row r="4688" spans="1:6">
      <c r="A4688" s="39">
        <f>A4687</f>
        <v>46048</v>
      </c>
      <c r="B4688" s="40"/>
      <c r="C4688" s="40"/>
      <c r="D4688" s="41"/>
      <c r="E4688" s="43">
        <f>C4688</f>
        <v>0</v>
      </c>
      <c r="F4688" s="42"/>
    </row>
    <row r="4689" spans="1:6">
      <c r="A4689" s="39">
        <f>A4688</f>
        <v>46048</v>
      </c>
      <c r="B4689" s="40"/>
      <c r="C4689" s="40"/>
      <c r="D4689" s="41"/>
      <c r="E4689" s="43">
        <f>C4689</f>
        <v>0</v>
      </c>
      <c r="F4689" s="42"/>
    </row>
    <row r="4690" spans="1:6">
      <c r="A4690" s="39">
        <f>A4689</f>
        <v>46048</v>
      </c>
      <c r="B4690" s="40"/>
      <c r="C4690" s="40"/>
      <c r="D4690" s="41"/>
      <c r="E4690" s="43">
        <f>C4690</f>
        <v>0</v>
      </c>
      <c r="F4690" s="42"/>
    </row>
    <row r="4691" spans="1:6">
      <c r="A4691" s="39">
        <f>A4690</f>
        <v>46048</v>
      </c>
      <c r="B4691" s="40"/>
      <c r="C4691" s="40"/>
      <c r="D4691" s="41"/>
      <c r="E4691" s="43">
        <f>C4691</f>
        <v>0</v>
      </c>
      <c r="F4691" s="42"/>
    </row>
    <row r="4692" spans="1:6">
      <c r="A4692" s="39">
        <f>A4691</f>
        <v>46048</v>
      </c>
      <c r="B4692" s="40"/>
      <c r="C4692" s="40"/>
      <c r="D4692" s="41"/>
      <c r="E4692" s="43">
        <f>C4692</f>
        <v>0</v>
      </c>
      <c r="F4692" s="42"/>
    </row>
    <row r="4693" spans="1:6">
      <c r="A4693" s="39">
        <f>A4692</f>
        <v>46048</v>
      </c>
      <c r="B4693" s="40"/>
      <c r="C4693" s="40"/>
      <c r="D4693" s="41"/>
      <c r="E4693" s="43">
        <f>C4693</f>
        <v>0</v>
      </c>
      <c r="F4693" s="42"/>
    </row>
    <row r="4694" spans="1:6">
      <c r="A4694" s="39">
        <f>A4693</f>
        <v>46048</v>
      </c>
      <c r="B4694" s="40"/>
      <c r="C4694" s="40"/>
      <c r="D4694" s="41"/>
      <c r="E4694" s="43">
        <f>C4694</f>
        <v>0</v>
      </c>
      <c r="F4694" s="42"/>
    </row>
    <row r="4695" spans="1:6">
      <c r="A4695" s="39">
        <f>A4694</f>
        <v>46048</v>
      </c>
      <c r="B4695" s="40"/>
      <c r="C4695" s="40"/>
      <c r="D4695" s="41"/>
      <c r="E4695" s="43">
        <f>C4695</f>
        <v>0</v>
      </c>
      <c r="F4695" s="42"/>
    </row>
    <row r="4696" spans="1:6">
      <c r="A4696" s="39">
        <f>A4695</f>
        <v>46048</v>
      </c>
      <c r="B4696" s="40"/>
      <c r="C4696" s="40"/>
      <c r="D4696" s="41"/>
      <c r="E4696" s="43">
        <f>C4696</f>
        <v>0</v>
      </c>
      <c r="F4696" s="42"/>
    </row>
    <row r="4697" spans="1:6">
      <c r="A4697" s="39">
        <f>A4696</f>
        <v>46048</v>
      </c>
      <c r="B4697" s="40"/>
      <c r="C4697" s="40"/>
      <c r="D4697" s="41"/>
      <c r="E4697" s="43">
        <f>C4697</f>
        <v>0</v>
      </c>
      <c r="F4697" s="42"/>
    </row>
    <row r="4698" spans="1:6">
      <c r="A4698" s="39">
        <f>A4697</f>
        <v>46048</v>
      </c>
      <c r="B4698" s="40"/>
      <c r="C4698" s="40"/>
      <c r="D4698" s="41"/>
      <c r="E4698" s="43">
        <f>C4698</f>
        <v>0</v>
      </c>
      <c r="F4698" s="42"/>
    </row>
    <row r="4699" spans="1:6">
      <c r="A4699" s="39">
        <f>A4698</f>
        <v>46048</v>
      </c>
      <c r="B4699" s="40"/>
      <c r="C4699" s="40"/>
      <c r="D4699" s="41"/>
      <c r="E4699" s="43">
        <f>C4699</f>
        <v>0</v>
      </c>
      <c r="F4699" s="42"/>
    </row>
    <row r="4700" spans="1:6">
      <c r="A4700" s="39">
        <f>A4699</f>
        <v>46048</v>
      </c>
      <c r="B4700" s="40"/>
      <c r="C4700" s="40"/>
      <c r="D4700" s="41"/>
      <c r="E4700" s="43">
        <f>C4700</f>
        <v>0</v>
      </c>
      <c r="F4700" s="42"/>
    </row>
    <row r="4701" spans="1:6">
      <c r="A4701" s="39">
        <f>A4700</f>
        <v>46048</v>
      </c>
      <c r="B4701" s="40"/>
      <c r="C4701" s="40"/>
      <c r="D4701" s="41"/>
      <c r="E4701" s="43">
        <f>C4701</f>
        <v>0</v>
      </c>
      <c r="F4701" s="42"/>
    </row>
    <row r="4702" spans="1:6">
      <c r="A4702" s="39">
        <f>A4701</f>
        <v>46048</v>
      </c>
      <c r="B4702" s="40"/>
      <c r="C4702" s="40"/>
      <c r="D4702" s="41"/>
      <c r="E4702" s="43">
        <f>C4702</f>
        <v>0</v>
      </c>
      <c r="F4702" s="42"/>
    </row>
    <row r="4703" spans="1:6">
      <c r="A4703" s="39">
        <f>A4702</f>
        <v>46048</v>
      </c>
      <c r="B4703" s="40"/>
      <c r="C4703" s="40"/>
      <c r="D4703" s="41"/>
      <c r="E4703" s="43">
        <f>C4703</f>
        <v>0</v>
      </c>
      <c r="F4703" s="42"/>
    </row>
    <row r="4704" spans="1:6">
      <c r="A4704" s="39">
        <f>A4703</f>
        <v>46048</v>
      </c>
      <c r="B4704" s="40"/>
      <c r="C4704" s="40"/>
      <c r="D4704" s="41"/>
      <c r="E4704" s="43">
        <f>C4704</f>
        <v>0</v>
      </c>
      <c r="F4704" s="42"/>
    </row>
    <row r="4705" spans="1:6">
      <c r="A4705" s="39">
        <f>A4704</f>
        <v>46048</v>
      </c>
      <c r="B4705" s="40"/>
      <c r="C4705" s="40"/>
      <c r="D4705" s="41"/>
      <c r="E4705" s="43">
        <f>C4705</f>
        <v>0</v>
      </c>
      <c r="F4705" s="42"/>
    </row>
    <row r="4706" spans="1:6">
      <c r="A4706" s="39">
        <f>A4705</f>
        <v>46048</v>
      </c>
      <c r="B4706" s="40"/>
      <c r="C4706" s="40"/>
      <c r="D4706" s="41"/>
      <c r="E4706" s="43">
        <f>C4706</f>
        <v>0</v>
      </c>
      <c r="F4706" s="42"/>
    </row>
    <row r="4707" spans="1:6">
      <c r="A4707" s="39">
        <f>A4706</f>
        <v>46048</v>
      </c>
      <c r="B4707" s="40"/>
      <c r="C4707" s="40"/>
      <c r="D4707" s="41"/>
      <c r="E4707" s="43">
        <f>C4707</f>
        <v>0</v>
      </c>
      <c r="F4707" s="42"/>
    </row>
    <row r="4708" spans="1:6">
      <c r="A4708" s="39">
        <f>A4707</f>
        <v>46048</v>
      </c>
      <c r="B4708" s="40"/>
      <c r="C4708" s="40"/>
      <c r="D4708" s="41"/>
      <c r="E4708" s="43">
        <f>C4708</f>
        <v>0</v>
      </c>
      <c r="F4708" s="42"/>
    </row>
    <row r="4709" spans="1:6">
      <c r="A4709" s="39">
        <f>A4708</f>
        <v>46048</v>
      </c>
      <c r="B4709" s="40"/>
      <c r="C4709" s="40"/>
      <c r="D4709" s="41"/>
      <c r="E4709" s="43">
        <f>C4709</f>
        <v>0</v>
      </c>
      <c r="F4709" s="42"/>
    </row>
    <row r="4710" spans="1:6">
      <c r="A4710" s="39">
        <f>A4709</f>
        <v>46048</v>
      </c>
      <c r="B4710" s="40"/>
      <c r="C4710" s="40"/>
      <c r="D4710" s="41"/>
      <c r="E4710" s="43">
        <f>C4710</f>
        <v>0</v>
      </c>
      <c r="F4710" s="42"/>
    </row>
    <row r="4711" spans="1:6">
      <c r="A4711" s="39">
        <f>A4710</f>
        <v>46048</v>
      </c>
      <c r="B4711" s="40"/>
      <c r="C4711" s="40"/>
      <c r="D4711" s="41"/>
      <c r="E4711" s="43">
        <f>C4711</f>
        <v>0</v>
      </c>
      <c r="F4711" s="42"/>
    </row>
    <row r="4712" spans="1:6">
      <c r="A4712" s="39">
        <f>A4711</f>
        <v>46048</v>
      </c>
      <c r="B4712" s="40"/>
      <c r="C4712" s="40"/>
      <c r="D4712" s="41"/>
      <c r="E4712" s="43">
        <f>C4712</f>
        <v>0</v>
      </c>
      <c r="F4712" s="42"/>
    </row>
    <row r="4713" spans="1:6">
      <c r="A4713" s="39">
        <f>A4712</f>
        <v>46048</v>
      </c>
      <c r="B4713" s="40"/>
      <c r="C4713" s="40"/>
      <c r="D4713" s="41"/>
      <c r="E4713" s="43">
        <f>C4713</f>
        <v>0</v>
      </c>
      <c r="F4713" s="42"/>
    </row>
    <row r="4714" spans="1:6">
      <c r="A4714" s="39">
        <f>A4713</f>
        <v>46048</v>
      </c>
      <c r="B4714" s="40"/>
      <c r="C4714" s="40"/>
      <c r="D4714" s="41"/>
      <c r="E4714" s="43">
        <f>C4714</f>
        <v>0</v>
      </c>
      <c r="F4714" s="42"/>
    </row>
    <row r="4715" spans="1:6">
      <c r="A4715" s="39">
        <f>A4714</f>
        <v>46048</v>
      </c>
      <c r="B4715" s="40"/>
      <c r="C4715" s="40"/>
      <c r="D4715" s="41"/>
      <c r="E4715" s="43">
        <f>C4715</f>
        <v>0</v>
      </c>
      <c r="F4715" s="42"/>
    </row>
    <row r="4716" spans="1:6">
      <c r="A4716" s="39">
        <f>A4715</f>
        <v>46048</v>
      </c>
      <c r="B4716" s="40"/>
      <c r="C4716" s="40"/>
      <c r="D4716" s="41"/>
      <c r="E4716" s="43">
        <f>C4716</f>
        <v>0</v>
      </c>
      <c r="F4716" s="42"/>
    </row>
    <row r="4717" spans="1:6">
      <c r="A4717" s="39">
        <f>A4716</f>
        <v>46048</v>
      </c>
      <c r="B4717" s="40"/>
      <c r="C4717" s="40"/>
      <c r="D4717" s="41"/>
      <c r="E4717" s="43">
        <f>C4717</f>
        <v>0</v>
      </c>
      <c r="F4717" s="42"/>
    </row>
    <row r="4718" spans="1:6">
      <c r="A4718" s="39">
        <f>A4717</f>
        <v>46048</v>
      </c>
      <c r="B4718" s="40"/>
      <c r="C4718" s="40"/>
      <c r="D4718" s="41"/>
      <c r="E4718" s="43">
        <f>C4718</f>
        <v>0</v>
      </c>
      <c r="F4718" s="42"/>
    </row>
    <row r="4719" spans="1:6">
      <c r="A4719" s="39">
        <f>A4718</f>
        <v>46048</v>
      </c>
      <c r="B4719" s="40"/>
      <c r="C4719" s="40"/>
      <c r="D4719" s="41"/>
      <c r="E4719" s="43">
        <f>C4719</f>
        <v>0</v>
      </c>
      <c r="F4719" s="42"/>
    </row>
    <row r="4720" spans="1:6">
      <c r="A4720" s="39">
        <f>A4719</f>
        <v>46048</v>
      </c>
      <c r="B4720" s="40"/>
      <c r="C4720" s="40"/>
      <c r="D4720" s="41"/>
      <c r="E4720" s="43">
        <f>C4720</f>
        <v>0</v>
      </c>
      <c r="F4720" s="42"/>
    </row>
    <row r="4721" spans="1:6">
      <c r="A4721" s="39">
        <f>A4720</f>
        <v>46048</v>
      </c>
      <c r="B4721" s="40"/>
      <c r="C4721" s="40"/>
      <c r="D4721" s="41"/>
      <c r="E4721" s="43">
        <f>C4721</f>
        <v>0</v>
      </c>
      <c r="F4721" s="42"/>
    </row>
    <row r="4722" spans="1:6">
      <c r="A4722" s="39">
        <f>A4721</f>
        <v>46048</v>
      </c>
      <c r="B4722" s="40"/>
      <c r="C4722" s="40"/>
      <c r="D4722" s="41"/>
      <c r="E4722" s="43">
        <f>C4722</f>
        <v>0</v>
      </c>
      <c r="F4722" s="42"/>
    </row>
    <row r="4723" spans="1:6">
      <c r="A4723" s="39">
        <f>A4722</f>
        <v>46048</v>
      </c>
      <c r="B4723" s="40"/>
      <c r="C4723" s="40"/>
      <c r="D4723" s="41"/>
      <c r="E4723" s="43">
        <f>C4723</f>
        <v>0</v>
      </c>
      <c r="F4723" s="42"/>
    </row>
    <row r="4724" spans="1:6">
      <c r="A4724" s="39">
        <f>A4723</f>
        <v>46048</v>
      </c>
      <c r="B4724" s="40"/>
      <c r="C4724" s="40"/>
      <c r="D4724" s="41"/>
      <c r="E4724" s="43">
        <f>C4724</f>
        <v>0</v>
      </c>
      <c r="F4724" s="42"/>
    </row>
    <row r="4725" spans="1:6">
      <c r="A4725" s="39">
        <f>A4724</f>
        <v>46048</v>
      </c>
      <c r="B4725" s="40"/>
      <c r="C4725" s="40"/>
      <c r="D4725" s="41"/>
      <c r="E4725" s="43">
        <f>C4725</f>
        <v>0</v>
      </c>
      <c r="F4725" s="42"/>
    </row>
    <row r="4726" spans="1:6">
      <c r="A4726" s="39">
        <f>A4725</f>
        <v>46048</v>
      </c>
      <c r="B4726" s="40"/>
      <c r="C4726" s="40"/>
      <c r="D4726" s="41"/>
      <c r="E4726" s="43">
        <f>C4726</f>
        <v>0</v>
      </c>
      <c r="F4726" s="42"/>
    </row>
    <row r="4727" spans="1:6">
      <c r="A4727" s="39">
        <f>A4726</f>
        <v>46048</v>
      </c>
      <c r="B4727" s="40"/>
      <c r="C4727" s="40"/>
      <c r="D4727" s="41"/>
      <c r="E4727" s="43">
        <f>C4727</f>
        <v>0</v>
      </c>
      <c r="F4727" s="42"/>
    </row>
    <row r="4728" spans="1:6">
      <c r="A4728" s="39">
        <f>A4727</f>
        <v>46048</v>
      </c>
      <c r="B4728" s="40"/>
      <c r="C4728" s="40"/>
      <c r="D4728" s="41"/>
      <c r="E4728" s="43">
        <f>C4728</f>
        <v>0</v>
      </c>
      <c r="F4728" s="42"/>
    </row>
    <row r="4729" spans="1:6">
      <c r="A4729" s="39">
        <f>A4728</f>
        <v>46048</v>
      </c>
      <c r="B4729" s="40"/>
      <c r="C4729" s="40"/>
      <c r="D4729" s="41"/>
      <c r="E4729" s="43">
        <f>C4729</f>
        <v>0</v>
      </c>
      <c r="F4729" s="42"/>
    </row>
    <row r="4730" spans="1:6">
      <c r="A4730" s="39">
        <f>A4729</f>
        <v>46048</v>
      </c>
      <c r="B4730" s="40"/>
      <c r="C4730" s="40"/>
      <c r="D4730" s="41"/>
      <c r="E4730" s="43">
        <f>C4730</f>
        <v>0</v>
      </c>
      <c r="F4730" s="42"/>
    </row>
    <row r="4731" spans="1:6">
      <c r="A4731" s="39">
        <f>A4730</f>
        <v>46048</v>
      </c>
      <c r="B4731" s="40"/>
      <c r="C4731" s="40"/>
      <c r="D4731" s="41"/>
      <c r="E4731" s="43">
        <f>C4731</f>
        <v>0</v>
      </c>
      <c r="F4731" s="42"/>
    </row>
    <row r="4732" spans="1:6">
      <c r="A4732" s="39">
        <f>A4731</f>
        <v>46048</v>
      </c>
      <c r="B4732" s="40"/>
      <c r="C4732" s="40"/>
      <c r="D4732" s="41"/>
      <c r="E4732" s="43">
        <f>C4732</f>
        <v>0</v>
      </c>
      <c r="F4732" s="42"/>
    </row>
    <row r="4733" spans="1:6">
      <c r="A4733" s="39">
        <f>A4732</f>
        <v>46048</v>
      </c>
      <c r="B4733" s="40"/>
      <c r="C4733" s="40"/>
      <c r="D4733" s="41"/>
      <c r="E4733" s="43">
        <f>C4733</f>
        <v>0</v>
      </c>
      <c r="F4733" s="42"/>
    </row>
    <row r="4734" spans="1:6">
      <c r="A4734" s="39">
        <f>A4733</f>
        <v>46048</v>
      </c>
      <c r="B4734" s="40"/>
      <c r="C4734" s="40"/>
      <c r="D4734" s="41"/>
      <c r="E4734" s="43">
        <f>C4734</f>
        <v>0</v>
      </c>
      <c r="F4734" s="42"/>
    </row>
    <row r="4735" spans="1:6">
      <c r="A4735" s="39">
        <f>A4734</f>
        <v>46048</v>
      </c>
      <c r="B4735" s="40"/>
      <c r="C4735" s="40"/>
      <c r="D4735" s="41"/>
      <c r="E4735" s="43">
        <f>C4735</f>
        <v>0</v>
      </c>
      <c r="F4735" s="42"/>
    </row>
    <row r="4736" spans="1:6">
      <c r="A4736" s="39">
        <f>A4735</f>
        <v>46048</v>
      </c>
      <c r="B4736" s="40"/>
      <c r="C4736" s="40"/>
      <c r="D4736" s="41"/>
      <c r="E4736" s="43">
        <f>C4736</f>
        <v>0</v>
      </c>
      <c r="F4736" s="42"/>
    </row>
    <row r="4737" spans="1:6">
      <c r="A4737" s="39">
        <f>A4736</f>
        <v>46048</v>
      </c>
      <c r="B4737" s="40"/>
      <c r="C4737" s="40"/>
      <c r="D4737" s="41"/>
      <c r="E4737" s="43">
        <f>C4737</f>
        <v>0</v>
      </c>
      <c r="F4737" s="42"/>
    </row>
    <row r="4738" spans="1:6">
      <c r="A4738" s="39">
        <f>A4737</f>
        <v>46048</v>
      </c>
      <c r="B4738" s="40"/>
      <c r="C4738" s="40"/>
      <c r="D4738" s="41"/>
      <c r="E4738" s="43">
        <f>C4738</f>
        <v>0</v>
      </c>
      <c r="F4738" s="42"/>
    </row>
    <row r="4739" spans="1:6">
      <c r="A4739" s="39">
        <f>A4738</f>
        <v>46048</v>
      </c>
      <c r="B4739" s="40"/>
      <c r="C4739" s="40"/>
      <c r="D4739" s="41"/>
      <c r="E4739" s="43">
        <f>C4739</f>
        <v>0</v>
      </c>
      <c r="F4739" s="42"/>
    </row>
    <row r="4740" spans="1:6">
      <c r="A4740" s="39">
        <f>A4739</f>
        <v>46048</v>
      </c>
      <c r="B4740" s="40"/>
      <c r="C4740" s="40"/>
      <c r="D4740" s="41"/>
      <c r="E4740" s="43">
        <f>C4740</f>
        <v>0</v>
      </c>
      <c r="F4740" s="42"/>
    </row>
    <row r="4741" spans="1:6">
      <c r="A4741" s="39">
        <f>A4740</f>
        <v>46048</v>
      </c>
      <c r="B4741" s="40"/>
      <c r="C4741" s="40"/>
      <c r="D4741" s="41"/>
      <c r="E4741" s="43">
        <f>C4741</f>
        <v>0</v>
      </c>
      <c r="F4741" s="42"/>
    </row>
    <row r="4742" spans="1:6">
      <c r="A4742" s="39">
        <f>A4741</f>
        <v>46048</v>
      </c>
      <c r="B4742" s="40"/>
      <c r="C4742" s="40"/>
      <c r="D4742" s="41"/>
      <c r="E4742" s="43">
        <f>C4742</f>
        <v>0</v>
      </c>
      <c r="F4742" s="42"/>
    </row>
    <row r="4743" spans="1:6">
      <c r="A4743" s="39">
        <f>A4742</f>
        <v>46048</v>
      </c>
      <c r="B4743" s="40"/>
      <c r="C4743" s="40"/>
      <c r="D4743" s="41"/>
      <c r="E4743" s="43">
        <f>C4743</f>
        <v>0</v>
      </c>
      <c r="F4743" s="42"/>
    </row>
    <row r="4744" spans="1:6">
      <c r="A4744" s="39">
        <f>A4743</f>
        <v>46048</v>
      </c>
      <c r="B4744" s="40"/>
      <c r="C4744" s="40"/>
      <c r="D4744" s="41"/>
      <c r="E4744" s="43">
        <f>C4744</f>
        <v>0</v>
      </c>
      <c r="F4744" s="42"/>
    </row>
    <row r="4745" spans="1:6">
      <c r="A4745" s="39">
        <f>A4744</f>
        <v>46048</v>
      </c>
      <c r="B4745" s="40"/>
      <c r="C4745" s="40"/>
      <c r="D4745" s="41"/>
      <c r="E4745" s="43">
        <f>C4745</f>
        <v>0</v>
      </c>
      <c r="F4745" s="42"/>
    </row>
    <row r="4746" spans="1:6">
      <c r="A4746" s="39">
        <f>A4745</f>
        <v>46048</v>
      </c>
      <c r="B4746" s="40"/>
      <c r="C4746" s="40"/>
      <c r="D4746" s="41"/>
      <c r="E4746" s="43">
        <f>C4746</f>
        <v>0</v>
      </c>
      <c r="F4746" s="42"/>
    </row>
    <row r="4747" spans="1:6">
      <c r="A4747" s="39">
        <f>A4746</f>
        <v>46048</v>
      </c>
      <c r="B4747" s="40"/>
      <c r="C4747" s="40"/>
      <c r="D4747" s="41"/>
      <c r="E4747" s="43">
        <f>C4747</f>
        <v>0</v>
      </c>
      <c r="F4747" s="42"/>
    </row>
    <row r="4748" spans="1:6">
      <c r="A4748" s="39">
        <f>A4747</f>
        <v>46048</v>
      </c>
      <c r="B4748" s="40"/>
      <c r="C4748" s="40"/>
      <c r="D4748" s="41"/>
      <c r="E4748" s="43">
        <f>C4748</f>
        <v>0</v>
      </c>
      <c r="F4748" s="42"/>
    </row>
    <row r="4749" spans="1:6">
      <c r="A4749" s="39">
        <f>A4748</f>
        <v>46048</v>
      </c>
      <c r="B4749" s="40"/>
      <c r="C4749" s="40"/>
      <c r="D4749" s="41"/>
      <c r="E4749" s="43">
        <f>C4749</f>
        <v>0</v>
      </c>
      <c r="F4749" s="42"/>
    </row>
    <row r="4750" spans="1:6">
      <c r="A4750" s="39">
        <f>A4749</f>
        <v>46048</v>
      </c>
      <c r="B4750" s="40"/>
      <c r="C4750" s="40"/>
      <c r="D4750" s="41"/>
      <c r="E4750" s="43">
        <f>C4750</f>
        <v>0</v>
      </c>
      <c r="F4750" s="42"/>
    </row>
    <row r="4751" spans="1:6">
      <c r="A4751" s="39">
        <f>A4750</f>
        <v>46048</v>
      </c>
      <c r="B4751" s="40"/>
      <c r="C4751" s="40"/>
      <c r="D4751" s="41"/>
      <c r="E4751" s="43">
        <f>C4751</f>
        <v>0</v>
      </c>
      <c r="F4751" s="42"/>
    </row>
    <row r="4752" spans="1:6">
      <c r="A4752" s="39">
        <f>A4751</f>
        <v>46048</v>
      </c>
      <c r="B4752" s="40"/>
      <c r="C4752" s="40"/>
      <c r="D4752" s="41"/>
      <c r="E4752" s="43">
        <f>C4752</f>
        <v>0</v>
      </c>
      <c r="F4752" s="42"/>
    </row>
    <row r="4753" spans="1:6">
      <c r="A4753" s="39">
        <f>A4752</f>
        <v>46048</v>
      </c>
      <c r="B4753" s="40"/>
      <c r="C4753" s="40"/>
      <c r="D4753" s="41"/>
      <c r="E4753" s="43">
        <f>C4753</f>
        <v>0</v>
      </c>
      <c r="F4753" s="42"/>
    </row>
    <row r="4754" spans="1:6">
      <c r="A4754" s="39">
        <f>A4753</f>
        <v>46048</v>
      </c>
      <c r="B4754" s="40"/>
      <c r="C4754" s="40"/>
      <c r="D4754" s="41"/>
      <c r="E4754" s="43">
        <f>C4754</f>
        <v>0</v>
      </c>
      <c r="F4754" s="42"/>
    </row>
    <row r="4755" spans="1:6">
      <c r="A4755" s="39">
        <f>A4754</f>
        <v>46048</v>
      </c>
      <c r="B4755" s="40"/>
      <c r="C4755" s="40"/>
      <c r="D4755" s="41"/>
      <c r="E4755" s="43">
        <f>C4755</f>
        <v>0</v>
      </c>
      <c r="F4755" s="42"/>
    </row>
    <row r="4756" spans="1:6">
      <c r="A4756" s="39">
        <f>A4755</f>
        <v>46048</v>
      </c>
      <c r="B4756" s="40"/>
      <c r="C4756" s="40"/>
      <c r="D4756" s="41"/>
      <c r="E4756" s="43">
        <f>C4756</f>
        <v>0</v>
      </c>
      <c r="F4756" s="42"/>
    </row>
    <row r="4757" spans="1:6">
      <c r="A4757" s="39">
        <f>A4756</f>
        <v>46048</v>
      </c>
      <c r="B4757" s="40"/>
      <c r="C4757" s="40"/>
      <c r="D4757" s="41"/>
      <c r="E4757" s="43">
        <f>C4757</f>
        <v>0</v>
      </c>
      <c r="F4757" s="42"/>
    </row>
    <row r="4758" spans="1:6">
      <c r="A4758" s="39">
        <f>A4757</f>
        <v>46048</v>
      </c>
      <c r="B4758" s="40"/>
      <c r="C4758" s="40"/>
      <c r="D4758" s="41"/>
      <c r="E4758" s="43">
        <f>C4758</f>
        <v>0</v>
      </c>
      <c r="F4758" s="42"/>
    </row>
    <row r="4759" spans="1:6">
      <c r="A4759" s="39">
        <f>A4758</f>
        <v>46048</v>
      </c>
      <c r="B4759" s="40"/>
      <c r="C4759" s="40"/>
      <c r="D4759" s="41"/>
      <c r="E4759" s="43">
        <f>C4759</f>
        <v>0</v>
      </c>
      <c r="F4759" s="42"/>
    </row>
    <row r="4760" spans="1:6">
      <c r="A4760" s="39">
        <f>A4759</f>
        <v>46048</v>
      </c>
      <c r="B4760" s="40"/>
      <c r="C4760" s="40"/>
      <c r="D4760" s="41"/>
      <c r="E4760" s="43">
        <f>C4760</f>
        <v>0</v>
      </c>
      <c r="F4760" s="42"/>
    </row>
    <row r="4761" spans="1:6">
      <c r="A4761" s="39">
        <f>A4760</f>
        <v>46048</v>
      </c>
      <c r="B4761" s="40"/>
      <c r="C4761" s="40"/>
      <c r="D4761" s="41"/>
      <c r="E4761" s="43">
        <f>C4761</f>
        <v>0</v>
      </c>
      <c r="F4761" s="42"/>
    </row>
    <row r="4762" spans="1:6">
      <c r="A4762" s="39">
        <f>A4761</f>
        <v>46048</v>
      </c>
      <c r="B4762" s="40"/>
      <c r="C4762" s="40"/>
      <c r="D4762" s="41"/>
      <c r="E4762" s="43">
        <f>C4762</f>
        <v>0</v>
      </c>
      <c r="F4762" s="42"/>
    </row>
    <row r="4763" spans="1:6">
      <c r="A4763" s="39">
        <f>A4762</f>
        <v>46048</v>
      </c>
      <c r="B4763" s="40"/>
      <c r="C4763" s="40"/>
      <c r="D4763" s="41"/>
      <c r="E4763" s="43">
        <f>C4763</f>
        <v>0</v>
      </c>
      <c r="F4763" s="42"/>
    </row>
    <row r="4764" spans="1:6">
      <c r="A4764" s="39">
        <f>A4763</f>
        <v>46048</v>
      </c>
      <c r="B4764" s="40"/>
      <c r="C4764" s="40"/>
      <c r="D4764" s="41"/>
      <c r="E4764" s="43">
        <f>C4764</f>
        <v>0</v>
      </c>
      <c r="F4764" s="42"/>
    </row>
    <row r="4765" spans="1:6">
      <c r="A4765" s="39">
        <f>A4764</f>
        <v>46048</v>
      </c>
      <c r="B4765" s="40"/>
      <c r="C4765" s="40"/>
      <c r="D4765" s="41"/>
      <c r="E4765" s="43">
        <f>C4765</f>
        <v>0</v>
      </c>
      <c r="F4765" s="42"/>
    </row>
    <row r="4766" spans="1:6">
      <c r="A4766" s="39">
        <f>A4765</f>
        <v>46048</v>
      </c>
      <c r="B4766" s="40"/>
      <c r="C4766" s="40"/>
      <c r="D4766" s="41"/>
      <c r="E4766" s="43">
        <f>C4766</f>
        <v>0</v>
      </c>
      <c r="F4766" s="42"/>
    </row>
    <row r="4767" spans="1:6">
      <c r="A4767" s="39">
        <f>A4766</f>
        <v>46048</v>
      </c>
      <c r="B4767" s="40"/>
      <c r="C4767" s="40"/>
      <c r="D4767" s="41"/>
      <c r="E4767" s="43">
        <f>C4767</f>
        <v>0</v>
      </c>
      <c r="F4767" s="42"/>
    </row>
    <row r="4768" spans="1:6">
      <c r="A4768" s="39">
        <f>A4767</f>
        <v>46048</v>
      </c>
      <c r="B4768" s="40"/>
      <c r="C4768" s="40"/>
      <c r="D4768" s="41"/>
      <c r="E4768" s="43">
        <f>C4768</f>
        <v>0</v>
      </c>
      <c r="F4768" s="42"/>
    </row>
    <row r="4769" spans="1:6">
      <c r="A4769" s="39">
        <f>A4768</f>
        <v>46048</v>
      </c>
      <c r="B4769" s="40"/>
      <c r="C4769" s="40"/>
      <c r="D4769" s="41"/>
      <c r="E4769" s="43">
        <f>C4769</f>
        <v>0</v>
      </c>
      <c r="F4769" s="42"/>
    </row>
    <row r="4770" spans="1:6">
      <c r="A4770" s="39">
        <f>A4769</f>
        <v>46048</v>
      </c>
      <c r="B4770" s="40"/>
      <c r="C4770" s="40"/>
      <c r="D4770" s="41"/>
      <c r="E4770" s="43">
        <f>C4770</f>
        <v>0</v>
      </c>
      <c r="F4770" s="42"/>
    </row>
    <row r="4771" spans="1:6">
      <c r="A4771" s="39">
        <f>A4770</f>
        <v>46048</v>
      </c>
      <c r="B4771" s="40"/>
      <c r="C4771" s="40"/>
      <c r="D4771" s="41"/>
      <c r="E4771" s="43">
        <f>C4771</f>
        <v>0</v>
      </c>
      <c r="F4771" s="42"/>
    </row>
    <row r="4772" spans="1:6">
      <c r="A4772" s="39">
        <f>A4771</f>
        <v>46048</v>
      </c>
      <c r="B4772" s="40"/>
      <c r="C4772" s="40"/>
      <c r="D4772" s="41"/>
      <c r="E4772" s="43">
        <f>C4772</f>
        <v>0</v>
      </c>
      <c r="F4772" s="42"/>
    </row>
    <row r="4773" spans="1:6">
      <c r="A4773" s="39">
        <f>A4772</f>
        <v>46048</v>
      </c>
      <c r="B4773" s="40"/>
      <c r="C4773" s="40"/>
      <c r="D4773" s="41"/>
      <c r="E4773" s="43">
        <f>C4773</f>
        <v>0</v>
      </c>
      <c r="F4773" s="42"/>
    </row>
    <row r="4774" spans="1:6">
      <c r="A4774" s="39">
        <f>A4773</f>
        <v>46048</v>
      </c>
      <c r="B4774" s="40"/>
      <c r="C4774" s="40"/>
      <c r="D4774" s="41"/>
      <c r="E4774" s="43">
        <f>C4774</f>
        <v>0</v>
      </c>
      <c r="F4774" s="42"/>
    </row>
    <row r="4775" spans="1:6">
      <c r="A4775" s="39">
        <f>A4774</f>
        <v>46048</v>
      </c>
      <c r="B4775" s="40"/>
      <c r="C4775" s="40"/>
      <c r="D4775" s="41"/>
      <c r="E4775" s="43">
        <f>C4775</f>
        <v>0</v>
      </c>
      <c r="F4775" s="42"/>
    </row>
    <row r="4776" spans="1:6">
      <c r="A4776" s="39">
        <f>A4775</f>
        <v>46048</v>
      </c>
      <c r="B4776" s="40"/>
      <c r="C4776" s="40"/>
      <c r="D4776" s="41"/>
      <c r="E4776" s="43">
        <f>C4776</f>
        <v>0</v>
      </c>
      <c r="F4776" s="42"/>
    </row>
    <row r="4777" spans="1:6">
      <c r="A4777" s="39">
        <f>A4776</f>
        <v>46048</v>
      </c>
      <c r="B4777" s="40"/>
      <c r="C4777" s="40"/>
      <c r="D4777" s="41"/>
      <c r="E4777" s="43">
        <f>C4777</f>
        <v>0</v>
      </c>
      <c r="F4777" s="42"/>
    </row>
    <row r="4778" spans="1:6">
      <c r="A4778" s="39">
        <f>A4777</f>
        <v>46048</v>
      </c>
      <c r="B4778" s="40"/>
      <c r="C4778" s="40"/>
      <c r="D4778" s="41"/>
      <c r="E4778" s="43">
        <f>C4778</f>
        <v>0</v>
      </c>
      <c r="F4778" s="42"/>
    </row>
    <row r="4779" spans="1:6">
      <c r="A4779" s="39">
        <f>A4778</f>
        <v>46048</v>
      </c>
      <c r="B4779" s="40"/>
      <c r="C4779" s="40"/>
      <c r="D4779" s="41"/>
      <c r="E4779" s="43">
        <f>C4779</f>
        <v>0</v>
      </c>
      <c r="F4779" s="42"/>
    </row>
    <row r="4780" spans="1:6">
      <c r="A4780" s="39">
        <f>A4779</f>
        <v>46048</v>
      </c>
      <c r="B4780" s="40"/>
      <c r="C4780" s="40"/>
      <c r="D4780" s="41"/>
      <c r="E4780" s="43">
        <f>C4780</f>
        <v>0</v>
      </c>
      <c r="F4780" s="42"/>
    </row>
    <row r="4781" spans="1:6">
      <c r="A4781" s="39">
        <f>A4780</f>
        <v>46048</v>
      </c>
      <c r="B4781" s="40"/>
      <c r="C4781" s="40"/>
      <c r="D4781" s="41"/>
      <c r="E4781" s="43">
        <f>C4781</f>
        <v>0</v>
      </c>
      <c r="F4781" s="42"/>
    </row>
    <row r="4782" spans="1:6">
      <c r="A4782" s="39">
        <f>A4781</f>
        <v>46048</v>
      </c>
      <c r="B4782" s="40"/>
      <c r="C4782" s="40"/>
      <c r="D4782" s="41"/>
      <c r="E4782" s="43">
        <f>C4782</f>
        <v>0</v>
      </c>
      <c r="F4782" s="42"/>
    </row>
    <row r="4783" spans="1:6">
      <c r="A4783" s="39">
        <f>A4782</f>
        <v>46048</v>
      </c>
      <c r="B4783" s="40"/>
      <c r="C4783" s="40"/>
      <c r="D4783" s="41"/>
      <c r="E4783" s="43">
        <f>C4783</f>
        <v>0</v>
      </c>
      <c r="F4783" s="42"/>
    </row>
    <row r="4784" spans="1:6">
      <c r="A4784" s="39">
        <f>A4783</f>
        <v>46048</v>
      </c>
      <c r="B4784" s="40"/>
      <c r="C4784" s="40"/>
      <c r="D4784" s="41"/>
      <c r="E4784" s="43">
        <f>C4784</f>
        <v>0</v>
      </c>
      <c r="F4784" s="42"/>
    </row>
    <row r="4785" spans="1:6">
      <c r="A4785" s="39">
        <f>A4784</f>
        <v>46048</v>
      </c>
      <c r="B4785" s="40"/>
      <c r="C4785" s="40"/>
      <c r="D4785" s="41"/>
      <c r="E4785" s="43">
        <f>C4785</f>
        <v>0</v>
      </c>
      <c r="F4785" s="42"/>
    </row>
    <row r="4786" spans="1:6">
      <c r="A4786" s="39">
        <f>A4785</f>
        <v>46048</v>
      </c>
      <c r="B4786" s="40"/>
      <c r="C4786" s="40"/>
      <c r="D4786" s="41"/>
      <c r="E4786" s="43">
        <f>C4786</f>
        <v>0</v>
      </c>
      <c r="F4786" s="42"/>
    </row>
    <row r="4787" spans="1:6">
      <c r="A4787" s="39">
        <f>A4786</f>
        <v>46048</v>
      </c>
      <c r="B4787" s="40"/>
      <c r="C4787" s="40"/>
      <c r="D4787" s="41"/>
      <c r="E4787" s="43">
        <f>C4787</f>
        <v>0</v>
      </c>
      <c r="F4787" s="42"/>
    </row>
    <row r="4788" spans="1:6">
      <c r="A4788" s="39">
        <f>A4787</f>
        <v>46048</v>
      </c>
      <c r="B4788" s="40"/>
      <c r="C4788" s="40"/>
      <c r="D4788" s="41"/>
      <c r="E4788" s="43">
        <f>C4788</f>
        <v>0</v>
      </c>
      <c r="F4788" s="42"/>
    </row>
    <row r="4789" spans="1:6">
      <c r="A4789" s="39">
        <f>A4788</f>
        <v>46048</v>
      </c>
      <c r="B4789" s="40"/>
      <c r="C4789" s="40"/>
      <c r="D4789" s="41"/>
      <c r="E4789" s="43">
        <f>C4789</f>
        <v>0</v>
      </c>
      <c r="F4789" s="42"/>
    </row>
    <row r="4790" spans="1:6">
      <c r="A4790" s="39">
        <f>A4789</f>
        <v>46048</v>
      </c>
      <c r="B4790" s="40"/>
      <c r="C4790" s="40"/>
      <c r="D4790" s="41"/>
      <c r="E4790" s="43">
        <f>C4790</f>
        <v>0</v>
      </c>
      <c r="F4790" s="42"/>
    </row>
    <row r="4791" spans="1:6">
      <c r="A4791" s="39">
        <f>A4790</f>
        <v>46048</v>
      </c>
      <c r="B4791" s="40"/>
      <c r="C4791" s="40"/>
      <c r="D4791" s="41"/>
      <c r="E4791" s="43">
        <f>C4791</f>
        <v>0</v>
      </c>
      <c r="F4791" s="42"/>
    </row>
    <row r="4792" spans="1:6">
      <c r="A4792" s="39">
        <f>A4791</f>
        <v>46048</v>
      </c>
      <c r="B4792" s="40"/>
      <c r="C4792" s="40"/>
      <c r="D4792" s="41"/>
      <c r="E4792" s="43">
        <f>C4792</f>
        <v>0</v>
      </c>
      <c r="F4792" s="42"/>
    </row>
    <row r="4793" spans="1:6">
      <c r="A4793" s="39">
        <f>A4792</f>
        <v>46048</v>
      </c>
      <c r="B4793" s="40"/>
      <c r="C4793" s="40"/>
      <c r="D4793" s="41"/>
      <c r="E4793" s="43">
        <f>C4793</f>
        <v>0</v>
      </c>
      <c r="F4793" s="42"/>
    </row>
    <row r="4794" spans="1:6">
      <c r="A4794" s="39">
        <f>A4793</f>
        <v>46048</v>
      </c>
      <c r="B4794" s="40"/>
      <c r="C4794" s="40"/>
      <c r="D4794" s="41"/>
      <c r="E4794" s="43">
        <f>C4794</f>
        <v>0</v>
      </c>
      <c r="F4794" s="42"/>
    </row>
    <row r="4795" spans="1:6">
      <c r="A4795" s="39">
        <f>A4794</f>
        <v>46048</v>
      </c>
      <c r="B4795" s="40"/>
      <c r="C4795" s="40"/>
      <c r="D4795" s="41"/>
      <c r="E4795" s="43">
        <f>C4795</f>
        <v>0</v>
      </c>
      <c r="F4795" s="42"/>
    </row>
    <row r="4796" spans="1:6">
      <c r="A4796" s="39">
        <f>A4795</f>
        <v>46048</v>
      </c>
      <c r="B4796" s="40"/>
      <c r="C4796" s="40"/>
      <c r="D4796" s="41"/>
      <c r="E4796" s="43">
        <f>C4796</f>
        <v>0</v>
      </c>
      <c r="F4796" s="42"/>
    </row>
    <row r="4797" spans="1:6">
      <c r="A4797" s="39">
        <f>A4796</f>
        <v>46048</v>
      </c>
      <c r="B4797" s="40"/>
      <c r="C4797" s="40"/>
      <c r="D4797" s="41"/>
      <c r="E4797" s="43">
        <f>C4797</f>
        <v>0</v>
      </c>
      <c r="F4797" s="42"/>
    </row>
    <row r="4798" spans="1:6">
      <c r="A4798" s="39">
        <f>A4797</f>
        <v>46048</v>
      </c>
      <c r="B4798" s="40"/>
      <c r="C4798" s="40"/>
      <c r="D4798" s="41"/>
      <c r="E4798" s="43">
        <f>C4798</f>
        <v>0</v>
      </c>
      <c r="F4798" s="42"/>
    </row>
    <row r="4799" spans="1:6">
      <c r="A4799" s="39">
        <f>A4798</f>
        <v>46048</v>
      </c>
      <c r="B4799" s="40"/>
      <c r="C4799" s="40"/>
      <c r="D4799" s="41"/>
      <c r="E4799" s="43">
        <f>C4799</f>
        <v>0</v>
      </c>
      <c r="F4799" s="42"/>
    </row>
    <row r="4800" spans="1:6">
      <c r="A4800" s="39">
        <f>A4799</f>
        <v>46048</v>
      </c>
      <c r="B4800" s="40"/>
      <c r="C4800" s="40"/>
      <c r="D4800" s="41"/>
      <c r="E4800" s="43">
        <f>C4800</f>
        <v>0</v>
      </c>
      <c r="F4800" s="42"/>
    </row>
    <row r="4801" spans="1:6">
      <c r="A4801" s="39">
        <f>A4800</f>
        <v>46048</v>
      </c>
      <c r="B4801" s="40"/>
      <c r="C4801" s="40"/>
      <c r="D4801" s="41"/>
      <c r="E4801" s="43">
        <f>C4801</f>
        <v>0</v>
      </c>
      <c r="F4801" s="42"/>
    </row>
    <row r="4802" spans="1:6">
      <c r="A4802" s="39">
        <f>A4801</f>
        <v>46048</v>
      </c>
      <c r="B4802" s="40"/>
      <c r="C4802" s="40"/>
      <c r="D4802" s="41"/>
      <c r="E4802" s="43">
        <f>C4802</f>
        <v>0</v>
      </c>
      <c r="F4802" s="42"/>
    </row>
    <row r="4803" spans="1:6">
      <c r="A4803" s="39">
        <f>A4802</f>
        <v>46048</v>
      </c>
      <c r="B4803" s="40"/>
      <c r="C4803" s="40"/>
      <c r="D4803" s="41"/>
      <c r="E4803" s="43">
        <f>C4803</f>
        <v>0</v>
      </c>
      <c r="F4803" s="42"/>
    </row>
    <row r="4804" spans="1:6">
      <c r="A4804" s="39">
        <f>A4803</f>
        <v>46048</v>
      </c>
      <c r="B4804" s="40"/>
      <c r="C4804" s="40"/>
      <c r="D4804" s="41"/>
      <c r="E4804" s="43">
        <f>C4804</f>
        <v>0</v>
      </c>
      <c r="F4804" s="42"/>
    </row>
    <row r="4805" spans="1:6">
      <c r="A4805" s="39">
        <f>A4804</f>
        <v>46048</v>
      </c>
      <c r="B4805" s="40"/>
      <c r="C4805" s="40"/>
      <c r="D4805" s="41"/>
      <c r="E4805" s="43">
        <f>C4805</f>
        <v>0</v>
      </c>
      <c r="F4805" s="42"/>
    </row>
    <row r="4806" spans="1:6">
      <c r="A4806" s="39">
        <f>A4805</f>
        <v>46048</v>
      </c>
      <c r="B4806" s="40"/>
      <c r="C4806" s="40"/>
      <c r="D4806" s="41"/>
      <c r="E4806" s="43">
        <f>C4806</f>
        <v>0</v>
      </c>
      <c r="F4806" s="42"/>
    </row>
    <row r="4807" spans="1:6">
      <c r="A4807" s="39">
        <f>A4806</f>
        <v>46048</v>
      </c>
      <c r="B4807" s="40"/>
      <c r="C4807" s="40"/>
      <c r="D4807" s="41"/>
      <c r="E4807" s="43">
        <f>C4807</f>
        <v>0</v>
      </c>
      <c r="F4807" s="42"/>
    </row>
    <row r="4808" spans="1:6">
      <c r="A4808" s="39">
        <f>A4807</f>
        <v>46048</v>
      </c>
      <c r="B4808" s="40"/>
      <c r="C4808" s="40"/>
      <c r="D4808" s="41"/>
      <c r="E4808" s="43">
        <f>C4808</f>
        <v>0</v>
      </c>
      <c r="F4808" s="42"/>
    </row>
    <row r="4809" spans="1:6">
      <c r="A4809" s="39">
        <f>A4808</f>
        <v>46048</v>
      </c>
      <c r="B4809" s="40"/>
      <c r="C4809" s="40"/>
      <c r="D4809" s="41"/>
      <c r="E4809" s="43">
        <f>C4809</f>
        <v>0</v>
      </c>
      <c r="F4809" s="42"/>
    </row>
    <row r="4810" spans="1:6">
      <c r="A4810" s="39">
        <f>A4809</f>
        <v>46048</v>
      </c>
      <c r="B4810" s="40"/>
      <c r="C4810" s="40"/>
      <c r="D4810" s="41"/>
      <c r="E4810" s="43">
        <f>C4810</f>
        <v>0</v>
      </c>
      <c r="F4810" s="42"/>
    </row>
    <row r="4811" spans="1:6">
      <c r="A4811" s="39">
        <f>A4810</f>
        <v>46048</v>
      </c>
      <c r="B4811" s="40"/>
      <c r="C4811" s="40"/>
      <c r="D4811" s="41"/>
      <c r="E4811" s="43">
        <f>C4811</f>
        <v>0</v>
      </c>
      <c r="F4811" s="42"/>
    </row>
    <row r="4812" spans="1:6">
      <c r="A4812" s="39">
        <f>A4811</f>
        <v>46048</v>
      </c>
      <c r="B4812" s="40"/>
      <c r="C4812" s="40"/>
      <c r="D4812" s="41"/>
      <c r="E4812" s="43">
        <f>C4812</f>
        <v>0</v>
      </c>
      <c r="F4812" s="42"/>
    </row>
    <row r="4813" spans="1:6">
      <c r="A4813" s="39">
        <f>A4812</f>
        <v>46048</v>
      </c>
      <c r="B4813" s="40"/>
      <c r="C4813" s="40"/>
      <c r="D4813" s="41"/>
      <c r="E4813" s="43">
        <f>C4813</f>
        <v>0</v>
      </c>
      <c r="F4813" s="42"/>
    </row>
    <row r="4814" spans="1:6">
      <c r="A4814" s="39">
        <f>A4813</f>
        <v>46048</v>
      </c>
      <c r="B4814" s="40"/>
      <c r="C4814" s="40"/>
      <c r="D4814" s="41"/>
      <c r="E4814" s="43">
        <f>C4814</f>
        <v>0</v>
      </c>
      <c r="F4814" s="42"/>
    </row>
    <row r="4815" spans="1:6">
      <c r="A4815" s="39">
        <f>A4814</f>
        <v>46048</v>
      </c>
      <c r="B4815" s="40"/>
      <c r="C4815" s="40"/>
      <c r="D4815" s="41"/>
      <c r="E4815" s="43">
        <f>C4815</f>
        <v>0</v>
      </c>
      <c r="F4815" s="42"/>
    </row>
    <row r="4816" spans="1:6">
      <c r="A4816" s="39">
        <f>A4815</f>
        <v>46048</v>
      </c>
      <c r="B4816" s="40"/>
      <c r="C4816" s="40"/>
      <c r="D4816" s="41"/>
      <c r="E4816" s="43">
        <f>C4816</f>
        <v>0</v>
      </c>
      <c r="F4816" s="42"/>
    </row>
    <row r="4817" spans="1:6">
      <c r="A4817" s="39">
        <f>A4816</f>
        <v>46048</v>
      </c>
      <c r="B4817" s="40"/>
      <c r="C4817" s="40"/>
      <c r="D4817" s="41"/>
      <c r="E4817" s="43">
        <f>C4817</f>
        <v>0</v>
      </c>
      <c r="F4817" s="42"/>
    </row>
    <row r="4818" spans="1:6">
      <c r="A4818" s="39">
        <f>A4817</f>
        <v>46048</v>
      </c>
      <c r="B4818" s="40"/>
      <c r="C4818" s="40"/>
      <c r="D4818" s="41"/>
      <c r="E4818" s="43">
        <f>C4818</f>
        <v>0</v>
      </c>
      <c r="F4818" s="42"/>
    </row>
    <row r="4819" spans="1:6">
      <c r="A4819" s="39">
        <f>A4818</f>
        <v>46048</v>
      </c>
      <c r="B4819" s="40"/>
      <c r="C4819" s="40"/>
      <c r="D4819" s="41"/>
      <c r="E4819" s="43">
        <f>C4819</f>
        <v>0</v>
      </c>
      <c r="F4819" s="42"/>
    </row>
    <row r="4820" spans="1:6">
      <c r="A4820" s="39">
        <f>A4819</f>
        <v>46048</v>
      </c>
      <c r="B4820" s="40"/>
      <c r="C4820" s="40"/>
      <c r="D4820" s="41"/>
      <c r="E4820" s="43">
        <f>C4820</f>
        <v>0</v>
      </c>
      <c r="F4820" s="42"/>
    </row>
    <row r="4821" spans="1:6">
      <c r="A4821" s="39">
        <f>A4820</f>
        <v>46048</v>
      </c>
      <c r="B4821" s="40"/>
      <c r="C4821" s="40"/>
      <c r="D4821" s="41"/>
      <c r="E4821" s="43">
        <f>C4821</f>
        <v>0</v>
      </c>
      <c r="F4821" s="42"/>
    </row>
    <row r="4822" spans="1:6">
      <c r="A4822" s="39">
        <f>A4821</f>
        <v>46048</v>
      </c>
      <c r="B4822" s="40"/>
      <c r="C4822" s="40"/>
      <c r="D4822" s="41"/>
      <c r="E4822" s="43">
        <f>C4822</f>
        <v>0</v>
      </c>
      <c r="F4822" s="42"/>
    </row>
    <row r="4823" spans="1:6">
      <c r="A4823" s="39">
        <f>A4822</f>
        <v>46048</v>
      </c>
      <c r="B4823" s="40"/>
      <c r="C4823" s="40"/>
      <c r="D4823" s="41"/>
      <c r="E4823" s="43">
        <f>C4823</f>
        <v>0</v>
      </c>
      <c r="F4823" s="42"/>
    </row>
    <row r="4824" spans="1:6">
      <c r="A4824" s="39">
        <f>A4823</f>
        <v>46048</v>
      </c>
      <c r="B4824" s="40"/>
      <c r="C4824" s="40"/>
      <c r="D4824" s="41"/>
      <c r="E4824" s="43">
        <f>C4824</f>
        <v>0</v>
      </c>
      <c r="F4824" s="42"/>
    </row>
    <row r="4825" spans="1:6">
      <c r="A4825" s="39">
        <f>A4824</f>
        <v>46048</v>
      </c>
      <c r="B4825" s="40"/>
      <c r="C4825" s="40"/>
      <c r="D4825" s="41"/>
      <c r="E4825" s="43">
        <f>C4825</f>
        <v>0</v>
      </c>
      <c r="F4825" s="42"/>
    </row>
    <row r="4826" spans="1:6">
      <c r="A4826" s="39">
        <f>A4825</f>
        <v>46048</v>
      </c>
      <c r="B4826" s="40"/>
      <c r="C4826" s="40"/>
      <c r="D4826" s="41"/>
      <c r="E4826" s="43">
        <f>C4826</f>
        <v>0</v>
      </c>
      <c r="F4826" s="42"/>
    </row>
    <row r="4827" spans="1:6">
      <c r="A4827" s="39">
        <f>A4826</f>
        <v>46048</v>
      </c>
      <c r="B4827" s="40"/>
      <c r="C4827" s="40"/>
      <c r="D4827" s="41"/>
      <c r="E4827" s="43">
        <f>C4827</f>
        <v>0</v>
      </c>
      <c r="F4827" s="42"/>
    </row>
    <row r="4828" spans="1:6">
      <c r="A4828" s="39">
        <f>A4827</f>
        <v>46048</v>
      </c>
      <c r="B4828" s="40"/>
      <c r="C4828" s="40"/>
      <c r="D4828" s="41"/>
      <c r="E4828" s="43">
        <f>C4828</f>
        <v>0</v>
      </c>
      <c r="F4828" s="42"/>
    </row>
    <row r="4829" spans="1:6">
      <c r="A4829" s="39">
        <f>A4828</f>
        <v>46048</v>
      </c>
      <c r="B4829" s="40"/>
      <c r="C4829" s="40"/>
      <c r="D4829" s="41"/>
      <c r="E4829" s="43">
        <f>C4829</f>
        <v>0</v>
      </c>
      <c r="F4829" s="42"/>
    </row>
    <row r="4830" spans="1:6">
      <c r="A4830" s="39">
        <f>A4829</f>
        <v>46048</v>
      </c>
      <c r="B4830" s="40"/>
      <c r="C4830" s="40"/>
      <c r="D4830" s="41"/>
      <c r="E4830" s="43">
        <f>C4830</f>
        <v>0</v>
      </c>
      <c r="F4830" s="42"/>
    </row>
    <row r="4831" spans="1:6">
      <c r="A4831" s="39">
        <f>A4830</f>
        <v>46048</v>
      </c>
      <c r="B4831" s="40"/>
      <c r="C4831" s="40"/>
      <c r="D4831" s="41"/>
      <c r="E4831" s="43">
        <f>C4831</f>
        <v>0</v>
      </c>
      <c r="F4831" s="42"/>
    </row>
    <row r="4832" spans="1:6">
      <c r="A4832" s="39">
        <f>A4831</f>
        <v>46048</v>
      </c>
      <c r="B4832" s="40"/>
      <c r="C4832" s="40"/>
      <c r="D4832" s="41"/>
      <c r="E4832" s="43">
        <f>C4832</f>
        <v>0</v>
      </c>
      <c r="F4832" s="42"/>
    </row>
    <row r="4833" spans="1:6">
      <c r="A4833" s="39">
        <f>A4832</f>
        <v>46048</v>
      </c>
      <c r="B4833" s="40"/>
      <c r="C4833" s="40"/>
      <c r="D4833" s="41"/>
      <c r="E4833" s="43">
        <f>C4833</f>
        <v>0</v>
      </c>
      <c r="F4833" s="42"/>
    </row>
    <row r="4834" spans="1:6">
      <c r="A4834" s="39">
        <f>A4833</f>
        <v>46048</v>
      </c>
      <c r="B4834" s="40"/>
      <c r="C4834" s="40"/>
      <c r="D4834" s="41"/>
      <c r="E4834" s="43">
        <f>C4834</f>
        <v>0</v>
      </c>
      <c r="F4834" s="42"/>
    </row>
    <row r="4835" spans="1:6">
      <c r="A4835" s="39">
        <f>A4834</f>
        <v>46048</v>
      </c>
      <c r="B4835" s="40"/>
      <c r="C4835" s="40"/>
      <c r="D4835" s="41"/>
      <c r="E4835" s="43">
        <f>C4835</f>
        <v>0</v>
      </c>
      <c r="F4835" s="42"/>
    </row>
    <row r="4836" spans="1:6">
      <c r="A4836" s="39">
        <f>A4835</f>
        <v>46048</v>
      </c>
      <c r="B4836" s="40"/>
      <c r="C4836" s="40"/>
      <c r="D4836" s="41"/>
      <c r="E4836" s="43">
        <f>C4836</f>
        <v>0</v>
      </c>
      <c r="F4836" s="42"/>
    </row>
    <row r="4837" spans="1:6">
      <c r="A4837" s="39">
        <f>A4836</f>
        <v>46048</v>
      </c>
      <c r="B4837" s="40"/>
      <c r="C4837" s="40"/>
      <c r="D4837" s="41"/>
      <c r="E4837" s="43">
        <f>C4837</f>
        <v>0</v>
      </c>
      <c r="F4837" s="42"/>
    </row>
    <row r="4838" spans="1:6">
      <c r="A4838" s="39">
        <f>A4837</f>
        <v>46048</v>
      </c>
      <c r="B4838" s="40"/>
      <c r="C4838" s="40"/>
      <c r="D4838" s="41"/>
      <c r="E4838" s="43">
        <f>C4838</f>
        <v>0</v>
      </c>
      <c r="F4838" s="42"/>
    </row>
    <row r="4839" spans="1:6">
      <c r="A4839" s="39">
        <f>A4838</f>
        <v>46048</v>
      </c>
      <c r="B4839" s="40"/>
      <c r="C4839" s="40"/>
      <c r="D4839" s="41"/>
      <c r="E4839" s="43">
        <f>C4839</f>
        <v>0</v>
      </c>
      <c r="F4839" s="42"/>
    </row>
    <row r="4840" spans="1:6">
      <c r="A4840" s="39">
        <f>A4839</f>
        <v>46048</v>
      </c>
      <c r="B4840" s="40"/>
      <c r="C4840" s="40"/>
      <c r="D4840" s="41"/>
      <c r="E4840" s="43">
        <f>C4840</f>
        <v>0</v>
      </c>
      <c r="F4840" s="42"/>
    </row>
    <row r="4841" spans="1:6">
      <c r="A4841" s="39">
        <f>A4840</f>
        <v>46048</v>
      </c>
      <c r="B4841" s="40"/>
      <c r="C4841" s="40"/>
      <c r="D4841" s="41"/>
      <c r="E4841" s="43">
        <f>C4841</f>
        <v>0</v>
      </c>
      <c r="F4841" s="42"/>
    </row>
    <row r="4842" spans="1:6">
      <c r="A4842" s="39">
        <f>A4841</f>
        <v>46048</v>
      </c>
      <c r="B4842" s="40"/>
      <c r="C4842" s="40"/>
      <c r="D4842" s="41"/>
      <c r="E4842" s="43">
        <f>C4842</f>
        <v>0</v>
      </c>
      <c r="F4842" s="42"/>
    </row>
    <row r="4843" spans="1:6">
      <c r="A4843" s="39">
        <f>A4842</f>
        <v>46048</v>
      </c>
      <c r="B4843" s="40"/>
      <c r="C4843" s="40"/>
      <c r="D4843" s="41"/>
      <c r="E4843" s="43">
        <f>C4843</f>
        <v>0</v>
      </c>
      <c r="F4843" s="42"/>
    </row>
    <row r="4844" spans="1:6">
      <c r="A4844" s="39">
        <f>A4843</f>
        <v>46048</v>
      </c>
      <c r="B4844" s="40"/>
      <c r="C4844" s="40"/>
      <c r="D4844" s="41"/>
      <c r="E4844" s="43">
        <f>C4844</f>
        <v>0</v>
      </c>
      <c r="F4844" s="42"/>
    </row>
    <row r="4845" spans="1:6">
      <c r="A4845" s="39">
        <f>A4844</f>
        <v>46048</v>
      </c>
      <c r="B4845" s="40"/>
      <c r="C4845" s="40"/>
      <c r="D4845" s="41"/>
      <c r="E4845" s="43">
        <f>C4845</f>
        <v>0</v>
      </c>
      <c r="F4845" s="42"/>
    </row>
    <row r="4846" spans="1:6">
      <c r="A4846" s="39">
        <f>A4845</f>
        <v>46048</v>
      </c>
      <c r="B4846" s="40"/>
      <c r="C4846" s="40"/>
      <c r="D4846" s="41"/>
      <c r="E4846" s="43">
        <f>C4846</f>
        <v>0</v>
      </c>
      <c r="F4846" s="42"/>
    </row>
    <row r="4847" spans="1:6">
      <c r="A4847" s="39">
        <f>A4846</f>
        <v>46048</v>
      </c>
      <c r="B4847" s="40"/>
      <c r="C4847" s="40"/>
      <c r="D4847" s="41"/>
      <c r="E4847" s="43">
        <f>C4847</f>
        <v>0</v>
      </c>
      <c r="F4847" s="42"/>
    </row>
    <row r="4848" spans="1:6">
      <c r="A4848" s="39">
        <f>A4847</f>
        <v>46048</v>
      </c>
      <c r="B4848" s="40"/>
      <c r="C4848" s="40"/>
      <c r="D4848" s="41"/>
      <c r="E4848" s="43">
        <f>C4848</f>
        <v>0</v>
      </c>
      <c r="F4848" s="42"/>
    </row>
    <row r="4849" spans="1:6">
      <c r="A4849" s="39">
        <f>A4848</f>
        <v>46048</v>
      </c>
      <c r="B4849" s="40"/>
      <c r="C4849" s="40"/>
      <c r="D4849" s="41"/>
      <c r="E4849" s="43">
        <f>C4849</f>
        <v>0</v>
      </c>
      <c r="F4849" s="42"/>
    </row>
    <row r="4850" spans="1:6">
      <c r="A4850" s="39">
        <f>A4849</f>
        <v>46048</v>
      </c>
      <c r="B4850" s="40"/>
      <c r="C4850" s="40"/>
      <c r="D4850" s="41"/>
      <c r="E4850" s="43">
        <f>C4850</f>
        <v>0</v>
      </c>
      <c r="F4850" s="42"/>
    </row>
    <row r="4851" spans="1:6">
      <c r="A4851" s="39">
        <f>A4850</f>
        <v>46048</v>
      </c>
      <c r="B4851" s="40"/>
      <c r="C4851" s="40"/>
      <c r="D4851" s="41"/>
      <c r="E4851" s="43">
        <f>C4851</f>
        <v>0</v>
      </c>
      <c r="F4851" s="42"/>
    </row>
    <row r="4852" spans="1:6">
      <c r="A4852" s="39">
        <f>A4851</f>
        <v>46048</v>
      </c>
      <c r="B4852" s="40"/>
      <c r="C4852" s="40"/>
      <c r="D4852" s="41"/>
      <c r="E4852" s="43">
        <f>C4852</f>
        <v>0</v>
      </c>
      <c r="F4852" s="42"/>
    </row>
    <row r="4853" spans="1:6">
      <c r="A4853" s="39">
        <f>A4852</f>
        <v>46048</v>
      </c>
      <c r="B4853" s="40"/>
      <c r="C4853" s="40"/>
      <c r="D4853" s="41"/>
      <c r="E4853" s="43">
        <f>C4853</f>
        <v>0</v>
      </c>
      <c r="F4853" s="42"/>
    </row>
    <row r="4854" spans="1:6">
      <c r="A4854" s="39">
        <f>A4853</f>
        <v>46048</v>
      </c>
      <c r="B4854" s="40"/>
      <c r="C4854" s="40"/>
      <c r="D4854" s="41"/>
      <c r="E4854" s="43">
        <f>C4854</f>
        <v>0</v>
      </c>
      <c r="F4854" s="42"/>
    </row>
    <row r="4855" spans="1:6">
      <c r="A4855" s="39">
        <f>A4854</f>
        <v>46048</v>
      </c>
      <c r="B4855" s="40"/>
      <c r="C4855" s="40"/>
      <c r="D4855" s="41"/>
      <c r="E4855" s="43">
        <f>C4855</f>
        <v>0</v>
      </c>
      <c r="F4855" s="42"/>
    </row>
    <row r="4856" spans="1:6">
      <c r="A4856" s="39">
        <f>A4855</f>
        <v>46048</v>
      </c>
      <c r="B4856" s="40"/>
      <c r="C4856" s="40"/>
      <c r="D4856" s="41"/>
      <c r="E4856" s="43">
        <f>C4856</f>
        <v>0</v>
      </c>
      <c r="F4856" s="42"/>
    </row>
    <row r="4857" spans="1:6">
      <c r="A4857" s="39">
        <f>A4856</f>
        <v>46048</v>
      </c>
      <c r="B4857" s="40"/>
      <c r="C4857" s="40"/>
      <c r="D4857" s="41"/>
      <c r="E4857" s="43">
        <f>C4857</f>
        <v>0</v>
      </c>
      <c r="F4857" s="42"/>
    </row>
    <row r="4858" spans="1:6">
      <c r="A4858" s="39">
        <f>A4857</f>
        <v>46048</v>
      </c>
      <c r="B4858" s="40"/>
      <c r="C4858" s="40"/>
      <c r="D4858" s="41"/>
      <c r="E4858" s="43">
        <f>C4858</f>
        <v>0</v>
      </c>
      <c r="F4858" s="42"/>
    </row>
    <row r="4859" spans="1:6">
      <c r="A4859" s="39">
        <f>A4858</f>
        <v>46048</v>
      </c>
      <c r="B4859" s="40"/>
      <c r="C4859" s="40"/>
      <c r="D4859" s="41"/>
      <c r="E4859" s="43">
        <f>C4859</f>
        <v>0</v>
      </c>
      <c r="F4859" s="42"/>
    </row>
    <row r="4860" spans="1:6">
      <c r="A4860" s="39">
        <f>A4859</f>
        <v>46048</v>
      </c>
      <c r="B4860" s="40"/>
      <c r="C4860" s="40"/>
      <c r="D4860" s="41"/>
      <c r="E4860" s="43">
        <f>C4860</f>
        <v>0</v>
      </c>
      <c r="F4860" s="42"/>
    </row>
    <row r="4861" spans="1:6">
      <c r="A4861" s="39">
        <f>A4860</f>
        <v>46048</v>
      </c>
      <c r="B4861" s="40"/>
      <c r="C4861" s="40"/>
      <c r="D4861" s="41"/>
      <c r="E4861" s="43">
        <f>C4861</f>
        <v>0</v>
      </c>
      <c r="F4861" s="42"/>
    </row>
    <row r="4862" spans="1:6">
      <c r="A4862" s="39">
        <f>A4861</f>
        <v>46048</v>
      </c>
      <c r="B4862" s="40"/>
      <c r="C4862" s="40"/>
      <c r="D4862" s="41"/>
      <c r="E4862" s="43">
        <f>C4862</f>
        <v>0</v>
      </c>
      <c r="F4862" s="42"/>
    </row>
    <row r="4863" spans="1:6">
      <c r="A4863" s="39">
        <f>A4862</f>
        <v>46048</v>
      </c>
      <c r="B4863" s="40"/>
      <c r="C4863" s="40"/>
      <c r="D4863" s="41"/>
      <c r="E4863" s="43">
        <f>C4863</f>
        <v>0</v>
      </c>
      <c r="F4863" s="42"/>
    </row>
    <row r="4864" spans="1:6">
      <c r="A4864" s="39">
        <f>A4863</f>
        <v>46048</v>
      </c>
      <c r="B4864" s="40"/>
      <c r="C4864" s="40"/>
      <c r="D4864" s="41"/>
      <c r="E4864" s="43">
        <f>C4864</f>
        <v>0</v>
      </c>
      <c r="F4864" s="42"/>
    </row>
    <row r="4865" spans="1:6">
      <c r="A4865" s="39">
        <f>A4864</f>
        <v>46048</v>
      </c>
      <c r="B4865" s="40"/>
      <c r="C4865" s="40"/>
      <c r="D4865" s="41"/>
      <c r="E4865" s="43">
        <f>C4865</f>
        <v>0</v>
      </c>
      <c r="F4865" s="42"/>
    </row>
    <row r="4866" spans="1:6">
      <c r="A4866" s="39">
        <f>A4865</f>
        <v>46048</v>
      </c>
      <c r="B4866" s="40"/>
      <c r="C4866" s="40"/>
      <c r="D4866" s="41"/>
      <c r="E4866" s="43">
        <f>C4866</f>
        <v>0</v>
      </c>
      <c r="F4866" s="42"/>
    </row>
    <row r="4867" spans="1:6">
      <c r="A4867" s="39">
        <f>A4866</f>
        <v>46048</v>
      </c>
      <c r="B4867" s="40"/>
      <c r="C4867" s="40"/>
      <c r="D4867" s="41"/>
      <c r="E4867" s="43">
        <f>C4867</f>
        <v>0</v>
      </c>
      <c r="F4867" s="42"/>
    </row>
    <row r="4868" spans="1:6">
      <c r="A4868" s="39">
        <f>A4867</f>
        <v>46048</v>
      </c>
      <c r="B4868" s="40"/>
      <c r="C4868" s="40"/>
      <c r="D4868" s="41"/>
      <c r="E4868" s="43">
        <f>C4868</f>
        <v>0</v>
      </c>
      <c r="F4868" s="42"/>
    </row>
    <row r="4869" spans="1:6">
      <c r="A4869" s="39">
        <f>A4868</f>
        <v>46048</v>
      </c>
      <c r="B4869" s="40"/>
      <c r="C4869" s="40"/>
      <c r="D4869" s="41"/>
      <c r="E4869" s="43">
        <f>C4869</f>
        <v>0</v>
      </c>
      <c r="F4869" s="42"/>
    </row>
    <row r="4870" spans="1:6">
      <c r="A4870" s="39">
        <f>A4869</f>
        <v>46048</v>
      </c>
      <c r="B4870" s="40"/>
      <c r="C4870" s="40"/>
      <c r="D4870" s="41"/>
      <c r="E4870" s="43">
        <f>C4870</f>
        <v>0</v>
      </c>
      <c r="F4870" s="42"/>
    </row>
    <row r="4871" spans="1:6">
      <c r="A4871" s="39">
        <f>A4870</f>
        <v>46048</v>
      </c>
      <c r="B4871" s="40"/>
      <c r="C4871" s="40"/>
      <c r="D4871" s="41"/>
      <c r="E4871" s="43">
        <f>C4871</f>
        <v>0</v>
      </c>
      <c r="F4871" s="42"/>
    </row>
    <row r="4872" spans="1:6">
      <c r="A4872" s="39">
        <f>A4871</f>
        <v>46048</v>
      </c>
      <c r="B4872" s="40"/>
      <c r="C4872" s="40"/>
      <c r="D4872" s="41"/>
      <c r="E4872" s="43">
        <f>C4872</f>
        <v>0</v>
      </c>
      <c r="F4872" s="42"/>
    </row>
    <row r="4873" spans="1:6">
      <c r="A4873" s="39">
        <f>A4872</f>
        <v>46048</v>
      </c>
      <c r="B4873" s="40"/>
      <c r="C4873" s="40"/>
      <c r="D4873" s="41"/>
      <c r="E4873" s="43">
        <f>C4873</f>
        <v>0</v>
      </c>
      <c r="F4873" s="42"/>
    </row>
    <row r="4874" spans="1:6">
      <c r="A4874" s="39">
        <f>A4873</f>
        <v>46048</v>
      </c>
      <c r="B4874" s="40"/>
      <c r="C4874" s="40"/>
      <c r="D4874" s="41"/>
      <c r="E4874" s="43">
        <f>C4874</f>
        <v>0</v>
      </c>
      <c r="F4874" s="42"/>
    </row>
    <row r="4875" spans="1:6">
      <c r="A4875" s="39">
        <f>A4874</f>
        <v>46048</v>
      </c>
      <c r="B4875" s="40"/>
      <c r="C4875" s="40"/>
      <c r="D4875" s="41"/>
      <c r="E4875" s="43">
        <f>C4875</f>
        <v>0</v>
      </c>
      <c r="F4875" s="42"/>
    </row>
    <row r="4876" spans="1:6">
      <c r="A4876" s="39">
        <f>A4875</f>
        <v>46048</v>
      </c>
      <c r="B4876" s="40"/>
      <c r="C4876" s="40"/>
      <c r="D4876" s="41"/>
      <c r="E4876" s="43">
        <f>C4876</f>
        <v>0</v>
      </c>
      <c r="F4876" s="42"/>
    </row>
    <row r="4877" spans="1:6">
      <c r="A4877" s="39">
        <f>A4876</f>
        <v>46048</v>
      </c>
      <c r="B4877" s="40"/>
      <c r="C4877" s="40"/>
      <c r="D4877" s="41"/>
      <c r="E4877" s="43">
        <f>C4877</f>
        <v>0</v>
      </c>
      <c r="F4877" s="42"/>
    </row>
    <row r="4878" spans="1:6">
      <c r="A4878" s="39">
        <f>A4877</f>
        <v>46048</v>
      </c>
      <c r="B4878" s="40"/>
      <c r="C4878" s="40"/>
      <c r="D4878" s="41"/>
      <c r="E4878" s="43">
        <f>C4878</f>
        <v>0</v>
      </c>
      <c r="F4878" s="42"/>
    </row>
    <row r="4879" spans="1:6">
      <c r="A4879" s="39">
        <f>A4878</f>
        <v>46048</v>
      </c>
      <c r="B4879" s="40"/>
      <c r="C4879" s="40"/>
      <c r="D4879" s="41"/>
      <c r="E4879" s="43">
        <f>C4879</f>
        <v>0</v>
      </c>
      <c r="F4879" s="42"/>
    </row>
    <row r="4880" spans="1:6">
      <c r="A4880" s="39">
        <f>A4879</f>
        <v>46048</v>
      </c>
      <c r="B4880" s="40"/>
      <c r="C4880" s="40"/>
      <c r="D4880" s="41"/>
      <c r="E4880" s="43">
        <f>C4880</f>
        <v>0</v>
      </c>
      <c r="F4880" s="42"/>
    </row>
    <row r="4881" spans="1:6">
      <c r="A4881" s="39">
        <f>A4880</f>
        <v>46048</v>
      </c>
      <c r="B4881" s="40"/>
      <c r="C4881" s="40"/>
      <c r="D4881" s="41"/>
      <c r="E4881" s="43">
        <f>C4881</f>
        <v>0</v>
      </c>
      <c r="F4881" s="42"/>
    </row>
    <row r="4882" spans="1:6">
      <c r="A4882" s="39">
        <f>A4881</f>
        <v>46048</v>
      </c>
      <c r="B4882" s="40"/>
      <c r="C4882" s="40"/>
      <c r="D4882" s="41"/>
      <c r="E4882" s="43">
        <f>C4882</f>
        <v>0</v>
      </c>
      <c r="F4882" s="42"/>
    </row>
    <row r="4883" spans="1:6">
      <c r="A4883" s="39">
        <f>A4882</f>
        <v>46048</v>
      </c>
      <c r="B4883" s="40"/>
      <c r="C4883" s="40"/>
      <c r="D4883" s="41"/>
      <c r="E4883" s="43">
        <f>C4883</f>
        <v>0</v>
      </c>
      <c r="F4883" s="42"/>
    </row>
    <row r="4884" spans="1:6">
      <c r="A4884" s="39">
        <f>A4883</f>
        <v>46048</v>
      </c>
      <c r="B4884" s="40"/>
      <c r="C4884" s="40"/>
      <c r="D4884" s="41"/>
      <c r="E4884" s="43">
        <f>C4884</f>
        <v>0</v>
      </c>
      <c r="F4884" s="42"/>
    </row>
    <row r="4885" spans="1:6">
      <c r="A4885" s="39">
        <f>A4884</f>
        <v>46048</v>
      </c>
      <c r="B4885" s="40"/>
      <c r="C4885" s="40"/>
      <c r="D4885" s="41"/>
      <c r="E4885" s="43">
        <f>C4885</f>
        <v>0</v>
      </c>
      <c r="F4885" s="42"/>
    </row>
    <row r="4886" spans="1:6">
      <c r="A4886" s="39">
        <f>A4885</f>
        <v>46048</v>
      </c>
      <c r="B4886" s="40"/>
      <c r="C4886" s="40"/>
      <c r="D4886" s="41"/>
      <c r="E4886" s="43">
        <f>C4886</f>
        <v>0</v>
      </c>
      <c r="F4886" s="42"/>
    </row>
    <row r="4887" spans="1:6">
      <c r="A4887" s="39">
        <f>A4886</f>
        <v>46048</v>
      </c>
      <c r="B4887" s="40"/>
      <c r="C4887" s="40"/>
      <c r="D4887" s="41"/>
      <c r="E4887" s="43">
        <f>C4887</f>
        <v>0</v>
      </c>
      <c r="F4887" s="42"/>
    </row>
    <row r="4888" spans="1:6">
      <c r="A4888" s="39">
        <f>A4887</f>
        <v>46048</v>
      </c>
      <c r="B4888" s="40"/>
      <c r="C4888" s="40"/>
      <c r="D4888" s="41"/>
      <c r="E4888" s="43">
        <f>C4888</f>
        <v>0</v>
      </c>
      <c r="F4888" s="42"/>
    </row>
    <row r="4889" spans="1:6">
      <c r="A4889" s="39">
        <f>A4888</f>
        <v>46048</v>
      </c>
      <c r="B4889" s="40"/>
      <c r="C4889" s="40"/>
      <c r="D4889" s="41"/>
      <c r="E4889" s="43">
        <f>C4889</f>
        <v>0</v>
      </c>
      <c r="F4889" s="42"/>
    </row>
    <row r="4890" spans="1:6">
      <c r="A4890" s="39">
        <f>A4889</f>
        <v>46048</v>
      </c>
      <c r="B4890" s="40"/>
      <c r="C4890" s="40"/>
      <c r="D4890" s="41"/>
      <c r="E4890" s="43">
        <f>C4890</f>
        <v>0</v>
      </c>
      <c r="F4890" s="42"/>
    </row>
    <row r="4891" spans="1:6">
      <c r="A4891" s="39">
        <f>A4890</f>
        <v>46048</v>
      </c>
      <c r="B4891" s="40"/>
      <c r="C4891" s="40"/>
      <c r="D4891" s="41"/>
      <c r="E4891" s="43">
        <f>C4891</f>
        <v>0</v>
      </c>
      <c r="F4891" s="42"/>
    </row>
    <row r="4892" spans="1:6">
      <c r="A4892" s="39">
        <f>A4891</f>
        <v>46048</v>
      </c>
      <c r="B4892" s="40"/>
      <c r="C4892" s="40"/>
      <c r="D4892" s="41"/>
      <c r="E4892" s="43">
        <f>C4892</f>
        <v>0</v>
      </c>
      <c r="F4892" s="42"/>
    </row>
    <row r="4893" spans="1:6">
      <c r="A4893" s="39">
        <f>A4892</f>
        <v>46048</v>
      </c>
      <c r="B4893" s="40"/>
      <c r="C4893" s="40"/>
      <c r="D4893" s="41"/>
      <c r="E4893" s="43">
        <f>C4893</f>
        <v>0</v>
      </c>
      <c r="F4893" s="42"/>
    </row>
    <row r="4894" spans="1:6">
      <c r="A4894" s="39">
        <f>A4893</f>
        <v>46048</v>
      </c>
      <c r="B4894" s="40"/>
      <c r="C4894" s="40"/>
      <c r="D4894" s="41"/>
      <c r="E4894" s="43">
        <f>C4894</f>
        <v>0</v>
      </c>
      <c r="F4894" s="42"/>
    </row>
    <row r="4895" spans="1:6">
      <c r="A4895" s="39">
        <f>A4894</f>
        <v>46048</v>
      </c>
      <c r="B4895" s="40"/>
      <c r="C4895" s="40"/>
      <c r="D4895" s="41"/>
      <c r="E4895" s="43">
        <f>C4895</f>
        <v>0</v>
      </c>
      <c r="F4895" s="42"/>
    </row>
    <row r="4896" spans="1:6">
      <c r="A4896" s="39">
        <f>A4895</f>
        <v>46048</v>
      </c>
      <c r="B4896" s="40"/>
      <c r="C4896" s="40"/>
      <c r="D4896" s="41"/>
      <c r="E4896" s="43">
        <f>C4896</f>
        <v>0</v>
      </c>
      <c r="F4896" s="42"/>
    </row>
    <row r="4897" spans="1:6">
      <c r="A4897" s="39">
        <f>A4896</f>
        <v>46048</v>
      </c>
      <c r="B4897" s="40"/>
      <c r="C4897" s="40"/>
      <c r="D4897" s="41"/>
      <c r="E4897" s="43">
        <f>C4897</f>
        <v>0</v>
      </c>
      <c r="F4897" s="42"/>
    </row>
    <row r="4898" spans="1:6">
      <c r="A4898" s="39">
        <f>A4897</f>
        <v>46048</v>
      </c>
      <c r="B4898" s="40"/>
      <c r="C4898" s="40"/>
      <c r="D4898" s="41"/>
      <c r="E4898" s="43">
        <f>C4898</f>
        <v>0</v>
      </c>
      <c r="F4898" s="42"/>
    </row>
    <row r="4899" spans="1:6">
      <c r="A4899" s="39">
        <f>A4898</f>
        <v>46048</v>
      </c>
      <c r="B4899" s="40"/>
      <c r="C4899" s="40"/>
      <c r="D4899" s="41"/>
      <c r="E4899" s="43">
        <f>C4899</f>
        <v>0</v>
      </c>
      <c r="F4899" s="42"/>
    </row>
    <row r="4900" spans="1:6">
      <c r="A4900" s="39">
        <f>A4899</f>
        <v>46048</v>
      </c>
      <c r="B4900" s="40"/>
      <c r="C4900" s="40"/>
      <c r="D4900" s="41"/>
      <c r="E4900" s="43">
        <f>C4900</f>
        <v>0</v>
      </c>
      <c r="F4900" s="42"/>
    </row>
    <row r="4901" spans="1:6">
      <c r="A4901" s="39">
        <f>A4900</f>
        <v>46048</v>
      </c>
      <c r="B4901" s="40"/>
      <c r="C4901" s="40"/>
      <c r="D4901" s="41"/>
      <c r="E4901" s="43">
        <f>C4901</f>
        <v>0</v>
      </c>
      <c r="F4901" s="42"/>
    </row>
    <row r="4902" spans="1:6">
      <c r="A4902" s="39">
        <f>A4901</f>
        <v>46048</v>
      </c>
      <c r="B4902" s="40"/>
      <c r="C4902" s="40"/>
      <c r="D4902" s="41"/>
      <c r="E4902" s="43">
        <f>C4902</f>
        <v>0</v>
      </c>
      <c r="F4902" s="42"/>
    </row>
    <row r="4903" spans="1:6">
      <c r="A4903" s="39">
        <f>A4902</f>
        <v>46048</v>
      </c>
      <c r="B4903" s="40"/>
      <c r="C4903" s="40"/>
      <c r="D4903" s="41"/>
      <c r="E4903" s="43">
        <f>C4903</f>
        <v>0</v>
      </c>
      <c r="F4903" s="42"/>
    </row>
    <row r="4904" spans="1:6">
      <c r="A4904" s="39">
        <f>A4903</f>
        <v>46048</v>
      </c>
      <c r="B4904" s="40"/>
      <c r="C4904" s="40"/>
      <c r="D4904" s="41"/>
      <c r="E4904" s="43">
        <f>C4904</f>
        <v>0</v>
      </c>
      <c r="F4904" s="42"/>
    </row>
    <row r="4905" spans="1:6">
      <c r="A4905" s="39">
        <f>A4904</f>
        <v>46048</v>
      </c>
      <c r="B4905" s="40"/>
      <c r="C4905" s="40"/>
      <c r="D4905" s="41"/>
      <c r="E4905" s="43">
        <f>C4905</f>
        <v>0</v>
      </c>
      <c r="F4905" s="42"/>
    </row>
    <row r="4906" spans="1:6">
      <c r="A4906" s="39">
        <f>A4905</f>
        <v>46048</v>
      </c>
      <c r="B4906" s="40"/>
      <c r="C4906" s="40"/>
      <c r="D4906" s="41"/>
      <c r="E4906" s="43">
        <f>C4906</f>
        <v>0</v>
      </c>
      <c r="F4906" s="42"/>
    </row>
    <row r="4907" spans="1:6">
      <c r="A4907" s="39">
        <f>A4906</f>
        <v>46048</v>
      </c>
      <c r="B4907" s="40"/>
      <c r="C4907" s="40"/>
      <c r="D4907" s="41"/>
      <c r="E4907" s="43">
        <f>C4907</f>
        <v>0</v>
      </c>
      <c r="F4907" s="42"/>
    </row>
    <row r="4908" spans="1:6">
      <c r="A4908" s="39">
        <f>A4907</f>
        <v>46048</v>
      </c>
      <c r="B4908" s="40"/>
      <c r="C4908" s="40"/>
      <c r="D4908" s="41"/>
      <c r="E4908" s="43">
        <f>C4908</f>
        <v>0</v>
      </c>
      <c r="F4908" s="42"/>
    </row>
    <row r="4909" spans="1:6">
      <c r="A4909" s="39">
        <f>A4908</f>
        <v>46048</v>
      </c>
      <c r="B4909" s="40"/>
      <c r="C4909" s="40"/>
      <c r="D4909" s="41"/>
      <c r="E4909" s="43">
        <f>C4909</f>
        <v>0</v>
      </c>
      <c r="F4909" s="42"/>
    </row>
    <row r="4910" spans="1:6">
      <c r="A4910" s="39">
        <f>A4909</f>
        <v>46048</v>
      </c>
      <c r="B4910" s="40"/>
      <c r="C4910" s="40"/>
      <c r="D4910" s="41"/>
      <c r="E4910" s="43">
        <f>C4910</f>
        <v>0</v>
      </c>
      <c r="F4910" s="42"/>
    </row>
    <row r="4911" spans="1:6">
      <c r="A4911" s="39">
        <f>A4910</f>
        <v>46048</v>
      </c>
      <c r="B4911" s="40"/>
      <c r="C4911" s="40"/>
      <c r="D4911" s="41"/>
      <c r="E4911" s="43">
        <f>C4911</f>
        <v>0</v>
      </c>
      <c r="F4911" s="42"/>
    </row>
    <row r="4912" spans="1:6">
      <c r="A4912" s="39">
        <f>A4911</f>
        <v>46048</v>
      </c>
      <c r="B4912" s="40"/>
      <c r="C4912" s="40"/>
      <c r="D4912" s="41"/>
      <c r="E4912" s="43">
        <f>C4912</f>
        <v>0</v>
      </c>
      <c r="F4912" s="42"/>
    </row>
    <row r="4913" spans="1:6">
      <c r="A4913" s="39">
        <f>A4912</f>
        <v>46048</v>
      </c>
      <c r="B4913" s="40"/>
      <c r="C4913" s="40"/>
      <c r="D4913" s="41"/>
      <c r="E4913" s="43">
        <f>C4913</f>
        <v>0</v>
      </c>
      <c r="F4913" s="42"/>
    </row>
    <row r="4914" spans="1:6">
      <c r="A4914" s="39">
        <f>A4913</f>
        <v>46048</v>
      </c>
      <c r="B4914" s="40"/>
      <c r="C4914" s="40"/>
      <c r="D4914" s="41"/>
      <c r="E4914" s="43">
        <f>C4914</f>
        <v>0</v>
      </c>
      <c r="F4914" s="42"/>
    </row>
    <row r="4915" spans="1:6">
      <c r="A4915" s="39">
        <f>A4914</f>
        <v>46048</v>
      </c>
      <c r="B4915" s="40"/>
      <c r="C4915" s="40"/>
      <c r="D4915" s="41"/>
      <c r="E4915" s="43">
        <f>C4915</f>
        <v>0</v>
      </c>
      <c r="F4915" s="42"/>
    </row>
    <row r="4916" spans="1:6">
      <c r="A4916" s="39">
        <f>A4915</f>
        <v>46048</v>
      </c>
      <c r="B4916" s="40"/>
      <c r="C4916" s="40"/>
      <c r="D4916" s="41"/>
      <c r="E4916" s="43">
        <f>C4916</f>
        <v>0</v>
      </c>
      <c r="F4916" s="42"/>
    </row>
    <row r="4917" spans="1:6">
      <c r="A4917" s="39">
        <f>A4916</f>
        <v>46048</v>
      </c>
      <c r="B4917" s="40"/>
      <c r="C4917" s="40"/>
      <c r="D4917" s="41"/>
      <c r="E4917" s="43">
        <f>C4917</f>
        <v>0</v>
      </c>
      <c r="F4917" s="42"/>
    </row>
    <row r="4918" spans="1:6">
      <c r="A4918" s="39">
        <f>A4917</f>
        <v>46048</v>
      </c>
      <c r="B4918" s="40"/>
      <c r="C4918" s="40"/>
      <c r="D4918" s="41"/>
      <c r="E4918" s="43">
        <f>C4918</f>
        <v>0</v>
      </c>
      <c r="F4918" s="42"/>
    </row>
    <row r="4919" spans="1:6">
      <c r="A4919" s="39">
        <f>A4918</f>
        <v>46048</v>
      </c>
      <c r="B4919" s="40"/>
      <c r="C4919" s="40"/>
      <c r="D4919" s="41"/>
      <c r="E4919" s="43">
        <f>C4919</f>
        <v>0</v>
      </c>
      <c r="F4919" s="42"/>
    </row>
    <row r="4920" spans="1:6">
      <c r="A4920" s="39">
        <f>A4919</f>
        <v>46048</v>
      </c>
      <c r="B4920" s="40"/>
      <c r="C4920" s="40"/>
      <c r="D4920" s="41"/>
      <c r="E4920" s="43">
        <f>C4920</f>
        <v>0</v>
      </c>
      <c r="F4920" s="42"/>
    </row>
    <row r="4921" spans="1:6">
      <c r="A4921" s="39">
        <f>A4920</f>
        <v>46048</v>
      </c>
      <c r="B4921" s="40"/>
      <c r="C4921" s="40"/>
      <c r="D4921" s="41"/>
      <c r="E4921" s="43">
        <f>C4921</f>
        <v>0</v>
      </c>
      <c r="F4921" s="42"/>
    </row>
    <row r="4922" spans="1:6">
      <c r="A4922" s="39">
        <f>A4921</f>
        <v>46048</v>
      </c>
      <c r="B4922" s="40"/>
      <c r="C4922" s="40"/>
      <c r="D4922" s="41"/>
      <c r="E4922" s="43">
        <f>C4922</f>
        <v>0</v>
      </c>
      <c r="F4922" s="42"/>
    </row>
    <row r="4923" spans="1:6">
      <c r="A4923" s="39">
        <f>A4922</f>
        <v>46048</v>
      </c>
      <c r="B4923" s="40"/>
      <c r="C4923" s="40"/>
      <c r="D4923" s="41"/>
      <c r="E4923" s="43">
        <f>C4923</f>
        <v>0</v>
      </c>
      <c r="F4923" s="42"/>
    </row>
    <row r="4924" spans="1:6">
      <c r="A4924" s="39">
        <f>A4923</f>
        <v>46048</v>
      </c>
      <c r="B4924" s="40"/>
      <c r="C4924" s="40"/>
      <c r="D4924" s="41"/>
      <c r="E4924" s="43">
        <f>C4924</f>
        <v>0</v>
      </c>
      <c r="F4924" s="42"/>
    </row>
    <row r="4925" spans="1:6">
      <c r="A4925" s="39">
        <f>A4924</f>
        <v>46048</v>
      </c>
      <c r="B4925" s="40"/>
      <c r="C4925" s="40"/>
      <c r="D4925" s="41"/>
      <c r="E4925" s="43">
        <f>C4925</f>
        <v>0</v>
      </c>
      <c r="F4925" s="42"/>
    </row>
    <row r="4926" spans="1:6">
      <c r="A4926" s="39">
        <f>A4925</f>
        <v>46048</v>
      </c>
      <c r="B4926" s="40"/>
      <c r="C4926" s="40"/>
      <c r="D4926" s="41"/>
      <c r="E4926" s="43">
        <f>C4926</f>
        <v>0</v>
      </c>
      <c r="F4926" s="42"/>
    </row>
    <row r="4927" spans="1:6">
      <c r="A4927" s="39">
        <f>A4926</f>
        <v>46048</v>
      </c>
      <c r="B4927" s="40"/>
      <c r="C4927" s="40"/>
      <c r="D4927" s="41"/>
      <c r="E4927" s="43">
        <f>C4927</f>
        <v>0</v>
      </c>
      <c r="F4927" s="42"/>
    </row>
    <row r="4928" spans="1:6">
      <c r="A4928" s="39">
        <f>A4927</f>
        <v>46048</v>
      </c>
      <c r="B4928" s="40"/>
      <c r="C4928" s="40"/>
      <c r="D4928" s="41"/>
      <c r="E4928" s="43">
        <f>C4928</f>
        <v>0</v>
      </c>
      <c r="F4928" s="42"/>
    </row>
    <row r="4929" spans="1:6">
      <c r="A4929" s="39">
        <f>A4928</f>
        <v>46048</v>
      </c>
      <c r="B4929" s="40"/>
      <c r="C4929" s="40"/>
      <c r="D4929" s="41"/>
      <c r="E4929" s="43">
        <f>C4929</f>
        <v>0</v>
      </c>
      <c r="F4929" s="42"/>
    </row>
    <row r="4930" spans="1:6">
      <c r="A4930" s="39">
        <f>A4929</f>
        <v>46048</v>
      </c>
      <c r="B4930" s="40"/>
      <c r="C4930" s="40"/>
      <c r="D4930" s="41"/>
      <c r="E4930" s="43">
        <f>C4930</f>
        <v>0</v>
      </c>
      <c r="F4930" s="42"/>
    </row>
    <row r="4931" spans="1:6">
      <c r="A4931" s="39">
        <f>A4930</f>
        <v>46048</v>
      </c>
      <c r="B4931" s="40"/>
      <c r="C4931" s="40"/>
      <c r="D4931" s="41"/>
      <c r="E4931" s="43">
        <f>C4931</f>
        <v>0</v>
      </c>
      <c r="F4931" s="42"/>
    </row>
    <row r="4932" spans="1:6">
      <c r="A4932" s="39">
        <f>A4931</f>
        <v>46048</v>
      </c>
      <c r="B4932" s="40"/>
      <c r="C4932" s="40"/>
      <c r="D4932" s="41"/>
      <c r="E4932" s="43">
        <f>C4932</f>
        <v>0</v>
      </c>
      <c r="F4932" s="42"/>
    </row>
    <row r="4933" spans="1:6">
      <c r="A4933" s="39">
        <f>A4932</f>
        <v>46048</v>
      </c>
      <c r="B4933" s="40"/>
      <c r="C4933" s="40"/>
      <c r="D4933" s="41"/>
      <c r="E4933" s="43">
        <f>C4933</f>
        <v>0</v>
      </c>
      <c r="F4933" s="42"/>
    </row>
    <row r="4934" spans="1:6">
      <c r="A4934" s="39">
        <f>A4933</f>
        <v>46048</v>
      </c>
      <c r="B4934" s="40"/>
      <c r="C4934" s="40"/>
      <c r="D4934" s="41"/>
      <c r="E4934" s="43">
        <f>C4934</f>
        <v>0</v>
      </c>
      <c r="F4934" s="42"/>
    </row>
    <row r="4935" spans="1:6">
      <c r="A4935" s="39">
        <f>A4934</f>
        <v>46048</v>
      </c>
      <c r="B4935" s="40"/>
      <c r="C4935" s="40"/>
      <c r="D4935" s="41"/>
      <c r="E4935" s="43">
        <f>C4935</f>
        <v>0</v>
      </c>
      <c r="F4935" s="42"/>
    </row>
    <row r="4936" spans="1:6">
      <c r="A4936" s="39">
        <f>A4935</f>
        <v>46048</v>
      </c>
      <c r="B4936" s="40"/>
      <c r="C4936" s="40"/>
      <c r="D4936" s="41"/>
      <c r="E4936" s="43">
        <f>C4936</f>
        <v>0</v>
      </c>
      <c r="F4936" s="42"/>
    </row>
    <row r="4937" spans="1:6">
      <c r="A4937" s="39">
        <f>A4936</f>
        <v>46048</v>
      </c>
      <c r="B4937" s="40"/>
      <c r="C4937" s="40"/>
      <c r="D4937" s="41"/>
      <c r="E4937" s="43">
        <f>C4937</f>
        <v>0</v>
      </c>
      <c r="F4937" s="42"/>
    </row>
    <row r="4938" spans="1:6">
      <c r="A4938" s="39">
        <f>A4937</f>
        <v>46048</v>
      </c>
      <c r="B4938" s="40"/>
      <c r="C4938" s="40"/>
      <c r="D4938" s="41"/>
      <c r="E4938" s="43">
        <f>C4938</f>
        <v>0</v>
      </c>
      <c r="F4938" s="42"/>
    </row>
    <row r="4939" spans="1:6">
      <c r="A4939" s="39">
        <f>A4938</f>
        <v>46048</v>
      </c>
      <c r="B4939" s="40"/>
      <c r="C4939" s="40"/>
      <c r="D4939" s="41"/>
      <c r="E4939" s="43">
        <f>C4939</f>
        <v>0</v>
      </c>
      <c r="F4939" s="42"/>
    </row>
    <row r="4940" spans="1:6">
      <c r="A4940" s="39">
        <f>A4939</f>
        <v>46048</v>
      </c>
      <c r="B4940" s="40"/>
      <c r="C4940" s="40"/>
      <c r="D4940" s="41"/>
      <c r="E4940" s="43">
        <f>C4940</f>
        <v>0</v>
      </c>
      <c r="F4940" s="42"/>
    </row>
    <row r="4941" spans="1:6">
      <c r="A4941" s="39">
        <f>A4940</f>
        <v>46048</v>
      </c>
      <c r="B4941" s="40"/>
      <c r="C4941" s="40"/>
      <c r="D4941" s="41"/>
      <c r="E4941" s="43">
        <f>C4941</f>
        <v>0</v>
      </c>
      <c r="F4941" s="42"/>
    </row>
    <row r="4942" spans="1:6">
      <c r="A4942" s="39">
        <f>A4941</f>
        <v>46048</v>
      </c>
      <c r="B4942" s="40"/>
      <c r="C4942" s="40"/>
      <c r="D4942" s="41"/>
      <c r="E4942" s="43">
        <f>C4942</f>
        <v>0</v>
      </c>
      <c r="F4942" s="42"/>
    </row>
    <row r="4943" spans="1:6">
      <c r="A4943" s="39">
        <f>A4942</f>
        <v>46048</v>
      </c>
      <c r="B4943" s="40"/>
      <c r="C4943" s="40"/>
      <c r="D4943" s="41"/>
      <c r="E4943" s="43">
        <f>C4943</f>
        <v>0</v>
      </c>
      <c r="F4943" s="42"/>
    </row>
    <row r="4944" spans="1:6">
      <c r="A4944" s="39">
        <f>A4943</f>
        <v>46048</v>
      </c>
      <c r="B4944" s="40"/>
      <c r="C4944" s="40"/>
      <c r="D4944" s="41"/>
      <c r="E4944" s="43">
        <f>C4944</f>
        <v>0</v>
      </c>
      <c r="F4944" s="42"/>
    </row>
    <row r="4945" spans="1:6">
      <c r="A4945" s="39">
        <f>A4944</f>
        <v>46048</v>
      </c>
      <c r="B4945" s="40"/>
      <c r="C4945" s="40"/>
      <c r="D4945" s="41"/>
      <c r="E4945" s="43">
        <f>C4945</f>
        <v>0</v>
      </c>
      <c r="F4945" s="42"/>
    </row>
    <row r="4946" spans="1:6">
      <c r="A4946" s="39">
        <f>A4945</f>
        <v>46048</v>
      </c>
      <c r="B4946" s="40"/>
      <c r="C4946" s="40"/>
      <c r="D4946" s="41"/>
      <c r="E4946" s="43">
        <f>C4946</f>
        <v>0</v>
      </c>
      <c r="F4946" s="42"/>
    </row>
    <row r="4947" spans="1:6">
      <c r="A4947" s="39">
        <f>A4946</f>
        <v>46048</v>
      </c>
      <c r="B4947" s="40"/>
      <c r="C4947" s="40"/>
      <c r="D4947" s="41"/>
      <c r="E4947" s="43">
        <f>C4947</f>
        <v>0</v>
      </c>
      <c r="F4947" s="42"/>
    </row>
    <row r="4948" spans="1:6">
      <c r="A4948" s="39">
        <f>A4947</f>
        <v>46048</v>
      </c>
      <c r="B4948" s="40"/>
      <c r="C4948" s="40"/>
      <c r="D4948" s="41"/>
      <c r="E4948" s="43">
        <f>C4948</f>
        <v>0</v>
      </c>
      <c r="F4948" s="42"/>
    </row>
    <row r="4949" spans="1:6">
      <c r="A4949" s="39">
        <f>A4948</f>
        <v>46048</v>
      </c>
      <c r="B4949" s="40"/>
      <c r="C4949" s="40"/>
      <c r="D4949" s="41"/>
      <c r="E4949" s="43">
        <f>C4949</f>
        <v>0</v>
      </c>
      <c r="F4949" s="42"/>
    </row>
    <row r="4950" spans="1:6">
      <c r="A4950" s="39">
        <f>A4949</f>
        <v>46048</v>
      </c>
      <c r="B4950" s="40"/>
      <c r="C4950" s="40"/>
      <c r="D4950" s="41"/>
      <c r="E4950" s="43">
        <f>C4950</f>
        <v>0</v>
      </c>
      <c r="F4950" s="42"/>
    </row>
    <row r="4951" spans="1:6">
      <c r="A4951" s="39">
        <f>A4950</f>
        <v>46048</v>
      </c>
      <c r="B4951" s="40"/>
      <c r="C4951" s="40"/>
      <c r="D4951" s="41"/>
      <c r="E4951" s="43">
        <f>C4951</f>
        <v>0</v>
      </c>
      <c r="F4951" s="42"/>
    </row>
    <row r="4952" spans="1:6">
      <c r="A4952" s="39">
        <f>A4951</f>
        <v>46048</v>
      </c>
      <c r="B4952" s="40"/>
      <c r="C4952" s="40"/>
      <c r="D4952" s="41"/>
      <c r="E4952" s="43">
        <f>C4952</f>
        <v>0</v>
      </c>
      <c r="F4952" s="42"/>
    </row>
    <row r="4953" spans="1:6">
      <c r="A4953" s="39">
        <f>A4952</f>
        <v>46048</v>
      </c>
      <c r="B4953" s="40"/>
      <c r="C4953" s="40"/>
      <c r="D4953" s="41"/>
      <c r="E4953" s="43">
        <f>C4953</f>
        <v>0</v>
      </c>
      <c r="F4953" s="42"/>
    </row>
    <row r="4954" spans="1:6">
      <c r="A4954" s="39">
        <f>A4953</f>
        <v>46048</v>
      </c>
      <c r="B4954" s="40"/>
      <c r="C4954" s="40"/>
      <c r="D4954" s="41"/>
      <c r="E4954" s="43">
        <f>C4954</f>
        <v>0</v>
      </c>
      <c r="F4954" s="42"/>
    </row>
    <row r="4955" spans="1:6">
      <c r="A4955" s="39">
        <f>A4954</f>
        <v>46048</v>
      </c>
      <c r="B4955" s="40"/>
      <c r="C4955" s="40"/>
      <c r="D4955" s="41"/>
      <c r="E4955" s="43">
        <f>C4955</f>
        <v>0</v>
      </c>
      <c r="F4955" s="42"/>
    </row>
    <row r="4956" spans="1:6">
      <c r="A4956" s="39">
        <f>A4955</f>
        <v>46048</v>
      </c>
      <c r="B4956" s="40"/>
      <c r="C4956" s="40"/>
      <c r="D4956" s="41"/>
      <c r="E4956" s="43">
        <f>C4956</f>
        <v>0</v>
      </c>
      <c r="F4956" s="42"/>
    </row>
    <row r="4957" spans="1:6">
      <c r="A4957" s="39">
        <f>A4956</f>
        <v>46048</v>
      </c>
      <c r="B4957" s="40"/>
      <c r="C4957" s="40"/>
      <c r="D4957" s="41"/>
      <c r="E4957" s="43">
        <f>C4957</f>
        <v>0</v>
      </c>
      <c r="F4957" s="42"/>
    </row>
    <row r="4958" spans="1:6">
      <c r="A4958" s="39">
        <f>A4957</f>
        <v>46048</v>
      </c>
      <c r="B4958" s="40"/>
      <c r="C4958" s="40"/>
      <c r="D4958" s="41"/>
      <c r="E4958" s="43">
        <f>C4958</f>
        <v>0</v>
      </c>
      <c r="F4958" s="42"/>
    </row>
    <row r="4959" spans="1:6">
      <c r="A4959" s="39">
        <f>A4958</f>
        <v>46048</v>
      </c>
      <c r="B4959" s="40"/>
      <c r="C4959" s="40"/>
      <c r="D4959" s="41"/>
      <c r="E4959" s="43">
        <f>C4959</f>
        <v>0</v>
      </c>
      <c r="F4959" s="42"/>
    </row>
    <row r="4960" spans="1:6">
      <c r="A4960" s="39">
        <f>A4959</f>
        <v>46048</v>
      </c>
      <c r="B4960" s="40"/>
      <c r="C4960" s="40"/>
      <c r="D4960" s="41"/>
      <c r="E4960" s="43">
        <f>C4960</f>
        <v>0</v>
      </c>
      <c r="F4960" s="42"/>
    </row>
    <row r="4961" spans="1:6">
      <c r="A4961" s="39">
        <f>A4960</f>
        <v>46048</v>
      </c>
      <c r="B4961" s="40"/>
      <c r="C4961" s="40"/>
      <c r="D4961" s="41"/>
      <c r="E4961" s="43">
        <f>C4961</f>
        <v>0</v>
      </c>
      <c r="F4961" s="42"/>
    </row>
    <row r="4962" spans="1:6">
      <c r="A4962" s="39">
        <f>A4961</f>
        <v>46048</v>
      </c>
      <c r="B4962" s="40"/>
      <c r="C4962" s="40"/>
      <c r="D4962" s="41"/>
      <c r="E4962" s="43">
        <f>C4962</f>
        <v>0</v>
      </c>
      <c r="F4962" s="42"/>
    </row>
    <row r="4963" spans="1:6">
      <c r="A4963" s="39">
        <f>A4962</f>
        <v>46048</v>
      </c>
      <c r="B4963" s="40"/>
      <c r="C4963" s="40"/>
      <c r="D4963" s="41"/>
      <c r="E4963" s="43">
        <f>C4963</f>
        <v>0</v>
      </c>
      <c r="F4963" s="42"/>
    </row>
    <row r="4964" spans="1:6">
      <c r="A4964" s="39">
        <f>A4963</f>
        <v>46048</v>
      </c>
      <c r="B4964" s="40"/>
      <c r="C4964" s="40"/>
      <c r="D4964" s="41"/>
      <c r="E4964" s="43">
        <f>C4964</f>
        <v>0</v>
      </c>
      <c r="F4964" s="42"/>
    </row>
    <row r="4965" spans="1:6">
      <c r="A4965" s="39">
        <f>A4964</f>
        <v>46048</v>
      </c>
      <c r="B4965" s="40"/>
      <c r="C4965" s="40"/>
      <c r="D4965" s="41"/>
      <c r="E4965" s="43">
        <f>C4965</f>
        <v>0</v>
      </c>
      <c r="F4965" s="42"/>
    </row>
    <row r="4966" spans="1:6">
      <c r="A4966" s="39">
        <f>A4965</f>
        <v>46048</v>
      </c>
      <c r="B4966" s="40"/>
      <c r="C4966" s="40"/>
      <c r="D4966" s="41"/>
      <c r="E4966" s="43">
        <f>C4966</f>
        <v>0</v>
      </c>
      <c r="F4966" s="42"/>
    </row>
    <row r="4967" spans="1:6">
      <c r="A4967" s="39">
        <f>A4966</f>
        <v>46048</v>
      </c>
      <c r="B4967" s="40"/>
      <c r="C4967" s="40"/>
      <c r="D4967" s="41"/>
      <c r="E4967" s="43">
        <f>C4967</f>
        <v>0</v>
      </c>
      <c r="F4967" s="42"/>
    </row>
    <row r="4968" spans="1:6">
      <c r="A4968" s="39">
        <f>A4967</f>
        <v>46048</v>
      </c>
      <c r="B4968" s="40"/>
      <c r="C4968" s="40"/>
      <c r="D4968" s="41"/>
      <c r="E4968" s="43">
        <f>C4968</f>
        <v>0</v>
      </c>
      <c r="F4968" s="42"/>
    </row>
    <row r="4969" spans="1:6">
      <c r="A4969" s="39">
        <f>A4968</f>
        <v>46048</v>
      </c>
      <c r="B4969" s="40"/>
      <c r="C4969" s="40"/>
      <c r="D4969" s="41"/>
      <c r="E4969" s="43">
        <f>C4969</f>
        <v>0</v>
      </c>
      <c r="F4969" s="42"/>
    </row>
    <row r="4970" spans="1:6">
      <c r="A4970" s="39">
        <f>A4969</f>
        <v>46048</v>
      </c>
      <c r="B4970" s="40"/>
      <c r="C4970" s="40"/>
      <c r="D4970" s="41"/>
      <c r="E4970" s="43">
        <f>C4970</f>
        <v>0</v>
      </c>
      <c r="F4970" s="42"/>
    </row>
    <row r="4971" spans="1:6">
      <c r="A4971" s="39">
        <f>A4970</f>
        <v>46048</v>
      </c>
      <c r="B4971" s="40"/>
      <c r="C4971" s="40"/>
      <c r="D4971" s="41"/>
      <c r="E4971" s="43">
        <f>C4971</f>
        <v>0</v>
      </c>
      <c r="F4971" s="42"/>
    </row>
    <row r="4972" spans="1:6">
      <c r="A4972" s="39">
        <f>A4971</f>
        <v>46048</v>
      </c>
      <c r="B4972" s="40"/>
      <c r="C4972" s="40"/>
      <c r="D4972" s="41"/>
      <c r="E4972" s="43">
        <f>C4972</f>
        <v>0</v>
      </c>
      <c r="F4972" s="42"/>
    </row>
    <row r="4973" spans="1:6">
      <c r="A4973" s="39">
        <f>A4972</f>
        <v>46048</v>
      </c>
      <c r="B4973" s="40"/>
      <c r="C4973" s="40"/>
      <c r="D4973" s="41"/>
      <c r="E4973" s="43">
        <f>C4973</f>
        <v>0</v>
      </c>
      <c r="F4973" s="42"/>
    </row>
    <row r="4974" spans="1:6">
      <c r="A4974" s="39">
        <f>A4973</f>
        <v>46048</v>
      </c>
      <c r="B4974" s="40"/>
      <c r="C4974" s="40"/>
      <c r="D4974" s="41"/>
      <c r="E4974" s="43">
        <f>C4974</f>
        <v>0</v>
      </c>
      <c r="F4974" s="42"/>
    </row>
    <row r="4975" spans="1:6">
      <c r="A4975" s="39">
        <f>A4974</f>
        <v>46048</v>
      </c>
      <c r="B4975" s="40"/>
      <c r="C4975" s="40"/>
      <c r="D4975" s="41"/>
      <c r="E4975" s="43">
        <f>C4975</f>
        <v>0</v>
      </c>
      <c r="F4975" s="42"/>
    </row>
    <row r="4976" spans="1:6">
      <c r="A4976" s="39">
        <f>A4975</f>
        <v>46048</v>
      </c>
      <c r="B4976" s="40"/>
      <c r="C4976" s="40"/>
      <c r="D4976" s="41"/>
      <c r="E4976" s="43">
        <f>C4976</f>
        <v>0</v>
      </c>
      <c r="F4976" s="42"/>
    </row>
    <row r="4977" spans="1:6">
      <c r="A4977" s="39">
        <f>A4976</f>
        <v>46048</v>
      </c>
      <c r="B4977" s="40"/>
      <c r="C4977" s="40"/>
      <c r="D4977" s="41"/>
      <c r="E4977" s="43">
        <f>C4977</f>
        <v>0</v>
      </c>
      <c r="F4977" s="42"/>
    </row>
    <row r="4978" spans="1:6">
      <c r="A4978" s="39">
        <f>A4977</f>
        <v>46048</v>
      </c>
      <c r="B4978" s="40"/>
      <c r="C4978" s="40"/>
      <c r="D4978" s="41"/>
      <c r="E4978" s="43">
        <f>C4978</f>
        <v>0</v>
      </c>
      <c r="F4978" s="42"/>
    </row>
    <row r="4979" spans="1:6">
      <c r="A4979" s="39">
        <f>A4978</f>
        <v>46048</v>
      </c>
      <c r="B4979" s="40"/>
      <c r="C4979" s="40"/>
      <c r="D4979" s="41"/>
      <c r="E4979" s="43">
        <f>C4979</f>
        <v>0</v>
      </c>
      <c r="F4979" s="42"/>
    </row>
    <row r="4980" spans="1:6">
      <c r="A4980" s="39">
        <f>A4979</f>
        <v>46048</v>
      </c>
      <c r="B4980" s="40"/>
      <c r="C4980" s="40"/>
      <c r="D4980" s="41"/>
      <c r="E4980" s="43">
        <f>C4980</f>
        <v>0</v>
      </c>
      <c r="F4980" s="42"/>
    </row>
    <row r="4981" spans="1:6">
      <c r="A4981" s="39">
        <f>A4980</f>
        <v>46048</v>
      </c>
      <c r="B4981" s="40"/>
      <c r="C4981" s="40"/>
      <c r="D4981" s="41"/>
      <c r="E4981" s="43">
        <f>C4981</f>
        <v>0</v>
      </c>
      <c r="F4981" s="42"/>
    </row>
    <row r="4982" spans="1:6">
      <c r="A4982" s="39">
        <f>A4981</f>
        <v>46048</v>
      </c>
      <c r="B4982" s="40"/>
      <c r="C4982" s="40"/>
      <c r="D4982" s="41"/>
      <c r="E4982" s="43">
        <f>C4982</f>
        <v>0</v>
      </c>
      <c r="F4982" s="42"/>
    </row>
    <row r="4983" spans="1:6">
      <c r="A4983" s="39">
        <f>A4982</f>
        <v>46048</v>
      </c>
      <c r="B4983" s="40"/>
      <c r="C4983" s="40"/>
      <c r="D4983" s="41"/>
      <c r="E4983" s="43">
        <f>C4983</f>
        <v>0</v>
      </c>
      <c r="F4983" s="42"/>
    </row>
    <row r="4984" spans="1:6">
      <c r="A4984" s="39">
        <f>A4983</f>
        <v>46048</v>
      </c>
      <c r="B4984" s="40"/>
      <c r="C4984" s="40"/>
      <c r="D4984" s="41"/>
      <c r="E4984" s="43">
        <f>C4984</f>
        <v>0</v>
      </c>
      <c r="F4984" s="42"/>
    </row>
    <row r="4985" spans="1:6">
      <c r="A4985" s="39">
        <f>A4984</f>
        <v>46048</v>
      </c>
      <c r="B4985" s="40"/>
      <c r="C4985" s="40"/>
      <c r="D4985" s="41"/>
      <c r="E4985" s="43">
        <f>C4985</f>
        <v>0</v>
      </c>
      <c r="F4985" s="42"/>
    </row>
    <row r="4986" spans="1:6">
      <c r="A4986" s="39">
        <f>A4985</f>
        <v>46048</v>
      </c>
      <c r="B4986" s="40"/>
      <c r="C4986" s="40"/>
      <c r="D4986" s="41"/>
      <c r="E4986" s="43">
        <f>C4986</f>
        <v>0</v>
      </c>
      <c r="F4986" s="42"/>
    </row>
    <row r="4987" spans="1:6">
      <c r="A4987" s="39">
        <f>A4986</f>
        <v>46048</v>
      </c>
      <c r="B4987" s="40"/>
      <c r="C4987" s="40"/>
      <c r="D4987" s="41"/>
      <c r="E4987" s="43">
        <f>C4987</f>
        <v>0</v>
      </c>
      <c r="F4987" s="42"/>
    </row>
    <row r="4988" spans="1:6">
      <c r="A4988" s="39">
        <f>A4987</f>
        <v>46048</v>
      </c>
      <c r="B4988" s="40"/>
      <c r="C4988" s="40"/>
      <c r="D4988" s="41"/>
      <c r="E4988" s="43">
        <f>C4988</f>
        <v>0</v>
      </c>
      <c r="F4988" s="42"/>
    </row>
    <row r="4989" spans="1:6">
      <c r="A4989" s="39">
        <f>A4988</f>
        <v>46048</v>
      </c>
      <c r="B4989" s="40"/>
      <c r="C4989" s="40"/>
      <c r="D4989" s="41"/>
      <c r="E4989" s="43">
        <f>C4989</f>
        <v>0</v>
      </c>
      <c r="F4989" s="42"/>
    </row>
    <row r="4990" spans="1:6">
      <c r="A4990" s="39">
        <f>A4989</f>
        <v>46048</v>
      </c>
      <c r="B4990" s="40"/>
      <c r="C4990" s="40"/>
      <c r="D4990" s="41"/>
      <c r="E4990" s="43">
        <f>C4990</f>
        <v>0</v>
      </c>
      <c r="F4990" s="42"/>
    </row>
    <row r="4991" spans="1:6">
      <c r="A4991" s="39">
        <f>A4990</f>
        <v>46048</v>
      </c>
      <c r="B4991" s="40"/>
      <c r="C4991" s="40"/>
      <c r="D4991" s="41"/>
      <c r="E4991" s="43">
        <f>C4991</f>
        <v>0</v>
      </c>
      <c r="F4991" s="42"/>
    </row>
    <row r="4992" spans="1:6">
      <c r="A4992" s="39">
        <f>A4991</f>
        <v>46048</v>
      </c>
      <c r="B4992" s="40"/>
      <c r="C4992" s="40"/>
      <c r="D4992" s="41"/>
      <c r="E4992" s="43">
        <f>C4992</f>
        <v>0</v>
      </c>
      <c r="F4992" s="42"/>
    </row>
    <row r="4993" spans="1:6">
      <c r="A4993" s="39">
        <f>A4992</f>
        <v>46048</v>
      </c>
      <c r="B4993" s="40"/>
      <c r="C4993" s="40"/>
      <c r="D4993" s="41"/>
      <c r="E4993" s="43">
        <f>C4993</f>
        <v>0</v>
      </c>
      <c r="F4993" s="42"/>
    </row>
    <row r="4994" spans="1:6">
      <c r="A4994" s="39">
        <f>A4993</f>
        <v>46048</v>
      </c>
      <c r="B4994" s="40"/>
      <c r="C4994" s="40"/>
      <c r="D4994" s="41"/>
      <c r="E4994" s="43">
        <f>C4994</f>
        <v>0</v>
      </c>
      <c r="F4994" s="42"/>
    </row>
    <row r="4995" spans="1:6">
      <c r="A4995" s="39">
        <f>A4994</f>
        <v>46048</v>
      </c>
      <c r="B4995" s="40"/>
      <c r="C4995" s="40"/>
      <c r="D4995" s="41"/>
      <c r="E4995" s="43">
        <f>C4995</f>
        <v>0</v>
      </c>
      <c r="F4995" s="42"/>
    </row>
    <row r="4996" spans="1:6">
      <c r="A4996" s="39">
        <f>A4995</f>
        <v>46048</v>
      </c>
      <c r="B4996" s="40"/>
      <c r="C4996" s="40"/>
      <c r="D4996" s="41"/>
      <c r="E4996" s="43">
        <f>C4996</f>
        <v>0</v>
      </c>
      <c r="F4996" s="42"/>
    </row>
    <row r="4997" spans="1:6">
      <c r="A4997" s="39">
        <f>A4996</f>
        <v>46048</v>
      </c>
      <c r="B4997" s="40"/>
      <c r="C4997" s="40"/>
      <c r="D4997" s="41"/>
      <c r="E4997" s="43">
        <f>C4997</f>
        <v>0</v>
      </c>
      <c r="F4997" s="42"/>
    </row>
    <row r="4998" spans="1:6">
      <c r="A4998" s="39">
        <f>A4997</f>
        <v>46048</v>
      </c>
      <c r="B4998" s="40"/>
      <c r="C4998" s="40"/>
      <c r="D4998" s="41"/>
      <c r="E4998" s="43">
        <f>C4998</f>
        <v>0</v>
      </c>
      <c r="F4998" s="42"/>
    </row>
    <row r="4999" spans="1:6">
      <c r="A4999" s="39">
        <f>A4998</f>
        <v>46048</v>
      </c>
      <c r="B4999" s="40"/>
      <c r="C4999" s="40"/>
      <c r="D4999" s="41"/>
      <c r="E4999" s="43">
        <f>C4999</f>
        <v>0</v>
      </c>
      <c r="F4999" s="42"/>
    </row>
    <row r="5000" spans="1:6">
      <c r="A5000" s="39">
        <f>A4999</f>
        <v>46048</v>
      </c>
      <c r="B5000" s="40"/>
      <c r="C5000" s="40"/>
      <c r="D5000" s="41"/>
      <c r="E5000" s="43">
        <f>C5000</f>
        <v>0</v>
      </c>
      <c r="F5000" s="42"/>
    </row>
    <row r="5001" spans="1:6">
      <c r="A5001" s="39">
        <f>A5000</f>
        <v>46048</v>
      </c>
      <c r="B5001" s="40"/>
      <c r="C5001" s="40"/>
      <c r="D5001" s="41"/>
      <c r="E5001" s="43">
        <f>C5001</f>
        <v>0</v>
      </c>
      <c r="F5001" s="42"/>
    </row>
    <row r="5002" spans="1:6">
      <c r="A5002" s="39">
        <f>A5001</f>
        <v>46048</v>
      </c>
      <c r="B5002" s="40"/>
      <c r="C5002" s="40"/>
      <c r="D5002" s="41"/>
      <c r="E5002" s="43">
        <f>C5002</f>
        <v>0</v>
      </c>
      <c r="F5002" s="42"/>
    </row>
    <row r="5003" spans="1:6">
      <c r="A5003" s="39">
        <f>A5002</f>
        <v>46048</v>
      </c>
      <c r="B5003" s="40"/>
      <c r="C5003" s="40"/>
      <c r="D5003" s="41"/>
      <c r="E5003" s="43">
        <f>C5003</f>
        <v>0</v>
      </c>
      <c r="F5003" s="42"/>
    </row>
    <row r="5004" spans="1:6">
      <c r="A5004" s="39">
        <f>A5003</f>
        <v>46048</v>
      </c>
      <c r="B5004" s="40"/>
      <c r="C5004" s="40"/>
      <c r="D5004" s="41"/>
      <c r="E5004" s="43">
        <f>C5004</f>
        <v>0</v>
      </c>
      <c r="F5004" s="42"/>
    </row>
    <row r="5005" spans="1:6">
      <c r="A5005" s="39">
        <f>A5004</f>
        <v>46048</v>
      </c>
      <c r="B5005" s="40"/>
      <c r="C5005" s="40"/>
      <c r="D5005" s="41"/>
      <c r="E5005" s="43">
        <f>C5005</f>
        <v>0</v>
      </c>
      <c r="F5005" s="42"/>
    </row>
    <row r="5006" spans="1:6">
      <c r="A5006" s="39">
        <f>A5005</f>
        <v>46048</v>
      </c>
      <c r="B5006" s="40"/>
      <c r="C5006" s="40"/>
      <c r="D5006" s="41"/>
      <c r="E5006" s="43">
        <f>C5006</f>
        <v>0</v>
      </c>
      <c r="F5006" s="42"/>
    </row>
    <row r="5007" spans="1:6">
      <c r="A5007" s="39">
        <f>A5006</f>
        <v>46048</v>
      </c>
      <c r="B5007" s="40"/>
      <c r="C5007" s="40"/>
      <c r="D5007" s="41"/>
      <c r="E5007" s="43">
        <f>C5007</f>
        <v>0</v>
      </c>
      <c r="F5007" s="42"/>
    </row>
    <row r="5008" spans="1:6">
      <c r="A5008" s="39">
        <f>A5007</f>
        <v>46048</v>
      </c>
      <c r="B5008" s="40"/>
      <c r="C5008" s="40"/>
      <c r="D5008" s="41"/>
      <c r="E5008" s="43">
        <f>C5008</f>
        <v>0</v>
      </c>
      <c r="F5008" s="42"/>
    </row>
    <row r="5009" spans="1:6">
      <c r="A5009" s="39">
        <f>A5008</f>
        <v>46048</v>
      </c>
      <c r="B5009" s="40"/>
      <c r="C5009" s="40"/>
      <c r="D5009" s="41"/>
      <c r="E5009" s="43">
        <f>C5009</f>
        <v>0</v>
      </c>
      <c r="F5009" s="42"/>
    </row>
    <row r="5010" spans="1:6">
      <c r="A5010" s="39">
        <f>A5009</f>
        <v>46048</v>
      </c>
      <c r="B5010" s="40"/>
      <c r="C5010" s="40"/>
      <c r="D5010" s="41"/>
      <c r="E5010" s="43">
        <f>C5010</f>
        <v>0</v>
      </c>
      <c r="F5010" s="42"/>
    </row>
    <row r="5011" spans="1:6">
      <c r="A5011" s="39">
        <f>A5010</f>
        <v>46048</v>
      </c>
      <c r="B5011" s="40"/>
      <c r="C5011" s="40"/>
      <c r="D5011" s="41"/>
      <c r="E5011" s="43">
        <f>C5011</f>
        <v>0</v>
      </c>
      <c r="F5011" s="42"/>
    </row>
    <row r="5012" spans="1:6">
      <c r="A5012" s="39">
        <f>A5011</f>
        <v>46048</v>
      </c>
      <c r="B5012" s="40"/>
      <c r="C5012" s="40"/>
      <c r="D5012" s="41"/>
      <c r="E5012" s="43">
        <f>C5012</f>
        <v>0</v>
      </c>
      <c r="F5012" s="42"/>
    </row>
    <row r="5013" spans="1:6">
      <c r="A5013" s="39">
        <f>A5012</f>
        <v>46048</v>
      </c>
      <c r="B5013" s="40"/>
      <c r="C5013" s="40"/>
      <c r="D5013" s="41"/>
      <c r="E5013" s="43">
        <f>C5013</f>
        <v>0</v>
      </c>
      <c r="F5013" s="42"/>
    </row>
    <row r="5014" spans="1:6">
      <c r="A5014" s="39">
        <f>A5013</f>
        <v>46048</v>
      </c>
      <c r="B5014" s="40"/>
      <c r="C5014" s="40"/>
      <c r="D5014" s="41"/>
      <c r="E5014" s="43">
        <f>C5014</f>
        <v>0</v>
      </c>
      <c r="F5014" s="42"/>
    </row>
    <row r="5015" spans="1:6">
      <c r="A5015" s="39">
        <f>A5014</f>
        <v>46048</v>
      </c>
      <c r="B5015" s="40"/>
      <c r="C5015" s="40"/>
      <c r="D5015" s="41"/>
      <c r="E5015" s="43">
        <f>C5015</f>
        <v>0</v>
      </c>
      <c r="F5015" s="42"/>
    </row>
    <row r="5016" spans="1:6">
      <c r="A5016" s="39">
        <f>A5015</f>
        <v>46048</v>
      </c>
      <c r="B5016" s="40"/>
      <c r="C5016" s="40"/>
      <c r="D5016" s="41"/>
      <c r="E5016" s="43">
        <f>C5016</f>
        <v>0</v>
      </c>
      <c r="F5016" s="42"/>
    </row>
    <row r="5017" spans="1:6">
      <c r="A5017" s="39">
        <f>A5016</f>
        <v>46048</v>
      </c>
      <c r="B5017" s="40"/>
      <c r="C5017" s="40"/>
      <c r="D5017" s="41"/>
      <c r="E5017" s="43">
        <f>C5017</f>
        <v>0</v>
      </c>
      <c r="F5017" s="42"/>
    </row>
    <row r="5018" spans="1:6">
      <c r="A5018" s="39">
        <f>A5017</f>
        <v>46048</v>
      </c>
      <c r="B5018" s="40"/>
      <c r="C5018" s="40"/>
      <c r="D5018" s="41"/>
      <c r="E5018" s="43">
        <f>C5018</f>
        <v>0</v>
      </c>
      <c r="F5018" s="42"/>
    </row>
    <row r="5019" spans="1:6">
      <c r="A5019" s="39">
        <f>A5018</f>
        <v>46048</v>
      </c>
      <c r="B5019" s="40"/>
      <c r="C5019" s="40"/>
      <c r="D5019" s="41"/>
      <c r="E5019" s="43">
        <f>C5019</f>
        <v>0</v>
      </c>
      <c r="F5019" s="42"/>
    </row>
    <row r="5020" spans="1:6">
      <c r="A5020" s="39">
        <f>A5019</f>
        <v>46048</v>
      </c>
      <c r="B5020" s="40"/>
      <c r="C5020" s="40"/>
      <c r="D5020" s="41"/>
      <c r="E5020" s="43">
        <f>C5020</f>
        <v>0</v>
      </c>
      <c r="F5020" s="42"/>
    </row>
    <row r="5021" spans="1:6">
      <c r="A5021" s="39">
        <f>A5020</f>
        <v>46048</v>
      </c>
      <c r="B5021" s="40"/>
      <c r="C5021" s="40"/>
      <c r="D5021" s="41"/>
      <c r="E5021" s="43">
        <f>C5021</f>
        <v>0</v>
      </c>
      <c r="F5021" s="42"/>
    </row>
    <row r="5022" spans="1:6">
      <c r="A5022" s="39">
        <f>A5021</f>
        <v>46048</v>
      </c>
      <c r="B5022" s="40"/>
      <c r="C5022" s="40"/>
      <c r="D5022" s="41"/>
      <c r="E5022" s="43">
        <f>C5022</f>
        <v>0</v>
      </c>
      <c r="F5022" s="42"/>
    </row>
    <row r="5023" spans="1:6">
      <c r="A5023" s="39">
        <f>A5022</f>
        <v>46048</v>
      </c>
      <c r="B5023" s="40"/>
      <c r="C5023" s="40"/>
      <c r="D5023" s="41"/>
      <c r="E5023" s="43">
        <f>C5023</f>
        <v>0</v>
      </c>
      <c r="F5023" s="42"/>
    </row>
    <row r="5024" spans="1:6">
      <c r="A5024" s="39">
        <f>A5023</f>
        <v>46048</v>
      </c>
      <c r="B5024" s="40"/>
      <c r="C5024" s="40"/>
      <c r="D5024" s="41"/>
      <c r="E5024" s="43">
        <f>C5024</f>
        <v>0</v>
      </c>
      <c r="F5024" s="42"/>
    </row>
    <row r="5025" spans="1:6">
      <c r="A5025" s="39">
        <f>A5024</f>
        <v>46048</v>
      </c>
      <c r="B5025" s="40"/>
      <c r="C5025" s="40"/>
      <c r="D5025" s="41"/>
      <c r="E5025" s="43">
        <f>C5025</f>
        <v>0</v>
      </c>
      <c r="F5025" s="42"/>
    </row>
    <row r="5026" spans="1:6">
      <c r="A5026" s="39">
        <f>A5025</f>
        <v>46048</v>
      </c>
      <c r="B5026" s="40"/>
      <c r="C5026" s="40"/>
      <c r="D5026" s="41"/>
      <c r="E5026" s="43">
        <f>C5026</f>
        <v>0</v>
      </c>
      <c r="F5026" s="42"/>
    </row>
    <row r="5027" spans="1:6">
      <c r="A5027" s="39">
        <f>A5026</f>
        <v>46048</v>
      </c>
      <c r="B5027" s="40"/>
      <c r="C5027" s="40"/>
      <c r="D5027" s="41"/>
      <c r="E5027" s="43">
        <f>C5027</f>
        <v>0</v>
      </c>
      <c r="F5027" s="42"/>
    </row>
    <row r="5028" spans="1:6">
      <c r="A5028" s="39">
        <f>A5027</f>
        <v>46048</v>
      </c>
      <c r="B5028" s="40"/>
      <c r="C5028" s="40"/>
      <c r="D5028" s="41"/>
      <c r="E5028" s="43">
        <f>C5028</f>
        <v>0</v>
      </c>
      <c r="F5028" s="42"/>
    </row>
    <row r="5029" spans="1:6">
      <c r="A5029" s="39">
        <f>A5028</f>
        <v>46048</v>
      </c>
      <c r="B5029" s="40"/>
      <c r="C5029" s="40"/>
      <c r="D5029" s="41"/>
      <c r="E5029" s="43">
        <f>C5029</f>
        <v>0</v>
      </c>
      <c r="F5029" s="42"/>
    </row>
    <row r="5030" spans="1:6">
      <c r="A5030" s="39">
        <f>A5029</f>
        <v>46048</v>
      </c>
      <c r="B5030" s="40"/>
      <c r="C5030" s="40"/>
      <c r="D5030" s="41"/>
      <c r="E5030" s="43">
        <f>C5030</f>
        <v>0</v>
      </c>
      <c r="F5030" s="42"/>
    </row>
    <row r="5031" spans="1:6">
      <c r="A5031" s="39">
        <f>A5030</f>
        <v>46048</v>
      </c>
      <c r="B5031" s="40"/>
      <c r="C5031" s="40"/>
      <c r="D5031" s="41"/>
      <c r="E5031" s="43">
        <f>C5031</f>
        <v>0</v>
      </c>
      <c r="F5031" s="42"/>
    </row>
    <row r="5032" spans="1:6">
      <c r="A5032" s="39">
        <f>A5031</f>
        <v>46048</v>
      </c>
      <c r="B5032" s="40"/>
      <c r="C5032" s="40"/>
      <c r="D5032" s="41"/>
      <c r="E5032" s="43">
        <f>C5032</f>
        <v>0</v>
      </c>
      <c r="F5032" s="42"/>
    </row>
    <row r="5033" spans="1:6">
      <c r="A5033" s="39">
        <f>A5032</f>
        <v>46048</v>
      </c>
      <c r="B5033" s="40"/>
      <c r="C5033" s="40"/>
      <c r="D5033" s="41"/>
      <c r="E5033" s="43">
        <f>C5033</f>
        <v>0</v>
      </c>
      <c r="F5033" s="42"/>
    </row>
    <row r="5034" spans="1:6">
      <c r="A5034" s="39">
        <f>A5033</f>
        <v>46048</v>
      </c>
      <c r="B5034" s="40"/>
      <c r="C5034" s="40"/>
      <c r="D5034" s="41"/>
      <c r="E5034" s="43">
        <f>C5034</f>
        <v>0</v>
      </c>
      <c r="F5034" s="42"/>
    </row>
    <row r="5035" spans="1:6">
      <c r="A5035" s="39">
        <f>A5034</f>
        <v>46048</v>
      </c>
      <c r="B5035" s="40"/>
      <c r="C5035" s="40"/>
      <c r="D5035" s="41"/>
      <c r="E5035" s="43">
        <f>C5035</f>
        <v>0</v>
      </c>
      <c r="F5035" s="42"/>
    </row>
    <row r="5036" spans="1:6">
      <c r="A5036" s="39">
        <f>A5035</f>
        <v>46048</v>
      </c>
      <c r="B5036" s="40"/>
      <c r="C5036" s="40"/>
      <c r="D5036" s="41"/>
      <c r="E5036" s="43">
        <f>C5036</f>
        <v>0</v>
      </c>
      <c r="F5036" s="42"/>
    </row>
    <row r="5037" spans="1:6">
      <c r="A5037" s="39">
        <f>A5036</f>
        <v>46048</v>
      </c>
      <c r="B5037" s="40"/>
      <c r="C5037" s="40"/>
      <c r="D5037" s="41"/>
      <c r="E5037" s="43">
        <f>C5037</f>
        <v>0</v>
      </c>
      <c r="F5037" s="42"/>
    </row>
    <row r="5038" spans="1:6">
      <c r="A5038" s="39">
        <f>A5037</f>
        <v>46048</v>
      </c>
      <c r="B5038" s="40"/>
      <c r="C5038" s="40"/>
      <c r="D5038" s="41"/>
      <c r="E5038" s="43">
        <f>C5038</f>
        <v>0</v>
      </c>
      <c r="F5038" s="42"/>
    </row>
    <row r="5039" spans="1:6">
      <c r="A5039" s="39">
        <f>A5038</f>
        <v>46048</v>
      </c>
      <c r="B5039" s="40"/>
      <c r="C5039" s="40"/>
      <c r="D5039" s="41"/>
      <c r="E5039" s="43">
        <f>C5039</f>
        <v>0</v>
      </c>
      <c r="F5039" s="42"/>
    </row>
    <row r="5040" spans="1:6">
      <c r="A5040" s="39">
        <f>A5039</f>
        <v>46048</v>
      </c>
      <c r="B5040" s="40"/>
      <c r="C5040" s="40"/>
      <c r="D5040" s="41"/>
      <c r="E5040" s="43">
        <f>C5040</f>
        <v>0</v>
      </c>
      <c r="F5040" s="42"/>
    </row>
    <row r="5041" spans="1:6">
      <c r="A5041" s="39">
        <f>A5040</f>
        <v>46048</v>
      </c>
      <c r="B5041" s="40"/>
      <c r="C5041" s="40"/>
      <c r="D5041" s="41"/>
      <c r="E5041" s="43">
        <f>C5041</f>
        <v>0</v>
      </c>
      <c r="F5041" s="42"/>
    </row>
    <row r="5042" spans="1:6">
      <c r="A5042" s="39">
        <f>A5041</f>
        <v>46048</v>
      </c>
      <c r="B5042" s="40"/>
      <c r="C5042" s="40"/>
      <c r="D5042" s="41"/>
      <c r="E5042" s="43">
        <f>C5042</f>
        <v>0</v>
      </c>
      <c r="F5042" s="42"/>
    </row>
    <row r="5043" spans="1:6">
      <c r="A5043" s="39">
        <f>A5042</f>
        <v>46048</v>
      </c>
      <c r="B5043" s="40"/>
      <c r="C5043" s="40"/>
      <c r="D5043" s="41"/>
      <c r="E5043" s="43">
        <f>C5043</f>
        <v>0</v>
      </c>
      <c r="F5043" s="42"/>
    </row>
    <row r="5044" spans="1:6">
      <c r="A5044" s="39">
        <f>A5043</f>
        <v>46048</v>
      </c>
      <c r="B5044" s="40"/>
      <c r="C5044" s="40"/>
      <c r="D5044" s="41"/>
      <c r="E5044" s="43">
        <f>C5044</f>
        <v>0</v>
      </c>
      <c r="F5044" s="42"/>
    </row>
    <row r="5045" spans="1:6">
      <c r="A5045" s="39">
        <f>A5044</f>
        <v>46048</v>
      </c>
      <c r="B5045" s="40"/>
      <c r="C5045" s="40"/>
      <c r="D5045" s="41"/>
      <c r="E5045" s="43">
        <f>C5045</f>
        <v>0</v>
      </c>
      <c r="F5045" s="42"/>
    </row>
    <row r="5046" spans="1:6">
      <c r="A5046" s="39">
        <f>A5045</f>
        <v>46048</v>
      </c>
      <c r="B5046" s="40"/>
      <c r="C5046" s="40"/>
      <c r="D5046" s="41"/>
      <c r="E5046" s="43">
        <f>C5046</f>
        <v>0</v>
      </c>
      <c r="F5046" s="42"/>
    </row>
    <row r="5047" spans="1:6">
      <c r="A5047" s="39">
        <f>A5046</f>
        <v>46048</v>
      </c>
      <c r="B5047" s="40"/>
      <c r="C5047" s="40"/>
      <c r="D5047" s="41"/>
      <c r="E5047" s="43">
        <f>C5047</f>
        <v>0</v>
      </c>
      <c r="F5047" s="42"/>
    </row>
    <row r="5048" spans="1:6">
      <c r="A5048" s="39">
        <f>A5047</f>
        <v>46048</v>
      </c>
      <c r="B5048" s="40"/>
      <c r="C5048" s="40"/>
      <c r="D5048" s="41"/>
      <c r="E5048" s="43">
        <f>C5048</f>
        <v>0</v>
      </c>
      <c r="F5048" s="42"/>
    </row>
    <row r="5049" spans="1:6">
      <c r="A5049" s="39">
        <f>A5048</f>
        <v>46048</v>
      </c>
      <c r="B5049" s="40"/>
      <c r="C5049" s="40"/>
      <c r="D5049" s="41"/>
      <c r="E5049" s="43">
        <f>C5049</f>
        <v>0</v>
      </c>
      <c r="F5049" s="42"/>
    </row>
    <row r="5050" spans="1:6">
      <c r="A5050" s="39">
        <f>A5049</f>
        <v>46048</v>
      </c>
      <c r="B5050" s="40"/>
      <c r="C5050" s="40"/>
      <c r="D5050" s="41"/>
      <c r="E5050" s="43">
        <f>C5050</f>
        <v>0</v>
      </c>
      <c r="F5050" s="42"/>
    </row>
    <row r="5051" spans="1:6">
      <c r="A5051" s="39">
        <f>A5050</f>
        <v>46048</v>
      </c>
      <c r="B5051" s="40"/>
      <c r="C5051" s="40"/>
      <c r="D5051" s="41"/>
      <c r="E5051" s="43">
        <f>C5051</f>
        <v>0</v>
      </c>
      <c r="F5051" s="42"/>
    </row>
    <row r="5052" spans="1:6">
      <c r="A5052" s="39">
        <f>A5051</f>
        <v>46048</v>
      </c>
      <c r="B5052" s="40"/>
      <c r="C5052" s="40"/>
      <c r="D5052" s="41"/>
      <c r="E5052" s="43">
        <f>C5052</f>
        <v>0</v>
      </c>
      <c r="F5052" s="42"/>
    </row>
    <row r="5053" spans="1:6">
      <c r="A5053" s="39">
        <f>A5052</f>
        <v>46048</v>
      </c>
      <c r="B5053" s="40"/>
      <c r="C5053" s="40"/>
      <c r="D5053" s="41"/>
      <c r="E5053" s="43">
        <f>C5053</f>
        <v>0</v>
      </c>
      <c r="F5053" s="42"/>
    </row>
    <row r="5054" spans="1:6">
      <c r="A5054" s="39">
        <f>A5053</f>
        <v>46048</v>
      </c>
      <c r="B5054" s="40"/>
      <c r="C5054" s="40"/>
      <c r="D5054" s="41"/>
      <c r="E5054" s="43">
        <f>C5054</f>
        <v>0</v>
      </c>
      <c r="F5054" s="42"/>
    </row>
    <row r="5055" spans="1:6">
      <c r="A5055" s="39">
        <f>A5054</f>
        <v>46048</v>
      </c>
      <c r="B5055" s="40"/>
      <c r="C5055" s="40"/>
      <c r="D5055" s="41"/>
      <c r="E5055" s="43">
        <f>C5055</f>
        <v>0</v>
      </c>
      <c r="F5055" s="42"/>
    </row>
    <row r="5056" spans="1:6">
      <c r="A5056" s="39">
        <f>A5055</f>
        <v>46048</v>
      </c>
      <c r="B5056" s="40"/>
      <c r="C5056" s="40"/>
      <c r="D5056" s="41"/>
      <c r="E5056" s="43">
        <f>C5056</f>
        <v>0</v>
      </c>
      <c r="F5056" s="42"/>
    </row>
    <row r="5057" spans="1:6">
      <c r="A5057" s="39">
        <f>A5056</f>
        <v>46048</v>
      </c>
      <c r="B5057" s="40"/>
      <c r="C5057" s="40"/>
      <c r="D5057" s="41"/>
      <c r="E5057" s="43">
        <f>C5057</f>
        <v>0</v>
      </c>
      <c r="F5057" s="42"/>
    </row>
    <row r="5058" spans="1:6">
      <c r="A5058" s="39">
        <f>A5057</f>
        <v>46048</v>
      </c>
      <c r="B5058" s="40"/>
      <c r="C5058" s="40"/>
      <c r="D5058" s="41"/>
      <c r="E5058" s="43">
        <f>C5058</f>
        <v>0</v>
      </c>
      <c r="F5058" s="42"/>
    </row>
    <row r="5059" spans="1:6">
      <c r="A5059" s="39">
        <f>A5058</f>
        <v>46048</v>
      </c>
      <c r="B5059" s="40"/>
      <c r="C5059" s="40"/>
      <c r="D5059" s="41"/>
      <c r="E5059" s="43">
        <f>C5059</f>
        <v>0</v>
      </c>
      <c r="F5059" s="42"/>
    </row>
    <row r="5060" spans="1:6">
      <c r="A5060" s="39">
        <f>A5059</f>
        <v>46048</v>
      </c>
      <c r="B5060" s="40"/>
      <c r="C5060" s="40"/>
      <c r="D5060" s="41"/>
      <c r="E5060" s="43">
        <f>C5060</f>
        <v>0</v>
      </c>
      <c r="F5060" s="42"/>
    </row>
    <row r="5061" spans="1:6">
      <c r="A5061" s="39">
        <f>A5060</f>
        <v>46048</v>
      </c>
      <c r="B5061" s="40"/>
      <c r="C5061" s="40"/>
      <c r="D5061" s="41"/>
      <c r="E5061" s="43">
        <f>C5061</f>
        <v>0</v>
      </c>
      <c r="F5061" s="42"/>
    </row>
    <row r="5062" spans="1:6">
      <c r="A5062" s="39">
        <f>A5061</f>
        <v>46048</v>
      </c>
      <c r="B5062" s="40"/>
      <c r="C5062" s="40"/>
      <c r="D5062" s="41"/>
      <c r="E5062" s="43">
        <f>C5062</f>
        <v>0</v>
      </c>
      <c r="F5062" s="42"/>
    </row>
    <row r="5063" spans="1:6">
      <c r="A5063" s="39">
        <f>A5062</f>
        <v>46048</v>
      </c>
      <c r="B5063" s="40"/>
      <c r="C5063" s="40"/>
      <c r="D5063" s="41"/>
      <c r="E5063" s="43">
        <f>C5063</f>
        <v>0</v>
      </c>
      <c r="F5063" s="42"/>
    </row>
    <row r="5064" spans="1:6">
      <c r="A5064" s="39">
        <f>A5063</f>
        <v>46048</v>
      </c>
      <c r="B5064" s="40"/>
      <c r="C5064" s="40"/>
      <c r="D5064" s="41"/>
      <c r="E5064" s="43">
        <f>C5064</f>
        <v>0</v>
      </c>
      <c r="F5064" s="42"/>
    </row>
    <row r="5065" spans="1:6">
      <c r="A5065" s="39">
        <f>A5064</f>
        <v>46048</v>
      </c>
      <c r="B5065" s="40"/>
      <c r="C5065" s="40"/>
      <c r="D5065" s="41"/>
      <c r="E5065" s="43">
        <f>C5065</f>
        <v>0</v>
      </c>
      <c r="F5065" s="42"/>
    </row>
    <row r="5066" spans="1:6">
      <c r="A5066" s="39">
        <f>A5065</f>
        <v>46048</v>
      </c>
      <c r="B5066" s="40"/>
      <c r="C5066" s="40"/>
      <c r="D5066" s="41"/>
      <c r="E5066" s="43">
        <f>C5066</f>
        <v>0</v>
      </c>
      <c r="F5066" s="42"/>
    </row>
    <row r="5067" spans="1:6">
      <c r="A5067" s="39">
        <f>A5066</f>
        <v>46048</v>
      </c>
      <c r="B5067" s="40"/>
      <c r="C5067" s="40"/>
      <c r="D5067" s="41"/>
      <c r="E5067" s="43">
        <f>C5067</f>
        <v>0</v>
      </c>
      <c r="F5067" s="42"/>
    </row>
    <row r="5068" spans="1:6">
      <c r="A5068" s="39">
        <f>A5067</f>
        <v>46048</v>
      </c>
      <c r="B5068" s="40"/>
      <c r="C5068" s="40"/>
      <c r="D5068" s="41"/>
      <c r="E5068" s="43">
        <f>C5068</f>
        <v>0</v>
      </c>
      <c r="F5068" s="42"/>
    </row>
    <row r="5069" spans="1:6">
      <c r="A5069" s="39">
        <f>A5068</f>
        <v>46048</v>
      </c>
      <c r="B5069" s="40"/>
      <c r="C5069" s="40"/>
      <c r="D5069" s="41"/>
      <c r="E5069" s="43">
        <f>C5069</f>
        <v>0</v>
      </c>
      <c r="F5069" s="42"/>
    </row>
    <row r="5070" spans="1:6">
      <c r="A5070" s="39">
        <f>A5069</f>
        <v>46048</v>
      </c>
      <c r="B5070" s="40"/>
      <c r="C5070" s="40"/>
      <c r="D5070" s="41"/>
      <c r="E5070" s="43">
        <f>C5070</f>
        <v>0</v>
      </c>
      <c r="F5070" s="42"/>
    </row>
    <row r="5071" spans="1:6">
      <c r="A5071" s="39">
        <f>A5070</f>
        <v>46048</v>
      </c>
      <c r="B5071" s="40"/>
      <c r="C5071" s="40"/>
      <c r="D5071" s="41"/>
      <c r="E5071" s="43">
        <f>C5071</f>
        <v>0</v>
      </c>
      <c r="F5071" s="42"/>
    </row>
    <row r="5072" spans="1:6">
      <c r="A5072" s="39">
        <f>A5071</f>
        <v>46048</v>
      </c>
      <c r="B5072" s="40"/>
      <c r="C5072" s="40"/>
      <c r="D5072" s="41"/>
      <c r="E5072" s="43">
        <f>C5072</f>
        <v>0</v>
      </c>
      <c r="F5072" s="42"/>
    </row>
    <row r="5073" spans="1:6">
      <c r="A5073" s="39">
        <f>A5072</f>
        <v>46048</v>
      </c>
      <c r="B5073" s="40"/>
      <c r="C5073" s="40"/>
      <c r="D5073" s="41"/>
      <c r="E5073" s="43">
        <f>C5073</f>
        <v>0</v>
      </c>
      <c r="F5073" s="42"/>
    </row>
    <row r="5074" spans="1:6">
      <c r="A5074" s="39">
        <f>A5073</f>
        <v>46048</v>
      </c>
      <c r="B5074" s="40"/>
      <c r="C5074" s="40"/>
      <c r="D5074" s="41"/>
      <c r="E5074" s="43">
        <f>C5074</f>
        <v>0</v>
      </c>
      <c r="F5074" s="42"/>
    </row>
    <row r="5075" spans="1:6">
      <c r="A5075" s="39">
        <f>A5074</f>
        <v>46048</v>
      </c>
      <c r="B5075" s="40"/>
      <c r="C5075" s="40"/>
      <c r="D5075" s="41"/>
      <c r="E5075" s="43">
        <f>C5075</f>
        <v>0</v>
      </c>
      <c r="F5075" s="42"/>
    </row>
    <row r="5076" spans="1:6">
      <c r="A5076" s="39">
        <f>A5075</f>
        <v>46048</v>
      </c>
      <c r="B5076" s="40"/>
      <c r="C5076" s="40"/>
      <c r="D5076" s="41"/>
      <c r="E5076" s="43">
        <f>C5076</f>
        <v>0</v>
      </c>
      <c r="F5076" s="42"/>
    </row>
    <row r="5077" spans="1:6">
      <c r="A5077" s="39">
        <f>A5076</f>
        <v>46048</v>
      </c>
      <c r="B5077" s="40"/>
      <c r="C5077" s="40"/>
      <c r="D5077" s="41"/>
      <c r="E5077" s="43">
        <f>C5077</f>
        <v>0</v>
      </c>
      <c r="F5077" s="42"/>
    </row>
    <row r="5078" spans="1:6">
      <c r="A5078" s="39">
        <f>A5077</f>
        <v>46048</v>
      </c>
      <c r="B5078" s="40"/>
      <c r="C5078" s="40"/>
      <c r="D5078" s="41"/>
      <c r="E5078" s="43">
        <f>C5078</f>
        <v>0</v>
      </c>
      <c r="F5078" s="42"/>
    </row>
    <row r="5079" spans="1:6">
      <c r="A5079" s="39">
        <f>A5078</f>
        <v>46048</v>
      </c>
      <c r="B5079" s="40"/>
      <c r="C5079" s="40"/>
      <c r="D5079" s="41"/>
      <c r="E5079" s="43">
        <f>C5079</f>
        <v>0</v>
      </c>
      <c r="F5079" s="42"/>
    </row>
    <row r="5080" spans="1:6">
      <c r="A5080" s="39">
        <f>A5079</f>
        <v>46048</v>
      </c>
      <c r="B5080" s="40"/>
      <c r="C5080" s="40"/>
      <c r="D5080" s="41"/>
      <c r="E5080" s="43">
        <f>C5080</f>
        <v>0</v>
      </c>
      <c r="F5080" s="42"/>
    </row>
    <row r="5081" spans="1:6">
      <c r="A5081" s="39">
        <f>A5080</f>
        <v>46048</v>
      </c>
      <c r="B5081" s="40"/>
      <c r="C5081" s="40"/>
      <c r="D5081" s="41"/>
      <c r="E5081" s="43">
        <f>C5081</f>
        <v>0</v>
      </c>
      <c r="F5081" s="42"/>
    </row>
    <row r="5082" spans="1:6">
      <c r="A5082" s="39">
        <f>A5081</f>
        <v>46048</v>
      </c>
      <c r="B5082" s="40"/>
      <c r="C5082" s="40"/>
      <c r="D5082" s="41"/>
      <c r="E5082" s="43">
        <f>C5082</f>
        <v>0</v>
      </c>
      <c r="F5082" s="42"/>
    </row>
    <row r="5083" spans="1:6">
      <c r="A5083" s="39">
        <f>A5082</f>
        <v>46048</v>
      </c>
      <c r="B5083" s="40"/>
      <c r="C5083" s="40"/>
      <c r="D5083" s="41"/>
      <c r="E5083" s="43">
        <f>C5083</f>
        <v>0</v>
      </c>
      <c r="F5083" s="42"/>
    </row>
    <row r="5084" spans="1:6">
      <c r="A5084" s="39">
        <f>A5083</f>
        <v>46048</v>
      </c>
      <c r="B5084" s="40"/>
      <c r="C5084" s="40"/>
      <c r="D5084" s="41"/>
      <c r="E5084" s="43">
        <f>C5084</f>
        <v>0</v>
      </c>
      <c r="F5084" s="42"/>
    </row>
    <row r="5085" spans="1:6">
      <c r="A5085" s="39">
        <f>A5084</f>
        <v>46048</v>
      </c>
      <c r="B5085" s="40"/>
      <c r="C5085" s="40"/>
      <c r="D5085" s="41"/>
      <c r="E5085" s="43">
        <f>C5085</f>
        <v>0</v>
      </c>
      <c r="F5085" s="42"/>
    </row>
    <row r="5086" spans="1:6">
      <c r="A5086" s="39">
        <f>A5085</f>
        <v>46048</v>
      </c>
      <c r="B5086" s="40"/>
      <c r="C5086" s="40"/>
      <c r="D5086" s="41"/>
      <c r="E5086" s="43">
        <f>C5086</f>
        <v>0</v>
      </c>
      <c r="F5086" s="42"/>
    </row>
    <row r="5087" spans="1:6">
      <c r="A5087" s="39">
        <f>A5086</f>
        <v>46048</v>
      </c>
      <c r="B5087" s="40"/>
      <c r="C5087" s="40"/>
      <c r="D5087" s="41"/>
      <c r="E5087" s="43">
        <f>C5087</f>
        <v>0</v>
      </c>
      <c r="F5087" s="42"/>
    </row>
    <row r="5088" spans="1:6">
      <c r="A5088" s="39">
        <f>A5087</f>
        <v>46048</v>
      </c>
      <c r="B5088" s="40"/>
      <c r="C5088" s="40"/>
      <c r="D5088" s="41"/>
      <c r="E5088" s="43">
        <f>C5088</f>
        <v>0</v>
      </c>
      <c r="F5088" s="42"/>
    </row>
    <row r="5089" spans="1:6">
      <c r="A5089" s="39">
        <f>A5088</f>
        <v>46048</v>
      </c>
      <c r="B5089" s="40"/>
      <c r="C5089" s="40"/>
      <c r="D5089" s="41"/>
      <c r="E5089" s="43">
        <f>C5089</f>
        <v>0</v>
      </c>
      <c r="F5089" s="42"/>
    </row>
    <row r="5090" spans="1:6">
      <c r="A5090" s="39">
        <f>A5089</f>
        <v>46048</v>
      </c>
      <c r="B5090" s="40"/>
      <c r="C5090" s="40"/>
      <c r="D5090" s="41"/>
      <c r="E5090" s="43">
        <f>C5090</f>
        <v>0</v>
      </c>
      <c r="F5090" s="42"/>
    </row>
    <row r="5091" spans="1:6">
      <c r="A5091" s="39">
        <f>A5090</f>
        <v>46048</v>
      </c>
      <c r="B5091" s="40"/>
      <c r="C5091" s="40"/>
      <c r="D5091" s="41"/>
      <c r="E5091" s="43">
        <f>C5091</f>
        <v>0</v>
      </c>
      <c r="F5091" s="42"/>
    </row>
    <row r="5092" spans="1:6">
      <c r="A5092" s="39">
        <f>A5091</f>
        <v>46048</v>
      </c>
      <c r="B5092" s="40"/>
      <c r="C5092" s="40"/>
      <c r="D5092" s="41"/>
      <c r="E5092" s="43">
        <f>C5092</f>
        <v>0</v>
      </c>
      <c r="F5092" s="42"/>
    </row>
    <row r="5093" spans="1:6">
      <c r="A5093" s="39">
        <f>A5092</f>
        <v>46048</v>
      </c>
      <c r="B5093" s="40"/>
      <c r="C5093" s="40"/>
      <c r="D5093" s="41"/>
      <c r="E5093" s="43">
        <f>C5093</f>
        <v>0</v>
      </c>
      <c r="F5093" s="42"/>
    </row>
    <row r="5094" spans="1:6">
      <c r="A5094" s="39">
        <f>A5093</f>
        <v>46048</v>
      </c>
      <c r="B5094" s="40"/>
      <c r="C5094" s="40"/>
      <c r="D5094" s="41"/>
      <c r="E5094" s="43">
        <f>C5094</f>
        <v>0</v>
      </c>
      <c r="F5094" s="42"/>
    </row>
    <row r="5095" spans="1:6">
      <c r="A5095" s="39">
        <f>A5094</f>
        <v>46048</v>
      </c>
      <c r="B5095" s="40"/>
      <c r="C5095" s="40"/>
      <c r="D5095" s="41"/>
      <c r="E5095" s="43">
        <f>C5095</f>
        <v>0</v>
      </c>
      <c r="F5095" s="42"/>
    </row>
    <row r="5096" spans="1:6">
      <c r="A5096" s="39">
        <f>A5095</f>
        <v>46048</v>
      </c>
      <c r="B5096" s="40"/>
      <c r="C5096" s="40"/>
      <c r="D5096" s="41"/>
      <c r="E5096" s="43">
        <f>C5096</f>
        <v>0</v>
      </c>
      <c r="F5096" s="42"/>
    </row>
    <row r="5097" spans="1:6">
      <c r="A5097" s="39">
        <f>A5096</f>
        <v>46048</v>
      </c>
      <c r="B5097" s="40"/>
      <c r="C5097" s="40"/>
      <c r="D5097" s="41"/>
      <c r="E5097" s="43">
        <f>C5097</f>
        <v>0</v>
      </c>
      <c r="F5097" s="42"/>
    </row>
    <row r="5098" spans="1:6">
      <c r="A5098" s="39">
        <f>A5097</f>
        <v>46048</v>
      </c>
      <c r="B5098" s="40"/>
      <c r="C5098" s="40"/>
      <c r="D5098" s="41"/>
      <c r="E5098" s="43">
        <f>C5098</f>
        <v>0</v>
      </c>
      <c r="F5098" s="42"/>
    </row>
    <row r="5099" spans="1:6">
      <c r="A5099" s="39">
        <f>A5098</f>
        <v>46048</v>
      </c>
      <c r="B5099" s="40"/>
      <c r="C5099" s="40"/>
      <c r="D5099" s="41"/>
      <c r="E5099" s="43">
        <f>C5099</f>
        <v>0</v>
      </c>
      <c r="F5099" s="42"/>
    </row>
    <row r="5100" spans="1:6">
      <c r="A5100" s="39">
        <f>A5099</f>
        <v>46048</v>
      </c>
      <c r="B5100" s="40"/>
      <c r="C5100" s="40"/>
      <c r="D5100" s="41"/>
      <c r="E5100" s="43">
        <f>C5100</f>
        <v>0</v>
      </c>
      <c r="F5100" s="42"/>
    </row>
    <row r="5101" spans="1:6">
      <c r="A5101" s="39">
        <f>A5100</f>
        <v>46048</v>
      </c>
      <c r="B5101" s="40"/>
      <c r="C5101" s="40"/>
      <c r="D5101" s="41"/>
      <c r="E5101" s="43">
        <f>C5101</f>
        <v>0</v>
      </c>
      <c r="F5101" s="42"/>
    </row>
    <row r="5102" spans="1:6">
      <c r="A5102" s="39">
        <f>A5101</f>
        <v>46048</v>
      </c>
      <c r="B5102" s="40"/>
      <c r="C5102" s="40"/>
      <c r="D5102" s="41"/>
      <c r="E5102" s="43">
        <f>C5102</f>
        <v>0</v>
      </c>
      <c r="F5102" s="42"/>
    </row>
    <row r="5103" spans="1:6">
      <c r="A5103" s="39">
        <f>A5102</f>
        <v>46048</v>
      </c>
      <c r="B5103" s="40"/>
      <c r="C5103" s="40"/>
      <c r="D5103" s="41"/>
      <c r="E5103" s="43">
        <f>C5103</f>
        <v>0</v>
      </c>
      <c r="F5103" s="42"/>
    </row>
    <row r="5104" spans="1:6">
      <c r="A5104" s="39">
        <f>A5103</f>
        <v>46048</v>
      </c>
      <c r="B5104" s="40"/>
      <c r="C5104" s="40"/>
      <c r="D5104" s="41"/>
      <c r="E5104" s="43">
        <f>C5104</f>
        <v>0</v>
      </c>
      <c r="F5104" s="42"/>
    </row>
    <row r="5105" spans="1:6">
      <c r="A5105" s="39">
        <f>A5104</f>
        <v>46048</v>
      </c>
      <c r="B5105" s="40"/>
      <c r="C5105" s="40"/>
      <c r="D5105" s="41"/>
      <c r="E5105" s="43">
        <f>C5105</f>
        <v>0</v>
      </c>
      <c r="F5105" s="42"/>
    </row>
    <row r="5106" spans="1:6">
      <c r="A5106" s="39">
        <f>A5105</f>
        <v>46048</v>
      </c>
      <c r="B5106" s="40"/>
      <c r="C5106" s="40"/>
      <c r="D5106" s="41"/>
      <c r="E5106" s="43">
        <f>C5106</f>
        <v>0</v>
      </c>
      <c r="F5106" s="42"/>
    </row>
    <row r="5107" spans="1:6">
      <c r="A5107" s="39">
        <f>A5106</f>
        <v>46048</v>
      </c>
      <c r="B5107" s="40"/>
      <c r="C5107" s="40"/>
      <c r="D5107" s="41"/>
      <c r="E5107" s="43">
        <f>C5107</f>
        <v>0</v>
      </c>
      <c r="F5107" s="42"/>
    </row>
    <row r="5108" spans="1:6">
      <c r="A5108" s="39">
        <f>A5107</f>
        <v>46048</v>
      </c>
      <c r="B5108" s="40"/>
      <c r="C5108" s="40"/>
      <c r="D5108" s="41"/>
      <c r="E5108" s="43">
        <f>C5108</f>
        <v>0</v>
      </c>
      <c r="F5108" s="42"/>
    </row>
    <row r="5109" spans="1:6">
      <c r="A5109" s="39">
        <f>A5108</f>
        <v>46048</v>
      </c>
      <c r="B5109" s="40"/>
      <c r="C5109" s="40"/>
      <c r="D5109" s="41"/>
      <c r="E5109" s="43">
        <f>C5109</f>
        <v>0</v>
      </c>
      <c r="F5109" s="42"/>
    </row>
    <row r="5110" spans="1:6">
      <c r="A5110" s="39">
        <f>A5109</f>
        <v>46048</v>
      </c>
      <c r="B5110" s="40"/>
      <c r="C5110" s="40"/>
      <c r="D5110" s="41"/>
      <c r="E5110" s="43">
        <f>C5110</f>
        <v>0</v>
      </c>
      <c r="F5110" s="42"/>
    </row>
    <row r="5111" spans="1:6">
      <c r="A5111" s="39">
        <f>A5110</f>
        <v>46048</v>
      </c>
      <c r="B5111" s="40"/>
      <c r="C5111" s="40"/>
      <c r="D5111" s="41"/>
      <c r="E5111" s="43">
        <f>C5111</f>
        <v>0</v>
      </c>
      <c r="F5111" s="42"/>
    </row>
    <row r="5112" spans="1:6">
      <c r="A5112" s="39">
        <f>A5111</f>
        <v>46048</v>
      </c>
      <c r="B5112" s="40"/>
      <c r="C5112" s="40"/>
      <c r="D5112" s="41"/>
      <c r="E5112" s="43">
        <f>C5112</f>
        <v>0</v>
      </c>
      <c r="F5112" s="42"/>
    </row>
    <row r="5113" spans="1:6">
      <c r="A5113" s="39">
        <f>A5112</f>
        <v>46048</v>
      </c>
      <c r="B5113" s="40"/>
      <c r="C5113" s="40"/>
      <c r="D5113" s="41"/>
      <c r="E5113" s="43">
        <f>C5113</f>
        <v>0</v>
      </c>
      <c r="F5113" s="42"/>
    </row>
    <row r="5114" spans="1:6">
      <c r="A5114" s="39">
        <f>A5113</f>
        <v>46048</v>
      </c>
      <c r="B5114" s="40"/>
      <c r="C5114" s="40"/>
      <c r="D5114" s="41"/>
      <c r="E5114" s="43">
        <f>C5114</f>
        <v>0</v>
      </c>
      <c r="F5114" s="42"/>
    </row>
    <row r="5115" spans="1:6">
      <c r="A5115" s="39">
        <f>A5114</f>
        <v>46048</v>
      </c>
      <c r="B5115" s="40"/>
      <c r="C5115" s="40"/>
      <c r="D5115" s="41"/>
      <c r="E5115" s="43">
        <f>C5115</f>
        <v>0</v>
      </c>
      <c r="F5115" s="42"/>
    </row>
    <row r="5116" spans="1:6">
      <c r="A5116" s="39">
        <f>A5115</f>
        <v>46048</v>
      </c>
      <c r="B5116" s="40"/>
      <c r="C5116" s="40"/>
      <c r="D5116" s="41"/>
      <c r="E5116" s="43">
        <f>C5116</f>
        <v>0</v>
      </c>
      <c r="F5116" s="42"/>
    </row>
    <row r="5117" spans="1:6">
      <c r="A5117" s="39">
        <f>A5116</f>
        <v>46048</v>
      </c>
      <c r="B5117" s="40"/>
      <c r="C5117" s="40"/>
      <c r="D5117" s="41"/>
      <c r="E5117" s="43">
        <f>C5117</f>
        <v>0</v>
      </c>
      <c r="F5117" s="42"/>
    </row>
    <row r="5118" spans="1:6">
      <c r="A5118" s="39">
        <f>A5117</f>
        <v>46048</v>
      </c>
      <c r="B5118" s="40"/>
      <c r="C5118" s="40"/>
      <c r="D5118" s="41"/>
      <c r="E5118" s="43">
        <f>C5118</f>
        <v>0</v>
      </c>
      <c r="F5118" s="42"/>
    </row>
    <row r="5119" spans="1:6">
      <c r="A5119" s="39">
        <f>A5118</f>
        <v>46048</v>
      </c>
      <c r="B5119" s="40"/>
      <c r="C5119" s="40"/>
      <c r="D5119" s="41"/>
      <c r="E5119" s="43">
        <f>C5119</f>
        <v>0</v>
      </c>
      <c r="F5119" s="42"/>
    </row>
    <row r="5120" spans="1:6">
      <c r="A5120" s="39">
        <f>A5119</f>
        <v>46048</v>
      </c>
      <c r="B5120" s="40"/>
      <c r="C5120" s="40"/>
      <c r="D5120" s="41"/>
      <c r="E5120" s="43">
        <f>C5120</f>
        <v>0</v>
      </c>
      <c r="F5120" s="42"/>
    </row>
    <row r="5121" spans="1:6">
      <c r="A5121" s="39">
        <f>A5120</f>
        <v>46048</v>
      </c>
      <c r="B5121" s="40"/>
      <c r="C5121" s="40"/>
      <c r="D5121" s="41"/>
      <c r="E5121" s="43">
        <f>C5121</f>
        <v>0</v>
      </c>
      <c r="F5121" s="42"/>
    </row>
    <row r="5122" spans="1:6">
      <c r="A5122" s="39">
        <f>A5121</f>
        <v>46048</v>
      </c>
      <c r="B5122" s="40"/>
      <c r="C5122" s="40"/>
      <c r="D5122" s="41"/>
      <c r="E5122" s="43">
        <f>C5122</f>
        <v>0</v>
      </c>
      <c r="F5122" s="42"/>
    </row>
    <row r="5123" spans="1:6">
      <c r="A5123" s="39">
        <f>A5122</f>
        <v>46048</v>
      </c>
      <c r="B5123" s="40"/>
      <c r="C5123" s="40"/>
      <c r="D5123" s="41"/>
      <c r="E5123" s="43">
        <f>C5123</f>
        <v>0</v>
      </c>
      <c r="F5123" s="42"/>
    </row>
    <row r="5124" spans="1:6">
      <c r="A5124" s="39">
        <f>A5123</f>
        <v>46048</v>
      </c>
      <c r="B5124" s="40"/>
      <c r="C5124" s="40"/>
      <c r="D5124" s="41"/>
      <c r="E5124" s="43">
        <f>C5124</f>
        <v>0</v>
      </c>
      <c r="F5124" s="42"/>
    </row>
    <row r="5125" spans="1:6">
      <c r="A5125" s="39">
        <f>A5124</f>
        <v>46048</v>
      </c>
      <c r="B5125" s="40"/>
      <c r="C5125" s="40"/>
      <c r="D5125" s="41"/>
      <c r="E5125" s="43">
        <f>C5125</f>
        <v>0</v>
      </c>
      <c r="F5125" s="42"/>
    </row>
    <row r="5126" spans="1:6">
      <c r="A5126" s="39">
        <f>A5125</f>
        <v>46048</v>
      </c>
      <c r="B5126" s="40"/>
      <c r="C5126" s="40"/>
      <c r="D5126" s="41"/>
      <c r="E5126" s="43">
        <f>C5126</f>
        <v>0</v>
      </c>
      <c r="F5126" s="42"/>
    </row>
    <row r="5127" spans="1:6">
      <c r="A5127" s="39">
        <f>A5126</f>
        <v>46048</v>
      </c>
      <c r="B5127" s="40"/>
      <c r="C5127" s="40"/>
      <c r="D5127" s="41"/>
      <c r="E5127" s="43">
        <f>C5127</f>
        <v>0</v>
      </c>
      <c r="F5127" s="42"/>
    </row>
    <row r="5128" spans="1:6">
      <c r="A5128" s="39">
        <f>A5127</f>
        <v>46048</v>
      </c>
      <c r="B5128" s="40"/>
      <c r="C5128" s="40"/>
      <c r="D5128" s="41"/>
      <c r="E5128" s="43">
        <f>C5128</f>
        <v>0</v>
      </c>
      <c r="F5128" s="42"/>
    </row>
    <row r="5129" spans="1:6">
      <c r="A5129" s="39">
        <f>A5128</f>
        <v>46048</v>
      </c>
      <c r="B5129" s="40"/>
      <c r="C5129" s="40"/>
      <c r="D5129" s="41"/>
      <c r="E5129" s="43">
        <f>C5129</f>
        <v>0</v>
      </c>
      <c r="F5129" s="42"/>
    </row>
    <row r="5130" spans="1:6">
      <c r="A5130" s="39">
        <f>A5129</f>
        <v>46048</v>
      </c>
      <c r="B5130" s="40"/>
      <c r="C5130" s="40"/>
      <c r="D5130" s="41"/>
      <c r="E5130" s="43">
        <f>C5130</f>
        <v>0</v>
      </c>
      <c r="F5130" s="42"/>
    </row>
    <row r="5131" spans="1:6">
      <c r="A5131" s="39">
        <f>A5130</f>
        <v>46048</v>
      </c>
      <c r="B5131" s="40"/>
      <c r="C5131" s="40"/>
      <c r="D5131" s="41"/>
      <c r="E5131" s="43">
        <f>C5131</f>
        <v>0</v>
      </c>
      <c r="F5131" s="42"/>
    </row>
    <row r="5132" spans="1:6">
      <c r="A5132" s="39">
        <f>A5131</f>
        <v>46048</v>
      </c>
      <c r="B5132" s="40"/>
      <c r="C5132" s="40"/>
      <c r="D5132" s="41"/>
      <c r="E5132" s="43">
        <f>C5132</f>
        <v>0</v>
      </c>
      <c r="F5132" s="42"/>
    </row>
    <row r="5133" spans="1:6">
      <c r="A5133" s="39">
        <f>A5132</f>
        <v>46048</v>
      </c>
      <c r="B5133" s="40"/>
      <c r="C5133" s="40"/>
      <c r="D5133" s="41"/>
      <c r="E5133" s="43">
        <f>C5133</f>
        <v>0</v>
      </c>
      <c r="F5133" s="42"/>
    </row>
    <row r="5134" spans="1:6">
      <c r="A5134" s="39">
        <f>A5133</f>
        <v>46048</v>
      </c>
      <c r="B5134" s="40"/>
      <c r="C5134" s="40"/>
      <c r="D5134" s="41"/>
      <c r="E5134" s="43">
        <f>C5134</f>
        <v>0</v>
      </c>
      <c r="F5134" s="42"/>
    </row>
    <row r="5135" spans="1:6">
      <c r="A5135" s="39">
        <f>A5134</f>
        <v>46048</v>
      </c>
      <c r="B5135" s="40"/>
      <c r="C5135" s="40"/>
      <c r="D5135" s="41"/>
      <c r="E5135" s="43">
        <f>C5135</f>
        <v>0</v>
      </c>
      <c r="F5135" s="42"/>
    </row>
    <row r="5136" spans="1:6">
      <c r="A5136" s="39">
        <f>A5135</f>
        <v>46048</v>
      </c>
      <c r="B5136" s="40"/>
      <c r="C5136" s="40"/>
      <c r="D5136" s="41"/>
      <c r="E5136" s="43">
        <f>C5136</f>
        <v>0</v>
      </c>
      <c r="F5136" s="42"/>
    </row>
    <row r="5137" spans="1:6">
      <c r="A5137" s="39">
        <f>A5136</f>
        <v>46048</v>
      </c>
      <c r="B5137" s="40"/>
      <c r="C5137" s="40"/>
      <c r="D5137" s="41"/>
      <c r="E5137" s="43">
        <f>C5137</f>
        <v>0</v>
      </c>
      <c r="F5137" s="42"/>
    </row>
    <row r="5138" spans="1:6">
      <c r="A5138" s="39">
        <f>A5137</f>
        <v>46048</v>
      </c>
      <c r="B5138" s="40"/>
      <c r="C5138" s="40"/>
      <c r="D5138" s="41"/>
      <c r="E5138" s="43">
        <f>C5138</f>
        <v>0</v>
      </c>
      <c r="F5138" s="42"/>
    </row>
    <row r="5139" spans="1:6">
      <c r="A5139" s="39">
        <f>A5138</f>
        <v>46048</v>
      </c>
      <c r="B5139" s="40"/>
      <c r="C5139" s="40"/>
      <c r="D5139" s="41"/>
      <c r="E5139" s="43">
        <f>C5139</f>
        <v>0</v>
      </c>
      <c r="F5139" s="42"/>
    </row>
    <row r="5140" spans="1:6">
      <c r="A5140" s="39">
        <f>A5139</f>
        <v>46048</v>
      </c>
      <c r="B5140" s="40"/>
      <c r="C5140" s="40"/>
      <c r="D5140" s="41"/>
      <c r="E5140" s="43">
        <f>C5140</f>
        <v>0</v>
      </c>
      <c r="F5140" s="42"/>
    </row>
    <row r="5141" spans="1:6">
      <c r="A5141" s="39">
        <f>A5140</f>
        <v>46048</v>
      </c>
      <c r="B5141" s="40"/>
      <c r="C5141" s="40"/>
      <c r="D5141" s="41"/>
      <c r="E5141" s="43">
        <f>C5141</f>
        <v>0</v>
      </c>
      <c r="F5141" s="42"/>
    </row>
    <row r="5142" spans="1:6">
      <c r="A5142" s="39">
        <f>A5141</f>
        <v>46048</v>
      </c>
      <c r="B5142" s="40"/>
      <c r="C5142" s="40"/>
      <c r="D5142" s="41"/>
      <c r="E5142" s="43">
        <f>C5142</f>
        <v>0</v>
      </c>
      <c r="F5142" s="42"/>
    </row>
    <row r="5143" spans="1:6">
      <c r="A5143" s="39">
        <f>A5142</f>
        <v>46048</v>
      </c>
      <c r="B5143" s="40"/>
      <c r="C5143" s="40"/>
      <c r="D5143" s="41"/>
      <c r="E5143" s="43">
        <f>C5143</f>
        <v>0</v>
      </c>
      <c r="F5143" s="42"/>
    </row>
    <row r="5144" spans="1:6">
      <c r="A5144" s="39">
        <f>A5143</f>
        <v>46048</v>
      </c>
      <c r="B5144" s="40"/>
      <c r="C5144" s="40"/>
      <c r="D5144" s="41"/>
      <c r="E5144" s="43">
        <f>C5144</f>
        <v>0</v>
      </c>
      <c r="F5144" s="42"/>
    </row>
    <row r="5145" spans="1:6">
      <c r="A5145" s="39">
        <f>A5144</f>
        <v>46048</v>
      </c>
      <c r="B5145" s="40"/>
      <c r="C5145" s="40"/>
      <c r="D5145" s="41"/>
      <c r="E5145" s="43">
        <f>C5145</f>
        <v>0</v>
      </c>
      <c r="F5145" s="42"/>
    </row>
    <row r="5146" spans="1:6">
      <c r="A5146" s="39">
        <f>A5145</f>
        <v>46048</v>
      </c>
      <c r="B5146" s="40"/>
      <c r="C5146" s="40"/>
      <c r="D5146" s="41"/>
      <c r="E5146" s="43">
        <f>C5146</f>
        <v>0</v>
      </c>
      <c r="F5146" s="42"/>
    </row>
    <row r="5147" spans="1:6">
      <c r="A5147" s="39">
        <f>A5146</f>
        <v>46048</v>
      </c>
      <c r="B5147" s="40"/>
      <c r="C5147" s="40"/>
      <c r="D5147" s="41"/>
      <c r="E5147" s="43">
        <f>C5147</f>
        <v>0</v>
      </c>
      <c r="F5147" s="42"/>
    </row>
    <row r="5148" spans="1:6">
      <c r="A5148" s="39">
        <f>A5147</f>
        <v>46048</v>
      </c>
      <c r="B5148" s="40"/>
      <c r="C5148" s="40"/>
      <c r="D5148" s="41"/>
      <c r="E5148" s="43">
        <f>C5148</f>
        <v>0</v>
      </c>
      <c r="F5148" s="42"/>
    </row>
    <row r="5149" spans="1:6">
      <c r="A5149" s="39">
        <f>A5148</f>
        <v>46048</v>
      </c>
      <c r="B5149" s="40"/>
      <c r="C5149" s="40"/>
      <c r="D5149" s="41"/>
      <c r="E5149" s="43">
        <f>C5149</f>
        <v>0</v>
      </c>
      <c r="F5149" s="42"/>
    </row>
    <row r="5150" spans="1:6">
      <c r="A5150" s="39">
        <f>A5149</f>
        <v>46048</v>
      </c>
      <c r="B5150" s="40"/>
      <c r="C5150" s="40"/>
      <c r="D5150" s="41"/>
      <c r="E5150" s="43">
        <f>C5150</f>
        <v>0</v>
      </c>
      <c r="F5150" s="42"/>
    </row>
    <row r="5151" spans="1:6">
      <c r="A5151" s="39">
        <f>A5150</f>
        <v>46048</v>
      </c>
      <c r="B5151" s="40"/>
      <c r="C5151" s="40"/>
      <c r="D5151" s="41"/>
      <c r="E5151" s="43">
        <f>C5151</f>
        <v>0</v>
      </c>
      <c r="F5151" s="42"/>
    </row>
    <row r="5152" spans="1:6">
      <c r="A5152" s="39">
        <f>A5151</f>
        <v>46048</v>
      </c>
      <c r="B5152" s="40"/>
      <c r="C5152" s="40"/>
      <c r="D5152" s="41"/>
      <c r="E5152" s="43">
        <f>C5152</f>
        <v>0</v>
      </c>
      <c r="F5152" s="42"/>
    </row>
    <row r="5153" spans="1:6">
      <c r="A5153" s="39">
        <f>A5152</f>
        <v>46048</v>
      </c>
      <c r="B5153" s="40"/>
      <c r="C5153" s="40"/>
      <c r="D5153" s="41"/>
      <c r="E5153" s="43">
        <f>C5153</f>
        <v>0</v>
      </c>
      <c r="F5153" s="42"/>
    </row>
    <row r="5154" spans="1:6">
      <c r="A5154" s="39">
        <f>A5153</f>
        <v>46048</v>
      </c>
      <c r="B5154" s="40"/>
      <c r="C5154" s="40"/>
      <c r="D5154" s="41"/>
      <c r="E5154" s="43">
        <f>C5154</f>
        <v>0</v>
      </c>
      <c r="F5154" s="42"/>
    </row>
    <row r="5155" spans="1:6">
      <c r="A5155" s="39">
        <f>A5154</f>
        <v>46048</v>
      </c>
      <c r="B5155" s="40"/>
      <c r="C5155" s="40"/>
      <c r="D5155" s="41"/>
      <c r="E5155" s="43">
        <f>C5155</f>
        <v>0</v>
      </c>
      <c r="F5155" s="42"/>
    </row>
    <row r="5156" spans="1:6">
      <c r="A5156" s="39">
        <f>A5155</f>
        <v>46048</v>
      </c>
      <c r="B5156" s="40"/>
      <c r="C5156" s="40"/>
      <c r="D5156" s="41"/>
      <c r="E5156" s="43">
        <f>C5156</f>
        <v>0</v>
      </c>
      <c r="F5156" s="42"/>
    </row>
    <row r="5157" spans="1:6">
      <c r="A5157" s="39">
        <f>A5156</f>
        <v>46048</v>
      </c>
      <c r="B5157" s="40"/>
      <c r="C5157" s="40"/>
      <c r="D5157" s="41"/>
      <c r="E5157" s="43">
        <f>C5157</f>
        <v>0</v>
      </c>
      <c r="F5157" s="42"/>
    </row>
    <row r="5158" spans="1:6">
      <c r="A5158" s="39">
        <f>A5157</f>
        <v>46048</v>
      </c>
      <c r="B5158" s="40"/>
      <c r="C5158" s="40"/>
      <c r="D5158" s="41"/>
      <c r="E5158" s="43">
        <f>C5158</f>
        <v>0</v>
      </c>
      <c r="F5158" s="42"/>
    </row>
    <row r="5159" spans="1:6">
      <c r="A5159" s="39">
        <f>A5158</f>
        <v>46048</v>
      </c>
      <c r="B5159" s="40"/>
      <c r="C5159" s="40"/>
      <c r="D5159" s="41"/>
      <c r="E5159" s="43">
        <f>C5159</f>
        <v>0</v>
      </c>
      <c r="F5159" s="42"/>
    </row>
    <row r="5160" spans="1:6">
      <c r="A5160" s="39">
        <f>A5159</f>
        <v>46048</v>
      </c>
      <c r="B5160" s="40"/>
      <c r="C5160" s="40"/>
      <c r="D5160" s="41"/>
      <c r="E5160" s="43">
        <f>C5160</f>
        <v>0</v>
      </c>
      <c r="F5160" s="42"/>
    </row>
    <row r="5161" spans="1:6">
      <c r="A5161" s="39">
        <f>A5160</f>
        <v>46048</v>
      </c>
      <c r="B5161" s="40"/>
      <c r="C5161" s="40"/>
      <c r="D5161" s="41"/>
      <c r="E5161" s="43">
        <f>C5161</f>
        <v>0</v>
      </c>
      <c r="F5161" s="42"/>
    </row>
    <row r="5162" spans="1:6">
      <c r="A5162" s="39">
        <f>A5161</f>
        <v>46048</v>
      </c>
      <c r="B5162" s="40"/>
      <c r="C5162" s="40"/>
      <c r="D5162" s="41"/>
      <c r="E5162" s="43">
        <f>C5162</f>
        <v>0</v>
      </c>
      <c r="F5162" s="42"/>
    </row>
    <row r="5163" spans="1:6">
      <c r="A5163" s="39">
        <f>A5162</f>
        <v>46048</v>
      </c>
      <c r="B5163" s="40"/>
      <c r="C5163" s="40"/>
      <c r="D5163" s="41"/>
      <c r="E5163" s="43">
        <f>C5163</f>
        <v>0</v>
      </c>
      <c r="F5163" s="42"/>
    </row>
    <row r="5164" spans="1:6">
      <c r="A5164" s="39">
        <f>A5163</f>
        <v>46048</v>
      </c>
      <c r="B5164" s="40"/>
      <c r="C5164" s="40"/>
      <c r="D5164" s="41"/>
      <c r="E5164" s="43">
        <f>C5164</f>
        <v>0</v>
      </c>
      <c r="F5164" s="42"/>
    </row>
    <row r="5165" spans="1:6">
      <c r="A5165" s="39">
        <f>A5164</f>
        <v>46048</v>
      </c>
      <c r="B5165" s="40"/>
      <c r="C5165" s="40"/>
      <c r="D5165" s="41"/>
      <c r="E5165" s="43">
        <f>C5165</f>
        <v>0</v>
      </c>
      <c r="F5165" s="42"/>
    </row>
    <row r="5166" spans="1:6">
      <c r="A5166" s="39">
        <f>A5165</f>
        <v>46048</v>
      </c>
      <c r="B5166" s="40"/>
      <c r="C5166" s="40"/>
      <c r="D5166" s="41"/>
      <c r="E5166" s="43">
        <f>C5166</f>
        <v>0</v>
      </c>
      <c r="F5166" s="42"/>
    </row>
    <row r="5167" spans="1:6">
      <c r="A5167" s="39">
        <f>A5166</f>
        <v>46048</v>
      </c>
      <c r="B5167" s="40"/>
      <c r="C5167" s="40"/>
      <c r="D5167" s="41"/>
      <c r="E5167" s="43">
        <f>C5167</f>
        <v>0</v>
      </c>
      <c r="F5167" s="42"/>
    </row>
    <row r="5168" spans="1:6">
      <c r="A5168" s="39">
        <f>A5167</f>
        <v>46048</v>
      </c>
      <c r="B5168" s="40"/>
      <c r="C5168" s="40"/>
      <c r="D5168" s="41"/>
      <c r="E5168" s="43">
        <f>C5168</f>
        <v>0</v>
      </c>
      <c r="F5168" s="42"/>
    </row>
    <row r="5169" spans="1:6">
      <c r="A5169" s="39">
        <f>A5168</f>
        <v>46048</v>
      </c>
      <c r="B5169" s="40"/>
      <c r="C5169" s="40"/>
      <c r="D5169" s="41"/>
      <c r="E5169" s="43">
        <f>C5169</f>
        <v>0</v>
      </c>
      <c r="F5169" s="42"/>
    </row>
    <row r="5170" spans="1:6">
      <c r="A5170" s="39">
        <f>A5169</f>
        <v>46048</v>
      </c>
      <c r="B5170" s="40"/>
      <c r="C5170" s="40"/>
      <c r="D5170" s="41"/>
      <c r="E5170" s="43">
        <f>C5170</f>
        <v>0</v>
      </c>
      <c r="F5170" s="42"/>
    </row>
    <row r="5171" spans="1:6">
      <c r="A5171" s="39">
        <f>A5170</f>
        <v>46048</v>
      </c>
      <c r="B5171" s="40"/>
      <c r="C5171" s="40"/>
      <c r="D5171" s="41"/>
      <c r="E5171" s="43">
        <f>C5171</f>
        <v>0</v>
      </c>
      <c r="F5171" s="42"/>
    </row>
    <row r="5172" spans="1:6">
      <c r="A5172" s="39">
        <f>A5171</f>
        <v>46048</v>
      </c>
      <c r="B5172" s="40"/>
      <c r="C5172" s="40"/>
      <c r="D5172" s="41"/>
      <c r="E5172" s="43">
        <f>C5172</f>
        <v>0</v>
      </c>
      <c r="F5172" s="42"/>
    </row>
    <row r="5173" spans="1:6">
      <c r="A5173" s="39">
        <f>A5172</f>
        <v>46048</v>
      </c>
      <c r="B5173" s="40"/>
      <c r="C5173" s="40"/>
      <c r="D5173" s="41"/>
      <c r="E5173" s="43">
        <f>C5173</f>
        <v>0</v>
      </c>
      <c r="F5173" s="42"/>
    </row>
    <row r="5174" spans="1:6">
      <c r="A5174" s="39">
        <f>A5173</f>
        <v>46048</v>
      </c>
      <c r="B5174" s="40"/>
      <c r="C5174" s="40"/>
      <c r="D5174" s="41"/>
      <c r="E5174" s="43">
        <f>C5174</f>
        <v>0</v>
      </c>
      <c r="F5174" s="42"/>
    </row>
    <row r="5175" spans="1:6">
      <c r="A5175" s="39">
        <f>A5174</f>
        <v>46048</v>
      </c>
      <c r="B5175" s="40"/>
      <c r="C5175" s="40"/>
      <c r="D5175" s="41"/>
      <c r="E5175" s="43">
        <f>C5175</f>
        <v>0</v>
      </c>
      <c r="F5175" s="42"/>
    </row>
    <row r="5176" spans="1:6">
      <c r="A5176" s="39">
        <f>A5175</f>
        <v>46048</v>
      </c>
      <c r="B5176" s="40"/>
      <c r="C5176" s="40"/>
      <c r="D5176" s="41"/>
      <c r="E5176" s="43">
        <f>C5176</f>
        <v>0</v>
      </c>
      <c r="F5176" s="42"/>
    </row>
    <row r="5177" spans="1:6">
      <c r="A5177" s="39">
        <f>A5176</f>
        <v>46048</v>
      </c>
      <c r="B5177" s="40"/>
      <c r="C5177" s="40"/>
      <c r="D5177" s="41"/>
      <c r="E5177" s="43">
        <f>C5177</f>
        <v>0</v>
      </c>
      <c r="F5177" s="42"/>
    </row>
    <row r="5178" spans="1:6">
      <c r="A5178" s="39">
        <f>A5177</f>
        <v>46048</v>
      </c>
      <c r="B5178" s="40"/>
      <c r="C5178" s="40"/>
      <c r="D5178" s="41"/>
      <c r="E5178" s="43">
        <f>C5178</f>
        <v>0</v>
      </c>
      <c r="F5178" s="42"/>
    </row>
    <row r="5179" spans="1:6">
      <c r="A5179" s="39">
        <f>A5178</f>
        <v>46048</v>
      </c>
      <c r="B5179" s="40"/>
      <c r="C5179" s="40"/>
      <c r="D5179" s="41"/>
      <c r="E5179" s="43">
        <f>C5179</f>
        <v>0</v>
      </c>
      <c r="F5179" s="42"/>
    </row>
    <row r="5180" spans="1:6">
      <c r="A5180" s="39">
        <f>A5179</f>
        <v>46048</v>
      </c>
      <c r="B5180" s="40"/>
      <c r="C5180" s="40"/>
      <c r="D5180" s="41"/>
      <c r="E5180" s="43">
        <f>C5180</f>
        <v>0</v>
      </c>
      <c r="F5180" s="42"/>
    </row>
    <row r="5181" spans="1:6">
      <c r="A5181" s="39">
        <f>A5180</f>
        <v>46048</v>
      </c>
      <c r="B5181" s="40"/>
      <c r="C5181" s="40"/>
      <c r="D5181" s="41"/>
      <c r="E5181" s="43">
        <f>C5181</f>
        <v>0</v>
      </c>
      <c r="F5181" s="42"/>
    </row>
    <row r="5182" spans="1:6">
      <c r="A5182" s="39">
        <f>A5181</f>
        <v>46048</v>
      </c>
      <c r="B5182" s="40"/>
      <c r="C5182" s="40"/>
      <c r="D5182" s="41"/>
      <c r="E5182" s="43">
        <f>C5182</f>
        <v>0</v>
      </c>
      <c r="F5182" s="42"/>
    </row>
    <row r="5183" spans="1:6">
      <c r="A5183" s="39">
        <f>A5182</f>
        <v>46048</v>
      </c>
      <c r="B5183" s="40"/>
      <c r="C5183" s="40"/>
      <c r="D5183" s="41"/>
      <c r="E5183" s="43">
        <f>C5183</f>
        <v>0</v>
      </c>
      <c r="F5183" s="42"/>
    </row>
    <row r="5184" spans="1:6">
      <c r="A5184" s="39">
        <f>A5183</f>
        <v>46048</v>
      </c>
      <c r="B5184" s="40"/>
      <c r="C5184" s="40"/>
      <c r="D5184" s="41"/>
      <c r="E5184" s="43">
        <f>C5184</f>
        <v>0</v>
      </c>
      <c r="F5184" s="42"/>
    </row>
    <row r="5185" spans="1:6">
      <c r="A5185" s="39">
        <f>A5184</f>
        <v>46048</v>
      </c>
      <c r="B5185" s="40"/>
      <c r="C5185" s="40"/>
      <c r="D5185" s="41"/>
      <c r="E5185" s="43">
        <f>C5185</f>
        <v>0</v>
      </c>
      <c r="F5185" s="42"/>
    </row>
    <row r="5186" spans="1:6">
      <c r="A5186" s="39">
        <f>A5185</f>
        <v>46048</v>
      </c>
      <c r="B5186" s="40"/>
      <c r="C5186" s="40"/>
      <c r="D5186" s="41"/>
      <c r="E5186" s="43">
        <f>C5186</f>
        <v>0</v>
      </c>
      <c r="F5186" s="42"/>
    </row>
    <row r="5187" spans="1:6">
      <c r="A5187" s="39">
        <f>A5186</f>
        <v>46048</v>
      </c>
      <c r="B5187" s="40"/>
      <c r="C5187" s="40"/>
      <c r="D5187" s="41"/>
      <c r="E5187" s="43">
        <f>C5187</f>
        <v>0</v>
      </c>
      <c r="F5187" s="42"/>
    </row>
    <row r="5188" spans="1:6">
      <c r="A5188" s="39">
        <f>A5187</f>
        <v>46048</v>
      </c>
      <c r="B5188" s="40"/>
      <c r="C5188" s="40"/>
      <c r="D5188" s="41"/>
      <c r="E5188" s="43">
        <f>C5188</f>
        <v>0</v>
      </c>
      <c r="F5188" s="42"/>
    </row>
    <row r="5189" spans="1:6">
      <c r="A5189" s="39">
        <f>A5188</f>
        <v>46048</v>
      </c>
      <c r="B5189" s="40"/>
      <c r="C5189" s="40"/>
      <c r="D5189" s="41"/>
      <c r="E5189" s="43">
        <f>C5189</f>
        <v>0</v>
      </c>
      <c r="F5189" s="42"/>
    </row>
    <row r="5190" spans="1:6">
      <c r="A5190" s="39">
        <f>A5189</f>
        <v>46048</v>
      </c>
      <c r="B5190" s="40"/>
      <c r="C5190" s="40"/>
      <c r="D5190" s="41"/>
      <c r="E5190" s="43">
        <f>C5190</f>
        <v>0</v>
      </c>
      <c r="F5190" s="42"/>
    </row>
    <row r="5191" spans="1:6">
      <c r="A5191" s="39">
        <f>A5190</f>
        <v>46048</v>
      </c>
      <c r="B5191" s="40"/>
      <c r="C5191" s="40"/>
      <c r="D5191" s="41"/>
      <c r="E5191" s="43">
        <f>C5191</f>
        <v>0</v>
      </c>
      <c r="F5191" s="42"/>
    </row>
    <row r="5192" spans="1:6">
      <c r="A5192" s="39">
        <f>A5191</f>
        <v>46048</v>
      </c>
      <c r="B5192" s="40"/>
      <c r="C5192" s="40"/>
      <c r="D5192" s="41"/>
      <c r="E5192" s="43">
        <f>C5192</f>
        <v>0</v>
      </c>
      <c r="F5192" s="42"/>
    </row>
    <row r="5193" spans="1:6">
      <c r="A5193" s="39">
        <f>A5192</f>
        <v>46048</v>
      </c>
      <c r="B5193" s="40"/>
      <c r="C5193" s="40"/>
      <c r="D5193" s="41"/>
      <c r="E5193" s="43">
        <f>C5193</f>
        <v>0</v>
      </c>
      <c r="F5193" s="42"/>
    </row>
    <row r="5194" spans="1:6">
      <c r="A5194" s="39">
        <f>A5193</f>
        <v>46048</v>
      </c>
      <c r="B5194" s="40"/>
      <c r="C5194" s="40"/>
      <c r="D5194" s="41"/>
      <c r="E5194" s="43">
        <f>C5194</f>
        <v>0</v>
      </c>
      <c r="F5194" s="42"/>
    </row>
    <row r="5195" spans="1:6">
      <c r="A5195" s="39">
        <f>A5194</f>
        <v>46048</v>
      </c>
      <c r="B5195" s="40"/>
      <c r="C5195" s="40"/>
      <c r="D5195" s="41"/>
      <c r="E5195" s="43">
        <f>C5195</f>
        <v>0</v>
      </c>
      <c r="F5195" s="42"/>
    </row>
    <row r="5196" spans="1:6">
      <c r="A5196" s="39">
        <f>A5195</f>
        <v>46048</v>
      </c>
      <c r="B5196" s="40"/>
      <c r="C5196" s="40"/>
      <c r="D5196" s="41"/>
      <c r="E5196" s="43">
        <f>C5196</f>
        <v>0</v>
      </c>
      <c r="F5196" s="42"/>
    </row>
    <row r="5197" spans="1:6">
      <c r="A5197" s="39">
        <f>A5196</f>
        <v>46048</v>
      </c>
      <c r="B5197" s="40"/>
      <c r="C5197" s="40"/>
      <c r="D5197" s="41"/>
      <c r="E5197" s="43">
        <f>C5197</f>
        <v>0</v>
      </c>
      <c r="F5197" s="42"/>
    </row>
    <row r="5198" spans="1:6">
      <c r="A5198" s="39">
        <f>A5197</f>
        <v>46048</v>
      </c>
      <c r="B5198" s="40"/>
      <c r="C5198" s="40"/>
      <c r="D5198" s="41"/>
      <c r="E5198" s="43">
        <f>C5198</f>
        <v>0</v>
      </c>
      <c r="F5198" s="42"/>
    </row>
    <row r="5199" spans="1:6">
      <c r="A5199" s="39">
        <f>A5198</f>
        <v>46048</v>
      </c>
      <c r="B5199" s="40"/>
      <c r="C5199" s="40"/>
      <c r="D5199" s="41"/>
      <c r="E5199" s="43">
        <f>C5199</f>
        <v>0</v>
      </c>
      <c r="F5199" s="42"/>
    </row>
    <row r="5200" spans="1:6">
      <c r="A5200" s="39">
        <f>A5199</f>
        <v>46048</v>
      </c>
      <c r="B5200" s="40"/>
      <c r="C5200" s="40"/>
      <c r="D5200" s="41"/>
      <c r="E5200" s="43">
        <f>C5200</f>
        <v>0</v>
      </c>
      <c r="F5200" s="42"/>
    </row>
    <row r="5201" spans="1:6">
      <c r="A5201" s="39">
        <f>A5200</f>
        <v>46048</v>
      </c>
      <c r="B5201" s="40"/>
      <c r="C5201" s="40"/>
      <c r="D5201" s="41"/>
      <c r="E5201" s="43">
        <f>C5201</f>
        <v>0</v>
      </c>
      <c r="F5201" s="42"/>
    </row>
    <row r="5202" spans="1:6">
      <c r="A5202" s="39">
        <f>A5201</f>
        <v>46048</v>
      </c>
      <c r="B5202" s="40"/>
      <c r="C5202" s="40"/>
      <c r="D5202" s="41"/>
      <c r="E5202" s="43">
        <f>C5202</f>
        <v>0</v>
      </c>
      <c r="F5202" s="42"/>
    </row>
    <row r="5203" spans="1:6">
      <c r="A5203" s="39">
        <f>A5202</f>
        <v>46048</v>
      </c>
      <c r="B5203" s="40"/>
      <c r="C5203" s="40"/>
      <c r="D5203" s="41"/>
      <c r="E5203" s="43">
        <f>C5203</f>
        <v>0</v>
      </c>
      <c r="F5203" s="42"/>
    </row>
    <row r="5204" spans="1:6">
      <c r="A5204" s="39">
        <f>A5203</f>
        <v>46048</v>
      </c>
      <c r="B5204" s="40"/>
      <c r="C5204" s="40"/>
      <c r="D5204" s="41"/>
      <c r="E5204" s="43">
        <f>C5204</f>
        <v>0</v>
      </c>
      <c r="F5204" s="42"/>
    </row>
    <row r="5205" spans="1:6">
      <c r="A5205" s="39">
        <f>A5204</f>
        <v>46048</v>
      </c>
      <c r="B5205" s="40"/>
      <c r="C5205" s="40"/>
      <c r="D5205" s="41"/>
      <c r="E5205" s="43">
        <f>C5205</f>
        <v>0</v>
      </c>
      <c r="F5205" s="42"/>
    </row>
    <row r="5206" spans="1:6">
      <c r="A5206" s="39">
        <f>A5205</f>
        <v>46048</v>
      </c>
      <c r="B5206" s="40"/>
      <c r="C5206" s="40"/>
      <c r="D5206" s="41"/>
      <c r="E5206" s="43">
        <f>C5206</f>
        <v>0</v>
      </c>
      <c r="F5206" s="42"/>
    </row>
    <row r="5207" spans="1:6">
      <c r="A5207" s="39">
        <f>A5206</f>
        <v>46048</v>
      </c>
      <c r="B5207" s="40"/>
      <c r="C5207" s="40"/>
      <c r="D5207" s="41"/>
      <c r="E5207" s="43">
        <f>C5207</f>
        <v>0</v>
      </c>
      <c r="F5207" s="42"/>
    </row>
    <row r="5208" spans="1:6">
      <c r="A5208" s="39">
        <f>A5207</f>
        <v>46048</v>
      </c>
      <c r="B5208" s="40"/>
      <c r="C5208" s="40"/>
      <c r="D5208" s="41"/>
      <c r="E5208" s="43">
        <f>C5208</f>
        <v>0</v>
      </c>
      <c r="F5208" s="42"/>
    </row>
    <row r="5209" spans="1:6">
      <c r="A5209" s="39">
        <f>A5208</f>
        <v>46048</v>
      </c>
      <c r="B5209" s="40"/>
      <c r="C5209" s="40"/>
      <c r="D5209" s="41"/>
      <c r="E5209" s="43">
        <f>C5209</f>
        <v>0</v>
      </c>
      <c r="F5209" s="42"/>
    </row>
    <row r="5210" spans="1:6">
      <c r="A5210" s="39">
        <f>A5209</f>
        <v>46048</v>
      </c>
      <c r="B5210" s="40"/>
      <c r="C5210" s="40"/>
      <c r="D5210" s="41"/>
      <c r="E5210" s="43">
        <f>C5210</f>
        <v>0</v>
      </c>
      <c r="F5210" s="42"/>
    </row>
    <row r="5211" spans="1:6">
      <c r="A5211" s="39">
        <f>A5210</f>
        <v>46048</v>
      </c>
      <c r="B5211" s="40"/>
      <c r="C5211" s="40"/>
      <c r="D5211" s="41"/>
      <c r="E5211" s="43">
        <f>C5211</f>
        <v>0</v>
      </c>
      <c r="F5211" s="42"/>
    </row>
    <row r="5212" spans="1:6">
      <c r="A5212" s="39">
        <f>A5211</f>
        <v>46048</v>
      </c>
      <c r="B5212" s="40"/>
      <c r="C5212" s="40"/>
      <c r="D5212" s="41"/>
      <c r="E5212" s="43">
        <f>C5212</f>
        <v>0</v>
      </c>
      <c r="F5212" s="42"/>
    </row>
    <row r="5213" spans="1:6">
      <c r="A5213" s="39">
        <f>A5212</f>
        <v>46048</v>
      </c>
      <c r="B5213" s="40"/>
      <c r="C5213" s="40"/>
      <c r="D5213" s="41"/>
      <c r="E5213" s="43">
        <f>C5213</f>
        <v>0</v>
      </c>
      <c r="F5213" s="42"/>
    </row>
    <row r="5214" spans="1:6">
      <c r="A5214" s="39">
        <f>A5213</f>
        <v>46048</v>
      </c>
      <c r="B5214" s="40"/>
      <c r="C5214" s="40"/>
      <c r="D5214" s="41"/>
      <c r="E5214" s="43">
        <f>C5214</f>
        <v>0</v>
      </c>
      <c r="F5214" s="42"/>
    </row>
    <row r="5215" spans="1:6">
      <c r="A5215" s="39">
        <f>A5214</f>
        <v>46048</v>
      </c>
      <c r="B5215" s="40"/>
      <c r="C5215" s="40"/>
      <c r="D5215" s="41"/>
      <c r="E5215" s="43">
        <f>C5215</f>
        <v>0</v>
      </c>
      <c r="F5215" s="42"/>
    </row>
    <row r="5216" spans="1:6">
      <c r="A5216" s="39">
        <f>A5215</f>
        <v>46048</v>
      </c>
      <c r="B5216" s="40"/>
      <c r="C5216" s="40"/>
      <c r="D5216" s="41"/>
      <c r="E5216" s="43">
        <f>C5216</f>
        <v>0</v>
      </c>
      <c r="F5216" s="42"/>
    </row>
    <row r="5217" spans="1:6">
      <c r="A5217" s="39">
        <f>A5216</f>
        <v>46048</v>
      </c>
      <c r="B5217" s="40"/>
      <c r="C5217" s="40"/>
      <c r="D5217" s="41"/>
      <c r="E5217" s="43">
        <f>C5217</f>
        <v>0</v>
      </c>
      <c r="F5217" s="42"/>
    </row>
    <row r="5218" spans="1:6">
      <c r="A5218" s="39">
        <f>A5217</f>
        <v>46048</v>
      </c>
      <c r="B5218" s="40"/>
      <c r="C5218" s="40"/>
      <c r="D5218" s="41"/>
      <c r="E5218" s="43">
        <f>C5218</f>
        <v>0</v>
      </c>
      <c r="F5218" s="42"/>
    </row>
    <row r="5219" spans="1:6">
      <c r="A5219" s="39">
        <f>A5218</f>
        <v>46048</v>
      </c>
      <c r="B5219" s="40"/>
      <c r="C5219" s="40"/>
      <c r="D5219" s="41"/>
      <c r="E5219" s="43">
        <f>C5219</f>
        <v>0</v>
      </c>
      <c r="F5219" s="42"/>
    </row>
    <row r="5220" spans="1:6">
      <c r="A5220" s="39">
        <f>A5219</f>
        <v>46048</v>
      </c>
      <c r="B5220" s="40"/>
      <c r="C5220" s="40"/>
      <c r="D5220" s="41"/>
      <c r="E5220" s="43">
        <f>C5220</f>
        <v>0</v>
      </c>
      <c r="F5220" s="42"/>
    </row>
    <row r="5221" spans="1:6">
      <c r="A5221" s="39">
        <f>A5220</f>
        <v>46048</v>
      </c>
      <c r="B5221" s="40"/>
      <c r="C5221" s="40"/>
      <c r="D5221" s="41"/>
      <c r="E5221" s="43">
        <f>C5221</f>
        <v>0</v>
      </c>
      <c r="F5221" s="42"/>
    </row>
    <row r="5222" spans="1:6">
      <c r="A5222" s="39">
        <f>A5221</f>
        <v>46048</v>
      </c>
      <c r="B5222" s="40"/>
      <c r="C5222" s="40"/>
      <c r="D5222" s="41"/>
      <c r="E5222" s="43">
        <f>C5222</f>
        <v>0</v>
      </c>
      <c r="F5222" s="42"/>
    </row>
    <row r="5223" spans="1:6">
      <c r="A5223" s="39">
        <f>A5222</f>
        <v>46048</v>
      </c>
      <c r="B5223" s="40"/>
      <c r="C5223" s="40"/>
      <c r="D5223" s="41"/>
      <c r="E5223" s="43">
        <f>C5223</f>
        <v>0</v>
      </c>
      <c r="F5223" s="42"/>
    </row>
    <row r="5224" spans="1:6">
      <c r="A5224" s="39">
        <f>A5223</f>
        <v>46048</v>
      </c>
      <c r="B5224" s="40"/>
      <c r="C5224" s="40"/>
      <c r="D5224" s="41"/>
      <c r="E5224" s="43">
        <f>C5224</f>
        <v>0</v>
      </c>
      <c r="F5224" s="42"/>
    </row>
    <row r="5225" spans="1:6">
      <c r="A5225" s="39">
        <f>A5224</f>
        <v>46048</v>
      </c>
      <c r="B5225" s="40"/>
      <c r="C5225" s="40"/>
      <c r="D5225" s="41"/>
      <c r="E5225" s="43">
        <f>C5225</f>
        <v>0</v>
      </c>
      <c r="F5225" s="42"/>
    </row>
    <row r="5226" spans="1:6">
      <c r="A5226" s="39">
        <f>A5225</f>
        <v>46048</v>
      </c>
      <c r="B5226" s="40"/>
      <c r="C5226" s="40"/>
      <c r="D5226" s="41"/>
      <c r="E5226" s="43">
        <f>C5226</f>
        <v>0</v>
      </c>
      <c r="F5226" s="42"/>
    </row>
    <row r="5227" spans="1:6">
      <c r="A5227" s="39">
        <f>A5226</f>
        <v>46048</v>
      </c>
      <c r="B5227" s="40"/>
      <c r="C5227" s="40"/>
      <c r="D5227" s="41"/>
      <c r="E5227" s="43">
        <f>C5227</f>
        <v>0</v>
      </c>
      <c r="F5227" s="42"/>
    </row>
    <row r="5228" spans="1:6">
      <c r="A5228" s="39">
        <f>A5227</f>
        <v>46048</v>
      </c>
      <c r="B5228" s="40"/>
      <c r="C5228" s="40"/>
      <c r="D5228" s="41"/>
      <c r="E5228" s="43">
        <f>C5228</f>
        <v>0</v>
      </c>
      <c r="F5228" s="42"/>
    </row>
    <row r="5229" spans="1:6">
      <c r="A5229" s="39">
        <f>A5228</f>
        <v>46048</v>
      </c>
      <c r="B5229" s="40"/>
      <c r="C5229" s="40"/>
      <c r="D5229" s="41"/>
      <c r="E5229" s="43">
        <f>C5229</f>
        <v>0</v>
      </c>
      <c r="F5229" s="42"/>
    </row>
    <row r="5230" spans="1:6">
      <c r="A5230" s="39">
        <f>A5229</f>
        <v>46048</v>
      </c>
      <c r="B5230" s="40"/>
      <c r="C5230" s="40"/>
      <c r="D5230" s="41"/>
      <c r="E5230" s="43">
        <f>C5230</f>
        <v>0</v>
      </c>
      <c r="F5230" s="42"/>
    </row>
    <row r="5231" spans="1:6">
      <c r="A5231" s="39">
        <f>A5230</f>
        <v>46048</v>
      </c>
      <c r="B5231" s="40"/>
      <c r="C5231" s="40"/>
      <c r="D5231" s="41"/>
      <c r="E5231" s="43">
        <f>C5231</f>
        <v>0</v>
      </c>
      <c r="F5231" s="42"/>
    </row>
    <row r="5232" spans="1:6">
      <c r="A5232" s="39">
        <f>A5231</f>
        <v>46048</v>
      </c>
      <c r="B5232" s="40"/>
      <c r="C5232" s="40"/>
      <c r="D5232" s="41"/>
      <c r="E5232" s="43">
        <f>C5232</f>
        <v>0</v>
      </c>
      <c r="F5232" s="42"/>
    </row>
    <row r="5233" spans="1:6">
      <c r="A5233" s="39">
        <f>A5232</f>
        <v>46048</v>
      </c>
      <c r="B5233" s="40"/>
      <c r="C5233" s="40"/>
      <c r="D5233" s="41"/>
      <c r="E5233" s="43">
        <f>C5233</f>
        <v>0</v>
      </c>
      <c r="F5233" s="42"/>
    </row>
    <row r="5234" spans="1:6">
      <c r="A5234" s="39">
        <f>A5233</f>
        <v>46048</v>
      </c>
      <c r="B5234" s="40"/>
      <c r="C5234" s="40"/>
      <c r="D5234" s="41"/>
      <c r="E5234" s="43">
        <f>C5234</f>
        <v>0</v>
      </c>
      <c r="F5234" s="42"/>
    </row>
    <row r="5235" spans="1:6">
      <c r="A5235" s="39">
        <f>A5234</f>
        <v>46048</v>
      </c>
      <c r="B5235" s="40"/>
      <c r="C5235" s="40"/>
      <c r="D5235" s="41"/>
      <c r="E5235" s="43">
        <f>C5235</f>
        <v>0</v>
      </c>
      <c r="F5235" s="42"/>
    </row>
    <row r="5236" spans="1:6">
      <c r="A5236" s="39">
        <f>A5235</f>
        <v>46048</v>
      </c>
      <c r="B5236" s="40"/>
      <c r="C5236" s="40"/>
      <c r="D5236" s="41"/>
      <c r="E5236" s="43">
        <f>C5236</f>
        <v>0</v>
      </c>
      <c r="F5236" s="42"/>
    </row>
    <row r="5237" spans="1:6">
      <c r="A5237" s="39">
        <f>A5236</f>
        <v>46048</v>
      </c>
      <c r="B5237" s="40"/>
      <c r="C5237" s="40"/>
      <c r="D5237" s="41"/>
      <c r="E5237" s="43">
        <f>C5237</f>
        <v>0</v>
      </c>
      <c r="F5237" s="42"/>
    </row>
    <row r="5238" spans="1:6">
      <c r="A5238" s="39">
        <f>A5237</f>
        <v>46048</v>
      </c>
      <c r="B5238" s="40"/>
      <c r="C5238" s="40"/>
      <c r="D5238" s="41"/>
      <c r="E5238" s="43">
        <f>C5238</f>
        <v>0</v>
      </c>
      <c r="F5238" s="42"/>
    </row>
    <row r="5239" spans="1:6">
      <c r="A5239" s="39">
        <f>A5238</f>
        <v>46048</v>
      </c>
      <c r="B5239" s="40"/>
      <c r="C5239" s="40"/>
      <c r="D5239" s="41"/>
      <c r="E5239" s="43">
        <f>C5239</f>
        <v>0</v>
      </c>
      <c r="F5239" s="42"/>
    </row>
    <row r="5240" spans="1:6">
      <c r="A5240" s="39">
        <f>A5239</f>
        <v>46048</v>
      </c>
      <c r="B5240" s="40"/>
      <c r="C5240" s="40"/>
      <c r="D5240" s="41"/>
      <c r="E5240" s="43">
        <f>C5240</f>
        <v>0</v>
      </c>
      <c r="F5240" s="42"/>
    </row>
    <row r="5241" spans="1:6">
      <c r="A5241" s="39">
        <f>A5240</f>
        <v>46048</v>
      </c>
      <c r="B5241" s="40"/>
      <c r="C5241" s="40"/>
      <c r="D5241" s="41"/>
      <c r="E5241" s="43">
        <f>C5241</f>
        <v>0</v>
      </c>
      <c r="F5241" s="42"/>
    </row>
    <row r="5242" spans="1:6">
      <c r="A5242" s="39">
        <f>A5241</f>
        <v>46048</v>
      </c>
      <c r="B5242" s="40"/>
      <c r="C5242" s="40"/>
      <c r="D5242" s="41"/>
      <c r="E5242" s="43">
        <f>C5242</f>
        <v>0</v>
      </c>
      <c r="F5242" s="42"/>
    </row>
    <row r="5243" spans="1:6">
      <c r="A5243" s="39">
        <f>A5242</f>
        <v>46048</v>
      </c>
      <c r="B5243" s="40"/>
      <c r="C5243" s="40"/>
      <c r="D5243" s="41"/>
      <c r="E5243" s="43">
        <f>C5243</f>
        <v>0</v>
      </c>
      <c r="F5243" s="42"/>
    </row>
    <row r="5244" spans="1:6">
      <c r="A5244" s="39">
        <f>A5243</f>
        <v>46048</v>
      </c>
      <c r="B5244" s="40"/>
      <c r="C5244" s="40"/>
      <c r="D5244" s="41"/>
      <c r="E5244" s="43">
        <f>C5244</f>
        <v>0</v>
      </c>
      <c r="F5244" s="42"/>
    </row>
    <row r="5245" spans="1:6">
      <c r="A5245" s="39">
        <f>A5244</f>
        <v>46048</v>
      </c>
      <c r="B5245" s="40"/>
      <c r="C5245" s="40"/>
      <c r="D5245" s="41"/>
      <c r="E5245" s="43">
        <f>C5245</f>
        <v>0</v>
      </c>
      <c r="F5245" s="42"/>
    </row>
    <row r="5246" spans="1:6">
      <c r="A5246" s="39">
        <f>A5245</f>
        <v>46048</v>
      </c>
      <c r="B5246" s="40"/>
      <c r="C5246" s="40"/>
      <c r="D5246" s="41"/>
      <c r="E5246" s="43">
        <f>C5246</f>
        <v>0</v>
      </c>
      <c r="F5246" s="42"/>
    </row>
    <row r="5247" spans="1:6">
      <c r="A5247" s="39">
        <f>A5246</f>
        <v>46048</v>
      </c>
      <c r="B5247" s="40"/>
      <c r="C5247" s="40"/>
      <c r="D5247" s="41"/>
      <c r="E5247" s="43">
        <f>C5247</f>
        <v>0</v>
      </c>
      <c r="F5247" s="42"/>
    </row>
    <row r="5248" spans="1:6">
      <c r="A5248" s="39">
        <f>A5247</f>
        <v>46048</v>
      </c>
      <c r="B5248" s="40"/>
      <c r="C5248" s="40"/>
      <c r="D5248" s="41"/>
      <c r="E5248" s="43">
        <f>C5248</f>
        <v>0</v>
      </c>
      <c r="F5248" s="42"/>
    </row>
    <row r="5249" spans="1:6">
      <c r="A5249" s="39">
        <f>A5248</f>
        <v>46048</v>
      </c>
      <c r="B5249" s="40"/>
      <c r="C5249" s="40"/>
      <c r="D5249" s="41"/>
      <c r="E5249" s="43">
        <f>C5249</f>
        <v>0</v>
      </c>
      <c r="F5249" s="42"/>
    </row>
    <row r="5250" spans="1:6">
      <c r="A5250" s="39">
        <f>A5249</f>
        <v>46048</v>
      </c>
      <c r="B5250" s="40"/>
      <c r="C5250" s="40"/>
      <c r="D5250" s="41"/>
      <c r="E5250" s="43">
        <f>C5250</f>
        <v>0</v>
      </c>
      <c r="F5250" s="42"/>
    </row>
    <row r="5251" spans="1:6">
      <c r="A5251" s="39">
        <f>A5250</f>
        <v>46048</v>
      </c>
      <c r="B5251" s="40"/>
      <c r="C5251" s="40"/>
      <c r="D5251" s="41"/>
      <c r="E5251" s="43">
        <f>C5251</f>
        <v>0</v>
      </c>
      <c r="F5251" s="42"/>
    </row>
    <row r="5252" spans="1:6">
      <c r="A5252" s="39">
        <f>A5251</f>
        <v>46048</v>
      </c>
      <c r="B5252" s="40"/>
      <c r="C5252" s="40"/>
      <c r="D5252" s="41"/>
      <c r="E5252" s="43">
        <f>C5252</f>
        <v>0</v>
      </c>
      <c r="F5252" s="42"/>
    </row>
    <row r="5253" spans="1:6">
      <c r="A5253" s="39">
        <f>A5252</f>
        <v>46048</v>
      </c>
      <c r="B5253" s="40"/>
      <c r="C5253" s="40"/>
      <c r="D5253" s="41"/>
      <c r="E5253" s="43">
        <f>C5253</f>
        <v>0</v>
      </c>
      <c r="F5253" s="42"/>
    </row>
    <row r="5254" spans="1:6">
      <c r="A5254" s="39">
        <f>A5253</f>
        <v>46048</v>
      </c>
      <c r="B5254" s="40"/>
      <c r="C5254" s="40"/>
      <c r="D5254" s="41"/>
      <c r="E5254" s="43">
        <f>C5254</f>
        <v>0</v>
      </c>
      <c r="F5254" s="42"/>
    </row>
    <row r="5255" spans="1:6">
      <c r="A5255" s="39">
        <f>A5254</f>
        <v>46048</v>
      </c>
      <c r="B5255" s="40"/>
      <c r="C5255" s="40"/>
      <c r="D5255" s="41"/>
      <c r="E5255" s="43">
        <f>C5255</f>
        <v>0</v>
      </c>
      <c r="F5255" s="42"/>
    </row>
    <row r="5256" spans="1:6">
      <c r="A5256" s="39">
        <f>A5255</f>
        <v>46048</v>
      </c>
      <c r="B5256" s="40"/>
      <c r="C5256" s="40"/>
      <c r="D5256" s="41"/>
      <c r="E5256" s="43">
        <f>C5256</f>
        <v>0</v>
      </c>
      <c r="F5256" s="42"/>
    </row>
    <row r="5257" spans="1:6">
      <c r="A5257" s="39">
        <f>A5256</f>
        <v>46048</v>
      </c>
      <c r="B5257" s="40"/>
      <c r="C5257" s="40"/>
      <c r="D5257" s="41"/>
      <c r="E5257" s="43">
        <f>C5257</f>
        <v>0</v>
      </c>
      <c r="F5257" s="42"/>
    </row>
    <row r="5258" spans="1:6">
      <c r="A5258" s="39">
        <f>A5257</f>
        <v>46048</v>
      </c>
      <c r="B5258" s="40"/>
      <c r="C5258" s="40"/>
      <c r="D5258" s="41"/>
      <c r="E5258" s="43">
        <f>C5258</f>
        <v>0</v>
      </c>
      <c r="F5258" s="42"/>
    </row>
    <row r="5259" spans="1:6">
      <c r="A5259" s="39">
        <f>A5258</f>
        <v>46048</v>
      </c>
      <c r="B5259" s="40"/>
      <c r="C5259" s="40"/>
      <c r="D5259" s="41"/>
      <c r="E5259" s="43">
        <f>C5259</f>
        <v>0</v>
      </c>
      <c r="F5259" s="42"/>
    </row>
    <row r="5260" spans="1:6">
      <c r="A5260" s="39">
        <f>A5259</f>
        <v>46048</v>
      </c>
      <c r="B5260" s="40"/>
      <c r="C5260" s="40"/>
      <c r="D5260" s="41"/>
      <c r="E5260" s="43">
        <f>C5260</f>
        <v>0</v>
      </c>
      <c r="F5260" s="42"/>
    </row>
    <row r="5261" spans="1:6">
      <c r="A5261" s="39">
        <f>A5260</f>
        <v>46048</v>
      </c>
      <c r="B5261" s="40"/>
      <c r="C5261" s="40"/>
      <c r="D5261" s="41"/>
      <c r="E5261" s="43">
        <f>C5261</f>
        <v>0</v>
      </c>
      <c r="F5261" s="42"/>
    </row>
    <row r="5262" spans="1:6">
      <c r="A5262" s="39">
        <f>A5261</f>
        <v>46048</v>
      </c>
      <c r="B5262" s="40"/>
      <c r="C5262" s="40"/>
      <c r="D5262" s="41"/>
      <c r="E5262" s="43">
        <f>C5262</f>
        <v>0</v>
      </c>
      <c r="F5262" s="42"/>
    </row>
    <row r="5263" spans="1:6">
      <c r="A5263" s="39">
        <f>A5262</f>
        <v>46048</v>
      </c>
      <c r="B5263" s="40"/>
      <c r="C5263" s="40"/>
      <c r="D5263" s="41"/>
      <c r="E5263" s="43">
        <f>C5263</f>
        <v>0</v>
      </c>
      <c r="F5263" s="42"/>
    </row>
    <row r="5264" spans="1:6">
      <c r="A5264" s="39">
        <f>A5263</f>
        <v>46048</v>
      </c>
      <c r="B5264" s="40"/>
      <c r="C5264" s="40"/>
      <c r="D5264" s="41"/>
      <c r="E5264" s="43">
        <f>C5264</f>
        <v>0</v>
      </c>
      <c r="F5264" s="42"/>
    </row>
    <row r="5265" spans="1:6">
      <c r="A5265" s="39">
        <f>A5264</f>
        <v>46048</v>
      </c>
      <c r="B5265" s="40"/>
      <c r="C5265" s="40"/>
      <c r="D5265" s="41"/>
      <c r="E5265" s="43">
        <f>C5265</f>
        <v>0</v>
      </c>
      <c r="F5265" s="42"/>
    </row>
    <row r="5266" spans="1:6">
      <c r="A5266" s="39">
        <f>A5265</f>
        <v>46048</v>
      </c>
      <c r="B5266" s="40"/>
      <c r="C5266" s="40"/>
      <c r="D5266" s="41"/>
      <c r="E5266" s="43">
        <f>C5266</f>
        <v>0</v>
      </c>
      <c r="F5266" s="42"/>
    </row>
    <row r="5267" spans="1:6">
      <c r="A5267" s="39">
        <f>A5266</f>
        <v>46048</v>
      </c>
      <c r="B5267" s="40"/>
      <c r="C5267" s="40"/>
      <c r="D5267" s="41"/>
      <c r="E5267" s="43">
        <f>C5267</f>
        <v>0</v>
      </c>
      <c r="F5267" s="42"/>
    </row>
    <row r="5268" spans="1:6">
      <c r="A5268" s="39">
        <f>A5267</f>
        <v>46048</v>
      </c>
      <c r="B5268" s="40"/>
      <c r="C5268" s="40"/>
      <c r="D5268" s="41"/>
      <c r="E5268" s="43">
        <f>C5268</f>
        <v>0</v>
      </c>
      <c r="F5268" s="42"/>
    </row>
    <row r="5269" spans="1:6">
      <c r="A5269" s="39">
        <f>A5268</f>
        <v>46048</v>
      </c>
      <c r="B5269" s="40"/>
      <c r="C5269" s="40"/>
      <c r="D5269" s="41"/>
      <c r="E5269" s="43">
        <f>C5269</f>
        <v>0</v>
      </c>
      <c r="F5269" s="42"/>
    </row>
    <row r="5270" spans="1:6">
      <c r="A5270" s="39">
        <f>A5269</f>
        <v>46048</v>
      </c>
      <c r="B5270" s="40"/>
      <c r="C5270" s="40"/>
      <c r="D5270" s="41"/>
      <c r="E5270" s="43">
        <f>C5270</f>
        <v>0</v>
      </c>
      <c r="F5270" s="42"/>
    </row>
    <row r="5271" spans="1:6">
      <c r="A5271" s="39">
        <f>A5270</f>
        <v>46048</v>
      </c>
      <c r="B5271" s="40"/>
      <c r="C5271" s="40"/>
      <c r="D5271" s="41"/>
      <c r="E5271" s="43">
        <f>C5271</f>
        <v>0</v>
      </c>
      <c r="F5271" s="42"/>
    </row>
    <row r="5272" spans="1:6">
      <c r="A5272" s="39">
        <f>A5271</f>
        <v>46048</v>
      </c>
      <c r="B5272" s="40"/>
      <c r="C5272" s="40"/>
      <c r="D5272" s="41"/>
      <c r="E5272" s="43">
        <f>C5272</f>
        <v>0</v>
      </c>
      <c r="F5272" s="42"/>
    </row>
    <row r="5273" spans="1:6">
      <c r="A5273" s="39">
        <f>A5272</f>
        <v>46048</v>
      </c>
      <c r="B5273" s="40"/>
      <c r="C5273" s="40"/>
      <c r="D5273" s="41"/>
      <c r="E5273" s="43">
        <f>C5273</f>
        <v>0</v>
      </c>
      <c r="F5273" s="42"/>
    </row>
    <row r="5274" spans="1:6">
      <c r="A5274" s="39">
        <f>A5273</f>
        <v>46048</v>
      </c>
      <c r="B5274" s="40"/>
      <c r="C5274" s="40"/>
      <c r="D5274" s="41"/>
      <c r="E5274" s="43">
        <f>C5274</f>
        <v>0</v>
      </c>
      <c r="F5274" s="42"/>
    </row>
    <row r="5275" spans="1:6">
      <c r="A5275" s="39">
        <f>A5274</f>
        <v>46048</v>
      </c>
      <c r="B5275" s="40"/>
      <c r="C5275" s="40"/>
      <c r="D5275" s="41"/>
      <c r="E5275" s="43">
        <f>C5275</f>
        <v>0</v>
      </c>
      <c r="F5275" s="42"/>
    </row>
    <row r="5276" spans="1:6">
      <c r="A5276" s="39">
        <f>A5275</f>
        <v>46048</v>
      </c>
      <c r="B5276" s="40"/>
      <c r="C5276" s="40"/>
      <c r="D5276" s="41"/>
      <c r="E5276" s="43">
        <f>C5276</f>
        <v>0</v>
      </c>
      <c r="F5276" s="42"/>
    </row>
    <row r="5277" spans="1:6">
      <c r="A5277" s="39">
        <f>A5276</f>
        <v>46048</v>
      </c>
      <c r="B5277" s="40"/>
      <c r="C5277" s="40"/>
      <c r="D5277" s="41"/>
      <c r="E5277" s="43">
        <f>C5277</f>
        <v>0</v>
      </c>
      <c r="F5277" s="42"/>
    </row>
    <row r="5278" spans="1:6">
      <c r="A5278" s="39">
        <f>A5277</f>
        <v>46048</v>
      </c>
      <c r="B5278" s="40"/>
      <c r="C5278" s="40"/>
      <c r="D5278" s="41"/>
      <c r="E5278" s="43">
        <f>C5278</f>
        <v>0</v>
      </c>
      <c r="F5278" s="42"/>
    </row>
    <row r="5279" spans="1:6">
      <c r="A5279" s="39">
        <f>A5278</f>
        <v>46048</v>
      </c>
      <c r="B5279" s="40"/>
      <c r="C5279" s="40"/>
      <c r="D5279" s="41"/>
      <c r="E5279" s="43">
        <f>C5279</f>
        <v>0</v>
      </c>
      <c r="F5279" s="42"/>
    </row>
    <row r="5280" spans="1:6">
      <c r="A5280" s="39">
        <f>A5279</f>
        <v>46048</v>
      </c>
      <c r="B5280" s="40"/>
      <c r="C5280" s="40"/>
      <c r="D5280" s="41"/>
      <c r="E5280" s="43">
        <f>C5280</f>
        <v>0</v>
      </c>
      <c r="F5280" s="42"/>
    </row>
    <row r="5281" spans="1:6">
      <c r="A5281" s="39">
        <f>A5280</f>
        <v>46048</v>
      </c>
      <c r="B5281" s="40"/>
      <c r="C5281" s="40"/>
      <c r="D5281" s="41"/>
      <c r="E5281" s="43">
        <f>C5281</f>
        <v>0</v>
      </c>
      <c r="F5281" s="42"/>
    </row>
    <row r="5282" spans="1:6">
      <c r="A5282" s="39">
        <f>A5281</f>
        <v>46048</v>
      </c>
      <c r="B5282" s="40"/>
      <c r="C5282" s="40"/>
      <c r="D5282" s="41"/>
      <c r="E5282" s="43">
        <f>C5282</f>
        <v>0</v>
      </c>
      <c r="F5282" s="42"/>
    </row>
    <row r="5283" spans="1:6">
      <c r="A5283" s="39">
        <f>A5282</f>
        <v>46048</v>
      </c>
      <c r="B5283" s="40"/>
      <c r="C5283" s="40"/>
      <c r="D5283" s="41"/>
      <c r="E5283" s="43">
        <f>C5283</f>
        <v>0</v>
      </c>
      <c r="F5283" s="42"/>
    </row>
    <row r="5284" spans="1:6">
      <c r="A5284" s="39">
        <f>A5283</f>
        <v>46048</v>
      </c>
      <c r="B5284" s="40"/>
      <c r="C5284" s="40"/>
      <c r="D5284" s="41"/>
      <c r="E5284" s="43">
        <f>C5284</f>
        <v>0</v>
      </c>
      <c r="F5284" s="42"/>
    </row>
    <row r="5285" spans="1:6">
      <c r="A5285" s="39">
        <f>A5284</f>
        <v>46048</v>
      </c>
      <c r="B5285" s="40"/>
      <c r="C5285" s="40"/>
      <c r="D5285" s="41"/>
      <c r="E5285" s="43">
        <f>C5285</f>
        <v>0</v>
      </c>
      <c r="F5285" s="42"/>
    </row>
    <row r="5286" spans="1:6">
      <c r="A5286" s="39">
        <f>A5285</f>
        <v>46048</v>
      </c>
      <c r="B5286" s="40"/>
      <c r="C5286" s="40"/>
      <c r="D5286" s="41"/>
      <c r="E5286" s="43">
        <f>C5286</f>
        <v>0</v>
      </c>
      <c r="F5286" s="42"/>
    </row>
    <row r="5287" spans="1:6">
      <c r="A5287" s="39">
        <f>A5286</f>
        <v>46048</v>
      </c>
      <c r="B5287" s="40"/>
      <c r="C5287" s="40"/>
      <c r="D5287" s="41"/>
      <c r="E5287" s="43">
        <f>C5287</f>
        <v>0</v>
      </c>
      <c r="F5287" s="42"/>
    </row>
    <row r="5288" spans="1:6">
      <c r="A5288" s="39">
        <f>A5287</f>
        <v>46048</v>
      </c>
      <c r="B5288" s="40"/>
      <c r="C5288" s="40"/>
      <c r="D5288" s="41"/>
      <c r="E5288" s="43">
        <f>C5288</f>
        <v>0</v>
      </c>
      <c r="F5288" s="42"/>
    </row>
    <row r="5289" spans="1:6">
      <c r="A5289" s="39">
        <f>A5288</f>
        <v>46048</v>
      </c>
      <c r="B5289" s="40"/>
      <c r="C5289" s="40"/>
      <c r="D5289" s="41"/>
      <c r="E5289" s="43">
        <f>C5289</f>
        <v>0</v>
      </c>
      <c r="F5289" s="42"/>
    </row>
    <row r="5290" spans="1:6">
      <c r="A5290" s="39">
        <f>A5289</f>
        <v>46048</v>
      </c>
      <c r="B5290" s="40"/>
      <c r="C5290" s="40"/>
      <c r="D5290" s="41"/>
      <c r="E5290" s="43">
        <f>C5290</f>
        <v>0</v>
      </c>
      <c r="F5290" s="42"/>
    </row>
    <row r="5291" spans="1:6">
      <c r="A5291" s="39">
        <f>A5290</f>
        <v>46048</v>
      </c>
      <c r="B5291" s="40"/>
      <c r="C5291" s="40"/>
      <c r="D5291" s="41"/>
      <c r="E5291" s="43">
        <f>C5291</f>
        <v>0</v>
      </c>
      <c r="F5291" s="42"/>
    </row>
    <row r="5292" spans="1:6">
      <c r="A5292" s="39">
        <f>A5291</f>
        <v>46048</v>
      </c>
      <c r="B5292" s="40"/>
      <c r="C5292" s="40"/>
      <c r="D5292" s="41"/>
      <c r="E5292" s="43">
        <f>C5292</f>
        <v>0</v>
      </c>
      <c r="F5292" s="42"/>
    </row>
    <row r="5293" spans="1:6">
      <c r="A5293" s="39">
        <f>A5292</f>
        <v>46048</v>
      </c>
      <c r="B5293" s="40"/>
      <c r="C5293" s="40"/>
      <c r="D5293" s="41"/>
      <c r="E5293" s="43">
        <f>C5293</f>
        <v>0</v>
      </c>
      <c r="F5293" s="42"/>
    </row>
    <row r="5294" spans="1:6">
      <c r="A5294" s="39">
        <f>A5293</f>
        <v>46048</v>
      </c>
      <c r="B5294" s="40"/>
      <c r="C5294" s="40"/>
      <c r="D5294" s="41"/>
      <c r="E5294" s="43">
        <f>C5294</f>
        <v>0</v>
      </c>
      <c r="F5294" s="42"/>
    </row>
    <row r="5295" spans="1:6">
      <c r="A5295" s="39">
        <f>A5294</f>
        <v>46048</v>
      </c>
      <c r="B5295" s="40"/>
      <c r="C5295" s="40"/>
      <c r="D5295" s="41"/>
      <c r="E5295" s="43">
        <f>C5295</f>
        <v>0</v>
      </c>
      <c r="F5295" s="42"/>
    </row>
    <row r="5296" spans="1:6">
      <c r="A5296" s="39">
        <f>A5295</f>
        <v>46048</v>
      </c>
      <c r="B5296" s="40"/>
      <c r="C5296" s="40"/>
      <c r="D5296" s="41"/>
      <c r="E5296" s="43">
        <f>C5296</f>
        <v>0</v>
      </c>
      <c r="F5296" s="42"/>
    </row>
    <row r="5297" spans="1:6">
      <c r="A5297" s="39">
        <f>A5296</f>
        <v>46048</v>
      </c>
      <c r="B5297" s="40"/>
      <c r="C5297" s="40"/>
      <c r="D5297" s="41"/>
      <c r="E5297" s="43">
        <f>C5297</f>
        <v>0</v>
      </c>
      <c r="F5297" s="42"/>
    </row>
    <row r="5298" spans="1:6">
      <c r="A5298" s="39">
        <f>A5297</f>
        <v>46048</v>
      </c>
      <c r="B5298" s="40"/>
      <c r="C5298" s="40"/>
      <c r="D5298" s="41"/>
      <c r="E5298" s="43">
        <f>C5298</f>
        <v>0</v>
      </c>
      <c r="F5298" s="42"/>
    </row>
    <row r="5299" spans="1:6">
      <c r="A5299" s="39">
        <f>A5298</f>
        <v>46048</v>
      </c>
      <c r="B5299" s="40"/>
      <c r="C5299" s="40"/>
      <c r="D5299" s="41"/>
      <c r="E5299" s="43">
        <f>C5299</f>
        <v>0</v>
      </c>
      <c r="F5299" s="42"/>
    </row>
    <row r="5300" spans="1:6">
      <c r="A5300" s="39">
        <f>A5299</f>
        <v>46048</v>
      </c>
      <c r="B5300" s="40"/>
      <c r="C5300" s="40"/>
      <c r="D5300" s="41"/>
      <c r="E5300" s="43">
        <f>C5300</f>
        <v>0</v>
      </c>
      <c r="F5300" s="42"/>
    </row>
    <row r="5301" spans="1:6">
      <c r="A5301" s="39">
        <f>A5300</f>
        <v>46048</v>
      </c>
      <c r="B5301" s="40"/>
      <c r="C5301" s="40"/>
      <c r="D5301" s="41"/>
      <c r="E5301" s="43">
        <f>C5301</f>
        <v>0</v>
      </c>
      <c r="F5301" s="42"/>
    </row>
    <row r="5302" spans="1:6">
      <c r="A5302" s="39">
        <f>A5301</f>
        <v>46048</v>
      </c>
      <c r="B5302" s="40"/>
      <c r="C5302" s="40"/>
      <c r="D5302" s="41"/>
      <c r="E5302" s="43">
        <f>C5302</f>
        <v>0</v>
      </c>
      <c r="F5302" s="42"/>
    </row>
    <row r="5303" spans="1:6">
      <c r="A5303" s="39">
        <f>A5302</f>
        <v>46048</v>
      </c>
      <c r="B5303" s="40"/>
      <c r="C5303" s="40"/>
      <c r="D5303" s="41"/>
      <c r="E5303" s="43">
        <f>C5303</f>
        <v>0</v>
      </c>
      <c r="F5303" s="42"/>
    </row>
    <row r="5304" spans="1:6">
      <c r="A5304" s="39">
        <f>A5303</f>
        <v>46048</v>
      </c>
      <c r="B5304" s="40"/>
      <c r="C5304" s="40"/>
      <c r="D5304" s="41"/>
      <c r="E5304" s="43">
        <f>C5304</f>
        <v>0</v>
      </c>
      <c r="F5304" s="42"/>
    </row>
    <row r="5305" spans="1:6">
      <c r="A5305" s="39">
        <f>A5304</f>
        <v>46048</v>
      </c>
      <c r="B5305" s="40"/>
      <c r="C5305" s="40"/>
      <c r="D5305" s="41"/>
      <c r="E5305" s="43">
        <f>C5305</f>
        <v>0</v>
      </c>
      <c r="F5305" s="42"/>
    </row>
    <row r="5306" spans="1:6">
      <c r="A5306" s="39">
        <f>A5305</f>
        <v>46048</v>
      </c>
      <c r="B5306" s="40"/>
      <c r="C5306" s="40"/>
      <c r="D5306" s="41"/>
      <c r="E5306" s="43">
        <f>C5306</f>
        <v>0</v>
      </c>
      <c r="F5306" s="42"/>
    </row>
    <row r="5307" spans="1:6">
      <c r="A5307" s="39">
        <f>A5306</f>
        <v>46048</v>
      </c>
      <c r="B5307" s="40"/>
      <c r="C5307" s="40"/>
      <c r="D5307" s="41"/>
      <c r="E5307" s="43">
        <f>C5307</f>
        <v>0</v>
      </c>
      <c r="F5307" s="42"/>
    </row>
    <row r="5308" spans="1:6">
      <c r="A5308" s="39">
        <f>A5307</f>
        <v>46048</v>
      </c>
      <c r="B5308" s="40"/>
      <c r="C5308" s="40"/>
      <c r="D5308" s="41"/>
      <c r="E5308" s="43">
        <f>C5308</f>
        <v>0</v>
      </c>
      <c r="F5308" s="42"/>
    </row>
    <row r="5309" spans="1:6">
      <c r="A5309" s="39">
        <f>A5308</f>
        <v>46048</v>
      </c>
      <c r="B5309" s="40"/>
      <c r="C5309" s="40"/>
      <c r="D5309" s="41"/>
      <c r="E5309" s="43">
        <f>C5309</f>
        <v>0</v>
      </c>
      <c r="F5309" s="42"/>
    </row>
    <row r="5310" spans="1:6">
      <c r="A5310" s="39">
        <f>A5309</f>
        <v>46048</v>
      </c>
      <c r="B5310" s="40"/>
      <c r="C5310" s="40"/>
      <c r="D5310" s="41"/>
      <c r="E5310" s="43">
        <f>C5310</f>
        <v>0</v>
      </c>
      <c r="F5310" s="42"/>
    </row>
    <row r="5311" spans="1:6">
      <c r="A5311" s="39">
        <f>A5310</f>
        <v>46048</v>
      </c>
      <c r="B5311" s="40"/>
      <c r="C5311" s="40"/>
      <c r="D5311" s="41"/>
      <c r="E5311" s="43">
        <f>C5311</f>
        <v>0</v>
      </c>
      <c r="F5311" s="42"/>
    </row>
    <row r="5312" spans="1:6">
      <c r="A5312" s="39">
        <f>A5311</f>
        <v>46048</v>
      </c>
      <c r="B5312" s="40"/>
      <c r="C5312" s="40"/>
      <c r="D5312" s="41"/>
      <c r="E5312" s="43">
        <f>C5312</f>
        <v>0</v>
      </c>
      <c r="F5312" s="42"/>
    </row>
    <row r="5313" spans="1:6">
      <c r="A5313" s="39">
        <f>A5312</f>
        <v>46048</v>
      </c>
      <c r="B5313" s="40"/>
      <c r="C5313" s="40"/>
      <c r="D5313" s="41"/>
      <c r="E5313" s="43">
        <f>C5313</f>
        <v>0</v>
      </c>
      <c r="F5313" s="42"/>
    </row>
    <row r="5314" spans="1:6">
      <c r="A5314" s="39">
        <f>A5313</f>
        <v>46048</v>
      </c>
      <c r="B5314" s="40"/>
      <c r="C5314" s="40"/>
      <c r="D5314" s="41"/>
      <c r="E5314" s="43">
        <f>C5314</f>
        <v>0</v>
      </c>
      <c r="F5314" s="42"/>
    </row>
    <row r="5315" spans="1:6">
      <c r="A5315" s="39">
        <f>A5314</f>
        <v>46048</v>
      </c>
      <c r="B5315" s="40"/>
      <c r="C5315" s="40"/>
      <c r="D5315" s="41"/>
      <c r="E5315" s="43">
        <f>C5315</f>
        <v>0</v>
      </c>
      <c r="F5315" s="42"/>
    </row>
    <row r="5316" spans="1:6">
      <c r="A5316" s="39">
        <f>A5315</f>
        <v>46048</v>
      </c>
      <c r="B5316" s="40"/>
      <c r="C5316" s="40"/>
      <c r="D5316" s="41"/>
      <c r="E5316" s="43">
        <f>C5316</f>
        <v>0</v>
      </c>
      <c r="F5316" s="42"/>
    </row>
    <row r="5317" spans="1:6">
      <c r="A5317" s="39">
        <f>A5316</f>
        <v>46048</v>
      </c>
      <c r="B5317" s="40"/>
      <c r="C5317" s="40"/>
      <c r="D5317" s="41"/>
      <c r="E5317" s="43">
        <f>C5317</f>
        <v>0</v>
      </c>
      <c r="F5317" s="42"/>
    </row>
    <row r="5318" spans="1:6">
      <c r="A5318" s="39">
        <f>A5317</f>
        <v>46048</v>
      </c>
      <c r="B5318" s="40"/>
      <c r="C5318" s="40"/>
      <c r="D5318" s="41"/>
      <c r="E5318" s="43">
        <f>C5318</f>
        <v>0</v>
      </c>
      <c r="F5318" s="42"/>
    </row>
    <row r="5319" spans="1:6">
      <c r="A5319" s="39">
        <f>A5318</f>
        <v>46048</v>
      </c>
      <c r="B5319" s="40"/>
      <c r="C5319" s="40"/>
      <c r="D5319" s="41"/>
      <c r="E5319" s="43">
        <f>C5319</f>
        <v>0</v>
      </c>
      <c r="F5319" s="42"/>
    </row>
    <row r="5320" spans="1:6">
      <c r="A5320" s="39">
        <f>A5319</f>
        <v>46048</v>
      </c>
      <c r="B5320" s="40"/>
      <c r="C5320" s="40"/>
      <c r="D5320" s="41"/>
      <c r="E5320" s="43">
        <f>C5320</f>
        <v>0</v>
      </c>
      <c r="F5320" s="42"/>
    </row>
    <row r="5321" spans="1:6">
      <c r="A5321" s="39">
        <f>A5320</f>
        <v>46048</v>
      </c>
      <c r="B5321" s="40"/>
      <c r="C5321" s="40"/>
      <c r="D5321" s="41"/>
      <c r="E5321" s="43">
        <f>C5321</f>
        <v>0</v>
      </c>
      <c r="F5321" s="42"/>
    </row>
    <row r="5322" spans="1:6">
      <c r="A5322" s="39">
        <f>A5321</f>
        <v>46048</v>
      </c>
      <c r="B5322" s="40"/>
      <c r="C5322" s="40"/>
      <c r="D5322" s="41"/>
      <c r="E5322" s="43">
        <f>C5322</f>
        <v>0</v>
      </c>
      <c r="F5322" s="42"/>
    </row>
    <row r="5323" spans="1:6">
      <c r="A5323" s="39">
        <f>A5322</f>
        <v>46048</v>
      </c>
      <c r="B5323" s="40"/>
      <c r="C5323" s="40"/>
      <c r="D5323" s="41"/>
      <c r="E5323" s="43">
        <f>C5323</f>
        <v>0</v>
      </c>
      <c r="F5323" s="42"/>
    </row>
    <row r="5324" spans="1:6">
      <c r="A5324" s="39">
        <f>A5323</f>
        <v>46048</v>
      </c>
      <c r="B5324" s="40"/>
      <c r="C5324" s="40"/>
      <c r="D5324" s="41"/>
      <c r="E5324" s="43">
        <f>C5324</f>
        <v>0</v>
      </c>
      <c r="F5324" s="42"/>
    </row>
    <row r="5325" spans="1:6">
      <c r="A5325" s="39">
        <f>A5324</f>
        <v>46048</v>
      </c>
      <c r="B5325" s="40"/>
      <c r="C5325" s="40"/>
      <c r="D5325" s="41"/>
      <c r="E5325" s="43">
        <f>C5325</f>
        <v>0</v>
      </c>
      <c r="F5325" s="42"/>
    </row>
    <row r="5326" spans="1:6">
      <c r="A5326" s="39">
        <f>A5325</f>
        <v>46048</v>
      </c>
      <c r="B5326" s="40"/>
      <c r="C5326" s="40"/>
      <c r="D5326" s="41"/>
      <c r="E5326" s="43">
        <f>C5326</f>
        <v>0</v>
      </c>
      <c r="F5326" s="42"/>
    </row>
    <row r="5327" spans="1:6">
      <c r="A5327" s="39">
        <f>A5326</f>
        <v>46048</v>
      </c>
      <c r="B5327" s="40"/>
      <c r="C5327" s="40"/>
      <c r="D5327" s="41"/>
      <c r="E5327" s="43">
        <f>C5327</f>
        <v>0</v>
      </c>
      <c r="F5327" s="42"/>
    </row>
    <row r="5328" spans="1:6">
      <c r="A5328" s="39">
        <f>A5327</f>
        <v>46048</v>
      </c>
      <c r="B5328" s="40"/>
      <c r="C5328" s="40"/>
      <c r="D5328" s="41"/>
      <c r="E5328" s="43">
        <f>C5328</f>
        <v>0</v>
      </c>
      <c r="F5328" s="42"/>
    </row>
    <row r="5329" spans="1:6">
      <c r="A5329" s="39">
        <f>A5328</f>
        <v>46048</v>
      </c>
      <c r="B5329" s="40"/>
      <c r="C5329" s="40"/>
      <c r="D5329" s="41"/>
      <c r="E5329" s="43">
        <f>C5329</f>
        <v>0</v>
      </c>
      <c r="F5329" s="42"/>
    </row>
    <row r="5330" spans="1:6">
      <c r="A5330" s="39">
        <f>A5329</f>
        <v>46048</v>
      </c>
      <c r="B5330" s="40"/>
      <c r="C5330" s="40"/>
      <c r="D5330" s="41"/>
      <c r="E5330" s="43">
        <f>C5330</f>
        <v>0</v>
      </c>
      <c r="F5330" s="42"/>
    </row>
    <row r="5331" spans="1:6">
      <c r="A5331" s="39">
        <f>A5330</f>
        <v>46048</v>
      </c>
      <c r="B5331" s="40"/>
      <c r="C5331" s="40"/>
      <c r="D5331" s="41"/>
      <c r="E5331" s="43">
        <f>C5331</f>
        <v>0</v>
      </c>
      <c r="F5331" s="42"/>
    </row>
    <row r="5332" spans="1:6">
      <c r="A5332" s="39">
        <f>A5331</f>
        <v>46048</v>
      </c>
      <c r="B5332" s="40"/>
      <c r="C5332" s="40"/>
      <c r="D5332" s="41"/>
      <c r="E5332" s="43">
        <f>C5332</f>
        <v>0</v>
      </c>
      <c r="F5332" s="42"/>
    </row>
    <row r="5333" spans="1:6">
      <c r="A5333" s="39">
        <f>A5332</f>
        <v>46048</v>
      </c>
      <c r="B5333" s="40"/>
      <c r="C5333" s="40"/>
      <c r="D5333" s="41"/>
      <c r="E5333" s="43">
        <f>C5333</f>
        <v>0</v>
      </c>
      <c r="F5333" s="42"/>
    </row>
    <row r="5334" spans="1:6">
      <c r="A5334" s="39">
        <f>A5333</f>
        <v>46048</v>
      </c>
      <c r="B5334" s="40"/>
      <c r="C5334" s="40"/>
      <c r="D5334" s="41"/>
      <c r="E5334" s="43">
        <f>C5334</f>
        <v>0</v>
      </c>
      <c r="F5334" s="42"/>
    </row>
    <row r="5335" spans="1:6">
      <c r="A5335" s="39">
        <f>A5334</f>
        <v>46048</v>
      </c>
      <c r="B5335" s="40"/>
      <c r="C5335" s="40"/>
      <c r="D5335" s="41"/>
      <c r="E5335" s="43">
        <f>C5335</f>
        <v>0</v>
      </c>
      <c r="F5335" s="42"/>
    </row>
    <row r="5336" spans="1:6">
      <c r="A5336" s="39">
        <f>A5335</f>
        <v>46048</v>
      </c>
      <c r="B5336" s="40"/>
      <c r="C5336" s="40"/>
      <c r="D5336" s="41"/>
      <c r="E5336" s="43">
        <f>C5336</f>
        <v>0</v>
      </c>
      <c r="F5336" s="42"/>
    </row>
    <row r="5337" spans="1:6">
      <c r="A5337" s="39">
        <f>A5336</f>
        <v>46048</v>
      </c>
      <c r="B5337" s="40"/>
      <c r="C5337" s="40"/>
      <c r="D5337" s="41"/>
      <c r="E5337" s="43">
        <f>C5337</f>
        <v>0</v>
      </c>
      <c r="F5337" s="42"/>
    </row>
    <row r="5338" spans="1:6">
      <c r="A5338" s="39">
        <f>A5337</f>
        <v>46048</v>
      </c>
      <c r="B5338" s="40"/>
      <c r="C5338" s="40"/>
      <c r="D5338" s="41"/>
      <c r="E5338" s="43">
        <f>C5338</f>
        <v>0</v>
      </c>
      <c r="F5338" s="42"/>
    </row>
    <row r="5339" spans="1:6">
      <c r="A5339" s="39">
        <f>A5338</f>
        <v>46048</v>
      </c>
      <c r="B5339" s="40"/>
      <c r="C5339" s="40"/>
      <c r="D5339" s="41"/>
      <c r="E5339" s="43">
        <f>C5339</f>
        <v>0</v>
      </c>
      <c r="F5339" s="42"/>
    </row>
    <row r="5340" spans="1:6">
      <c r="A5340" s="39">
        <f>A5339</f>
        <v>46048</v>
      </c>
      <c r="B5340" s="40"/>
      <c r="C5340" s="40"/>
      <c r="D5340" s="41"/>
      <c r="E5340" s="43">
        <f>C5340</f>
        <v>0</v>
      </c>
      <c r="F5340" s="42"/>
    </row>
    <row r="5341" spans="1:6">
      <c r="A5341" s="39">
        <f>A5340</f>
        <v>46048</v>
      </c>
      <c r="B5341" s="40"/>
      <c r="C5341" s="40"/>
      <c r="D5341" s="41"/>
      <c r="E5341" s="43">
        <f>C5341</f>
        <v>0</v>
      </c>
      <c r="F5341" s="42"/>
    </row>
    <row r="5342" spans="1:6">
      <c r="A5342" s="39">
        <f>A5341</f>
        <v>46048</v>
      </c>
      <c r="B5342" s="40"/>
      <c r="C5342" s="40"/>
      <c r="D5342" s="41"/>
      <c r="E5342" s="43">
        <f>C5342</f>
        <v>0</v>
      </c>
      <c r="F5342" s="42"/>
    </row>
    <row r="5343" spans="1:6">
      <c r="A5343" s="39">
        <f>A5342</f>
        <v>46048</v>
      </c>
      <c r="B5343" s="40"/>
      <c r="C5343" s="40"/>
      <c r="D5343" s="41"/>
      <c r="E5343" s="43">
        <f>C5343</f>
        <v>0</v>
      </c>
      <c r="F5343" s="42"/>
    </row>
    <row r="5344" spans="1:6">
      <c r="A5344" s="39">
        <f>A5343</f>
        <v>46048</v>
      </c>
      <c r="B5344" s="40"/>
      <c r="C5344" s="40"/>
      <c r="D5344" s="41"/>
      <c r="E5344" s="43">
        <f>C5344</f>
        <v>0</v>
      </c>
      <c r="F5344" s="42"/>
    </row>
    <row r="5345" spans="1:6">
      <c r="A5345" s="39">
        <f>A5344</f>
        <v>46048</v>
      </c>
      <c r="B5345" s="40"/>
      <c r="C5345" s="40"/>
      <c r="D5345" s="41"/>
      <c r="E5345" s="43">
        <f>C5345</f>
        <v>0</v>
      </c>
      <c r="F5345" s="42"/>
    </row>
    <row r="5346" spans="1:6">
      <c r="A5346" s="39">
        <f>A5345</f>
        <v>46048</v>
      </c>
      <c r="B5346" s="40"/>
      <c r="C5346" s="40"/>
      <c r="D5346" s="41"/>
      <c r="E5346" s="43">
        <f>C5346</f>
        <v>0</v>
      </c>
      <c r="F5346" s="42"/>
    </row>
    <row r="5347" spans="1:6">
      <c r="A5347" s="39">
        <f>A5346</f>
        <v>46048</v>
      </c>
      <c r="B5347" s="40"/>
      <c r="C5347" s="40"/>
      <c r="D5347" s="41"/>
      <c r="E5347" s="43">
        <f>C5347</f>
        <v>0</v>
      </c>
      <c r="F5347" s="42"/>
    </row>
    <row r="5348" spans="1:6">
      <c r="A5348" s="39">
        <f>A5347</f>
        <v>46048</v>
      </c>
      <c r="B5348" s="40"/>
      <c r="C5348" s="40"/>
      <c r="D5348" s="41"/>
      <c r="E5348" s="43">
        <f>C5348</f>
        <v>0</v>
      </c>
      <c r="F5348" s="42"/>
    </row>
    <row r="5349" spans="1:6">
      <c r="A5349" s="39">
        <f>A5348</f>
        <v>46048</v>
      </c>
      <c r="B5349" s="40"/>
      <c r="C5349" s="40"/>
      <c r="D5349" s="41"/>
      <c r="E5349" s="43">
        <f>C5349</f>
        <v>0</v>
      </c>
      <c r="F5349" s="42"/>
    </row>
    <row r="5350" spans="1:6">
      <c r="A5350" s="39">
        <f>A5349</f>
        <v>46048</v>
      </c>
      <c r="B5350" s="40"/>
      <c r="C5350" s="40"/>
      <c r="D5350" s="41"/>
      <c r="E5350" s="43">
        <f>C5350</f>
        <v>0</v>
      </c>
      <c r="F5350" s="42"/>
    </row>
    <row r="5351" spans="1:6">
      <c r="A5351" s="39">
        <f>A5350</f>
        <v>46048</v>
      </c>
      <c r="B5351" s="40"/>
      <c r="C5351" s="40"/>
      <c r="D5351" s="41"/>
      <c r="E5351" s="43">
        <f>C5351</f>
        <v>0</v>
      </c>
      <c r="F5351" s="42"/>
    </row>
    <row r="5352" spans="1:6">
      <c r="A5352" s="39">
        <f>A5351</f>
        <v>46048</v>
      </c>
      <c r="B5352" s="40"/>
      <c r="C5352" s="40"/>
      <c r="D5352" s="41"/>
      <c r="E5352" s="43">
        <f>C5352</f>
        <v>0</v>
      </c>
      <c r="F5352" s="42"/>
    </row>
    <row r="5353" spans="1:6">
      <c r="A5353" s="39">
        <f>A5352</f>
        <v>46048</v>
      </c>
      <c r="B5353" s="40"/>
      <c r="C5353" s="40"/>
      <c r="D5353" s="41"/>
      <c r="E5353" s="43">
        <f>C5353</f>
        <v>0</v>
      </c>
      <c r="F5353" s="42"/>
    </row>
    <row r="5354" spans="1:6">
      <c r="A5354" s="39">
        <f>A5353</f>
        <v>46048</v>
      </c>
      <c r="B5354" s="40"/>
      <c r="C5354" s="40"/>
      <c r="D5354" s="41"/>
      <c r="E5354" s="43">
        <f>C5354</f>
        <v>0</v>
      </c>
      <c r="F5354" s="42"/>
    </row>
    <row r="5355" spans="1:6">
      <c r="A5355" s="39">
        <f>A5354</f>
        <v>46048</v>
      </c>
      <c r="B5355" s="40"/>
      <c r="C5355" s="40"/>
      <c r="D5355" s="41"/>
      <c r="E5355" s="43">
        <f>C5355</f>
        <v>0</v>
      </c>
      <c r="F5355" s="42"/>
    </row>
    <row r="5356" spans="1:6">
      <c r="A5356" s="39">
        <f>A5355</f>
        <v>46048</v>
      </c>
      <c r="B5356" s="40"/>
      <c r="C5356" s="40"/>
      <c r="D5356" s="41"/>
      <c r="E5356" s="43">
        <f>C5356</f>
        <v>0</v>
      </c>
      <c r="F5356" s="42"/>
    </row>
    <row r="5357" spans="1:6">
      <c r="A5357" s="39">
        <f>A5356</f>
        <v>46048</v>
      </c>
      <c r="B5357" s="40"/>
      <c r="C5357" s="40"/>
      <c r="D5357" s="41"/>
      <c r="E5357" s="43">
        <f>C5357</f>
        <v>0</v>
      </c>
      <c r="F5357" s="42"/>
    </row>
    <row r="5358" spans="1:6">
      <c r="A5358" s="39">
        <f>A5357</f>
        <v>46048</v>
      </c>
      <c r="B5358" s="40"/>
      <c r="C5358" s="40"/>
      <c r="D5358" s="41"/>
      <c r="E5358" s="43">
        <f>C5358</f>
        <v>0</v>
      </c>
      <c r="F5358" s="42"/>
    </row>
    <row r="5359" spans="1:6">
      <c r="A5359" s="39">
        <f>A5358</f>
        <v>46048</v>
      </c>
      <c r="B5359" s="40"/>
      <c r="C5359" s="40"/>
      <c r="D5359" s="41"/>
      <c r="E5359" s="43">
        <f>C5359</f>
        <v>0</v>
      </c>
      <c r="F5359" s="42"/>
    </row>
    <row r="5360" spans="1:6">
      <c r="A5360" s="39">
        <f>A5359</f>
        <v>46048</v>
      </c>
      <c r="B5360" s="40"/>
      <c r="C5360" s="40"/>
      <c r="D5360" s="41"/>
      <c r="E5360" s="43">
        <f>C5360</f>
        <v>0</v>
      </c>
      <c r="F5360" s="42"/>
    </row>
    <row r="5361" spans="1:6">
      <c r="A5361" s="39">
        <f>A5360</f>
        <v>46048</v>
      </c>
      <c r="B5361" s="40"/>
      <c r="C5361" s="40"/>
      <c r="D5361" s="41"/>
      <c r="E5361" s="43">
        <f>C5361</f>
        <v>0</v>
      </c>
      <c r="F5361" s="42"/>
    </row>
    <row r="5362" spans="1:6">
      <c r="A5362" s="39">
        <f>A5361</f>
        <v>46048</v>
      </c>
      <c r="B5362" s="40"/>
      <c r="C5362" s="40"/>
      <c r="D5362" s="41"/>
      <c r="E5362" s="43">
        <f>C5362</f>
        <v>0</v>
      </c>
      <c r="F5362" s="42"/>
    </row>
    <row r="5363" spans="1:6">
      <c r="A5363" s="39">
        <f>A5362</f>
        <v>46048</v>
      </c>
      <c r="B5363" s="40"/>
      <c r="C5363" s="40"/>
      <c r="D5363" s="41"/>
      <c r="E5363" s="43">
        <f>C5363</f>
        <v>0</v>
      </c>
      <c r="F5363" s="42"/>
    </row>
    <row r="5364" spans="1:6">
      <c r="A5364" s="39">
        <f>A5363</f>
        <v>46048</v>
      </c>
      <c r="B5364" s="40"/>
      <c r="C5364" s="40"/>
      <c r="D5364" s="41"/>
      <c r="E5364" s="43">
        <f>C5364</f>
        <v>0</v>
      </c>
      <c r="F5364" s="42"/>
    </row>
    <row r="5365" spans="1:6">
      <c r="A5365" s="39">
        <f>A5364</f>
        <v>46048</v>
      </c>
      <c r="B5365" s="40"/>
      <c r="C5365" s="40"/>
      <c r="D5365" s="41"/>
      <c r="E5365" s="43">
        <f>C5365</f>
        <v>0</v>
      </c>
      <c r="F5365" s="42"/>
    </row>
    <row r="5366" spans="1:6">
      <c r="A5366" s="39">
        <f>A5365</f>
        <v>46048</v>
      </c>
      <c r="B5366" s="40"/>
      <c r="C5366" s="40"/>
      <c r="D5366" s="41"/>
      <c r="E5366" s="43">
        <f>C5366</f>
        <v>0</v>
      </c>
      <c r="F5366" s="42"/>
    </row>
    <row r="5367" spans="1:6">
      <c r="A5367" s="39">
        <f>A5366</f>
        <v>46048</v>
      </c>
      <c r="B5367" s="40"/>
      <c r="C5367" s="40"/>
      <c r="D5367" s="41"/>
      <c r="E5367" s="43">
        <f>C5367</f>
        <v>0</v>
      </c>
      <c r="F5367" s="42"/>
    </row>
    <row r="5368" spans="1:6">
      <c r="A5368" s="39">
        <f>A5367</f>
        <v>46048</v>
      </c>
      <c r="B5368" s="40"/>
      <c r="C5368" s="40"/>
      <c r="D5368" s="41"/>
      <c r="E5368" s="43">
        <f>C5368</f>
        <v>0</v>
      </c>
      <c r="F5368" s="42"/>
    </row>
    <row r="5369" spans="1:6">
      <c r="A5369" s="39">
        <f>A5368</f>
        <v>46048</v>
      </c>
      <c r="B5369" s="40"/>
      <c r="C5369" s="40"/>
      <c r="D5369" s="41"/>
      <c r="E5369" s="43">
        <f>C5369</f>
        <v>0</v>
      </c>
      <c r="F5369" s="42"/>
    </row>
    <row r="5370" spans="1:6">
      <c r="A5370" s="39">
        <f>A5369</f>
        <v>46048</v>
      </c>
      <c r="B5370" s="40"/>
      <c r="C5370" s="40"/>
      <c r="D5370" s="41"/>
      <c r="E5370" s="43">
        <f>C5370</f>
        <v>0</v>
      </c>
      <c r="F5370" s="42"/>
    </row>
    <row r="5371" spans="1:6">
      <c r="A5371" s="39">
        <f>A5370</f>
        <v>46048</v>
      </c>
      <c r="B5371" s="40"/>
      <c r="C5371" s="40"/>
      <c r="D5371" s="41"/>
      <c r="E5371" s="43">
        <f>C5371</f>
        <v>0</v>
      </c>
      <c r="F5371" s="42"/>
    </row>
    <row r="5372" spans="1:6">
      <c r="A5372" s="39">
        <f>A5371</f>
        <v>46048</v>
      </c>
      <c r="B5372" s="40"/>
      <c r="C5372" s="40"/>
      <c r="D5372" s="41"/>
      <c r="E5372" s="43">
        <f>C5372</f>
        <v>0</v>
      </c>
      <c r="F5372" s="42"/>
    </row>
    <row r="5373" spans="1:6">
      <c r="A5373" s="39">
        <f>A5372</f>
        <v>46048</v>
      </c>
      <c r="B5373" s="40"/>
      <c r="C5373" s="40"/>
      <c r="D5373" s="41"/>
      <c r="E5373" s="43">
        <f>C5373</f>
        <v>0</v>
      </c>
      <c r="F5373" s="42"/>
    </row>
    <row r="5374" spans="1:6">
      <c r="A5374" s="39">
        <f>A5373</f>
        <v>46048</v>
      </c>
      <c r="B5374" s="40"/>
      <c r="C5374" s="40"/>
      <c r="D5374" s="41"/>
      <c r="E5374" s="43">
        <f>C5374</f>
        <v>0</v>
      </c>
      <c r="F5374" s="42"/>
    </row>
    <row r="5375" spans="1:6">
      <c r="A5375" s="39">
        <f>A5374</f>
        <v>46048</v>
      </c>
      <c r="B5375" s="40"/>
      <c r="C5375" s="40"/>
      <c r="D5375" s="41"/>
      <c r="E5375" s="43">
        <f>C5375</f>
        <v>0</v>
      </c>
      <c r="F5375" s="42"/>
    </row>
    <row r="5376" spans="1:6">
      <c r="A5376" s="39">
        <f>A5375</f>
        <v>46048</v>
      </c>
      <c r="B5376" s="40"/>
      <c r="C5376" s="40"/>
      <c r="D5376" s="41"/>
      <c r="E5376" s="43">
        <f>C5376</f>
        <v>0</v>
      </c>
      <c r="F5376" s="42"/>
    </row>
    <row r="5377" spans="1:6">
      <c r="A5377" s="39">
        <f>A5376</f>
        <v>46048</v>
      </c>
      <c r="B5377" s="40"/>
      <c r="C5377" s="40"/>
      <c r="D5377" s="41"/>
      <c r="E5377" s="43">
        <f>C5377</f>
        <v>0</v>
      </c>
      <c r="F5377" s="42"/>
    </row>
    <row r="5378" spans="1:6">
      <c r="A5378" s="39">
        <f>A5377</f>
        <v>46048</v>
      </c>
      <c r="B5378" s="40"/>
      <c r="C5378" s="40"/>
      <c r="D5378" s="41"/>
      <c r="E5378" s="43">
        <f>C5378</f>
        <v>0</v>
      </c>
      <c r="F5378" s="42"/>
    </row>
    <row r="5379" spans="1:6">
      <c r="A5379" s="39">
        <f>A5378</f>
        <v>46048</v>
      </c>
      <c r="B5379" s="40"/>
      <c r="C5379" s="40"/>
      <c r="D5379" s="41"/>
      <c r="E5379" s="43">
        <f>C5379</f>
        <v>0</v>
      </c>
      <c r="F5379" s="42"/>
    </row>
    <row r="5380" spans="1:6">
      <c r="A5380" s="39">
        <f>A5379</f>
        <v>46048</v>
      </c>
      <c r="B5380" s="40"/>
      <c r="C5380" s="40"/>
      <c r="D5380" s="41"/>
      <c r="E5380" s="43">
        <f>C5380</f>
        <v>0</v>
      </c>
      <c r="F5380" s="42"/>
    </row>
    <row r="5381" spans="1:6">
      <c r="A5381" s="39">
        <f>A5380</f>
        <v>46048</v>
      </c>
      <c r="B5381" s="40"/>
      <c r="C5381" s="40"/>
      <c r="D5381" s="41"/>
      <c r="E5381" s="43">
        <f>C5381</f>
        <v>0</v>
      </c>
      <c r="F5381" s="42"/>
    </row>
    <row r="5382" spans="1:6">
      <c r="A5382" s="39">
        <f>A5381</f>
        <v>46048</v>
      </c>
      <c r="B5382" s="40"/>
      <c r="C5382" s="40"/>
      <c r="D5382" s="41"/>
      <c r="E5382" s="43">
        <f>C5382</f>
        <v>0</v>
      </c>
      <c r="F5382" s="42"/>
    </row>
    <row r="5383" spans="1:6">
      <c r="A5383" s="39">
        <f>A5382</f>
        <v>46048</v>
      </c>
      <c r="B5383" s="40"/>
      <c r="C5383" s="40"/>
      <c r="D5383" s="41"/>
      <c r="E5383" s="43">
        <f>C5383</f>
        <v>0</v>
      </c>
      <c r="F5383" s="42"/>
    </row>
    <row r="5384" spans="1:6">
      <c r="A5384" s="39">
        <f>A5383</f>
        <v>46048</v>
      </c>
      <c r="B5384" s="40"/>
      <c r="C5384" s="40"/>
      <c r="D5384" s="41"/>
      <c r="E5384" s="43">
        <f>C5384</f>
        <v>0</v>
      </c>
      <c r="F5384" s="42"/>
    </row>
    <row r="5385" spans="1:6">
      <c r="A5385" s="39">
        <f>A5384</f>
        <v>46048</v>
      </c>
      <c r="B5385" s="40"/>
      <c r="C5385" s="40"/>
      <c r="D5385" s="41"/>
      <c r="E5385" s="43">
        <f>C5385</f>
        <v>0</v>
      </c>
      <c r="F5385" s="42"/>
    </row>
    <row r="5386" spans="1:6">
      <c r="A5386" s="39">
        <f>A5385</f>
        <v>46048</v>
      </c>
      <c r="B5386" s="40"/>
      <c r="C5386" s="40"/>
      <c r="D5386" s="41"/>
      <c r="E5386" s="43">
        <f>C5386</f>
        <v>0</v>
      </c>
      <c r="F5386" s="42"/>
    </row>
    <row r="5387" spans="1:6">
      <c r="A5387" s="39">
        <f>A5386</f>
        <v>46048</v>
      </c>
      <c r="B5387" s="40"/>
      <c r="C5387" s="40"/>
      <c r="D5387" s="41"/>
      <c r="E5387" s="43">
        <f>C5387</f>
        <v>0</v>
      </c>
      <c r="F5387" s="42"/>
    </row>
    <row r="5388" spans="1:6">
      <c r="A5388" s="39">
        <f>A5387</f>
        <v>46048</v>
      </c>
      <c r="B5388" s="40"/>
      <c r="C5388" s="40"/>
      <c r="D5388" s="41"/>
      <c r="E5388" s="43">
        <f>C5388</f>
        <v>0</v>
      </c>
      <c r="F5388" s="42"/>
    </row>
    <row r="5389" spans="1:6">
      <c r="A5389" s="39">
        <f>A5388</f>
        <v>46048</v>
      </c>
      <c r="B5389" s="40"/>
      <c r="C5389" s="40"/>
      <c r="D5389" s="41"/>
      <c r="E5389" s="43">
        <f>C5389</f>
        <v>0</v>
      </c>
      <c r="F5389" s="42"/>
    </row>
    <row r="5390" spans="1:6">
      <c r="A5390" s="39">
        <f>A5389</f>
        <v>46048</v>
      </c>
      <c r="B5390" s="40"/>
      <c r="C5390" s="40"/>
      <c r="D5390" s="41"/>
      <c r="E5390" s="43">
        <f>C5390</f>
        <v>0</v>
      </c>
      <c r="F5390" s="42"/>
    </row>
    <row r="5391" spans="1:6">
      <c r="A5391" s="39">
        <f>A5390</f>
        <v>46048</v>
      </c>
      <c r="B5391" s="40"/>
      <c r="C5391" s="40"/>
      <c r="D5391" s="41"/>
      <c r="E5391" s="43">
        <f>C5391</f>
        <v>0</v>
      </c>
      <c r="F5391" s="42"/>
    </row>
    <row r="5392" spans="1:6">
      <c r="A5392" s="39">
        <f>A5391</f>
        <v>46048</v>
      </c>
      <c r="B5392" s="40"/>
      <c r="C5392" s="40"/>
      <c r="D5392" s="41"/>
      <c r="E5392" s="43">
        <f>C5392</f>
        <v>0</v>
      </c>
      <c r="F5392" s="42"/>
    </row>
    <row r="5393" spans="1:6">
      <c r="A5393" s="39">
        <f>A5392</f>
        <v>46048</v>
      </c>
      <c r="B5393" s="40"/>
      <c r="C5393" s="40"/>
      <c r="D5393" s="41"/>
      <c r="E5393" s="43">
        <f>C5393</f>
        <v>0</v>
      </c>
      <c r="F5393" s="42"/>
    </row>
    <row r="5394" spans="1:6">
      <c r="A5394" s="39">
        <f>A5393</f>
        <v>46048</v>
      </c>
      <c r="B5394" s="40"/>
      <c r="C5394" s="40"/>
      <c r="D5394" s="41"/>
      <c r="E5394" s="43">
        <f>C5394</f>
        <v>0</v>
      </c>
      <c r="F5394" s="42"/>
    </row>
    <row r="5395" spans="1:6">
      <c r="A5395" s="39">
        <f>A5394</f>
        <v>46048</v>
      </c>
      <c r="B5395" s="40"/>
      <c r="C5395" s="40"/>
      <c r="D5395" s="41"/>
      <c r="E5395" s="43">
        <f>C5395</f>
        <v>0</v>
      </c>
      <c r="F5395" s="42"/>
    </row>
    <row r="5396" spans="1:6">
      <c r="A5396" s="39">
        <f>A5395</f>
        <v>46048</v>
      </c>
      <c r="B5396" s="40"/>
      <c r="C5396" s="40"/>
      <c r="D5396" s="41"/>
      <c r="E5396" s="43">
        <f>C5396</f>
        <v>0</v>
      </c>
      <c r="F5396" s="42"/>
    </row>
    <row r="5397" spans="1:6">
      <c r="A5397" s="39">
        <f>A5396</f>
        <v>46048</v>
      </c>
      <c r="B5397" s="40"/>
      <c r="C5397" s="40"/>
      <c r="D5397" s="41"/>
      <c r="E5397" s="43">
        <f>C5397</f>
        <v>0</v>
      </c>
      <c r="F5397" s="42"/>
    </row>
    <row r="5398" spans="1:6">
      <c r="A5398" s="39">
        <f>A5397</f>
        <v>46048</v>
      </c>
      <c r="B5398" s="40"/>
      <c r="C5398" s="40"/>
      <c r="D5398" s="41"/>
      <c r="E5398" s="43">
        <f>C5398</f>
        <v>0</v>
      </c>
      <c r="F5398" s="42"/>
    </row>
    <row r="5399" spans="1:6">
      <c r="A5399" s="39">
        <f>A5398</f>
        <v>46048</v>
      </c>
      <c r="B5399" s="40"/>
      <c r="C5399" s="40"/>
      <c r="D5399" s="41"/>
      <c r="E5399" s="43">
        <f>C5399</f>
        <v>0</v>
      </c>
      <c r="F5399" s="42"/>
    </row>
    <row r="5400" spans="1:6">
      <c r="A5400" s="39">
        <f>A5399</f>
        <v>46048</v>
      </c>
      <c r="B5400" s="40"/>
      <c r="C5400" s="40"/>
      <c r="D5400" s="41"/>
      <c r="E5400" s="43">
        <f>C5400</f>
        <v>0</v>
      </c>
      <c r="F5400" s="42"/>
    </row>
    <row r="5401" spans="1:6">
      <c r="A5401" s="39">
        <f>A5400</f>
        <v>46048</v>
      </c>
      <c r="B5401" s="40"/>
      <c r="C5401" s="40"/>
      <c r="D5401" s="41"/>
      <c r="E5401" s="43">
        <f>C5401</f>
        <v>0</v>
      </c>
      <c r="F5401" s="42"/>
    </row>
    <row r="5402" spans="1:6">
      <c r="A5402" s="39">
        <f>A5401</f>
        <v>46048</v>
      </c>
      <c r="B5402" s="40"/>
      <c r="C5402" s="40"/>
      <c r="D5402" s="41"/>
      <c r="E5402" s="43">
        <f>C5402</f>
        <v>0</v>
      </c>
      <c r="F5402" s="42"/>
    </row>
    <row r="5403" spans="1:6">
      <c r="A5403" s="39">
        <f>A5402</f>
        <v>46048</v>
      </c>
      <c r="B5403" s="40"/>
      <c r="C5403" s="40"/>
      <c r="D5403" s="41"/>
      <c r="E5403" s="43">
        <f>C5403</f>
        <v>0</v>
      </c>
      <c r="F5403" s="42"/>
    </row>
    <row r="5404" spans="1:6">
      <c r="A5404" s="39">
        <f>A5403</f>
        <v>46048</v>
      </c>
      <c r="B5404" s="40"/>
      <c r="C5404" s="40"/>
      <c r="D5404" s="41"/>
      <c r="E5404" s="43">
        <f>C5404</f>
        <v>0</v>
      </c>
      <c r="F5404" s="42"/>
    </row>
    <row r="5405" spans="1:6">
      <c r="A5405" s="39">
        <f>A5404</f>
        <v>46048</v>
      </c>
      <c r="B5405" s="40"/>
      <c r="C5405" s="40"/>
      <c r="D5405" s="41"/>
      <c r="E5405" s="43">
        <f>C5405</f>
        <v>0</v>
      </c>
      <c r="F5405" s="42"/>
    </row>
    <row r="5406" spans="1:6">
      <c r="A5406" s="39">
        <f>A5405</f>
        <v>46048</v>
      </c>
      <c r="B5406" s="40"/>
      <c r="C5406" s="40"/>
      <c r="D5406" s="41"/>
      <c r="E5406" s="43">
        <f>C5406</f>
        <v>0</v>
      </c>
      <c r="F5406" s="42"/>
    </row>
    <row r="5407" spans="1:6">
      <c r="A5407" s="39">
        <f>A5406</f>
        <v>46048</v>
      </c>
      <c r="B5407" s="40"/>
      <c r="C5407" s="40"/>
      <c r="D5407" s="41"/>
      <c r="E5407" s="43">
        <f>C5407</f>
        <v>0</v>
      </c>
      <c r="F5407" s="42"/>
    </row>
    <row r="5408" spans="1:6">
      <c r="A5408" s="39">
        <f>A5407</f>
        <v>46048</v>
      </c>
      <c r="B5408" s="40"/>
      <c r="C5408" s="40"/>
      <c r="D5408" s="41"/>
      <c r="E5408" s="43">
        <f>C5408</f>
        <v>0</v>
      </c>
      <c r="F5408" s="42"/>
    </row>
    <row r="5409" spans="1:6">
      <c r="A5409" s="39">
        <f>A5408</f>
        <v>46048</v>
      </c>
      <c r="B5409" s="40"/>
      <c r="C5409" s="40"/>
      <c r="D5409" s="41"/>
      <c r="E5409" s="43">
        <f>C5409</f>
        <v>0</v>
      </c>
      <c r="F5409" s="42"/>
    </row>
    <row r="5410" spans="1:6">
      <c r="A5410" s="39">
        <f>A5409</f>
        <v>46048</v>
      </c>
      <c r="B5410" s="40"/>
      <c r="C5410" s="40"/>
      <c r="D5410" s="41"/>
      <c r="E5410" s="43">
        <f>C5410</f>
        <v>0</v>
      </c>
      <c r="F5410" s="42"/>
    </row>
    <row r="5411" spans="1:6">
      <c r="A5411" s="39">
        <f>A5410</f>
        <v>46048</v>
      </c>
      <c r="B5411" s="40"/>
      <c r="C5411" s="40"/>
      <c r="D5411" s="41"/>
      <c r="E5411" s="43">
        <f>C5411</f>
        <v>0</v>
      </c>
      <c r="F5411" s="42"/>
    </row>
    <row r="5412" spans="1:6">
      <c r="A5412" s="39">
        <f>A5411</f>
        <v>46048</v>
      </c>
      <c r="B5412" s="40"/>
      <c r="C5412" s="40"/>
      <c r="D5412" s="41"/>
      <c r="E5412" s="43">
        <f>C5412</f>
        <v>0</v>
      </c>
      <c r="F5412" s="42"/>
    </row>
    <row r="5413" spans="1:6">
      <c r="A5413" s="39">
        <f>A5412</f>
        <v>46048</v>
      </c>
      <c r="B5413" s="40"/>
      <c r="C5413" s="40"/>
      <c r="D5413" s="41"/>
      <c r="E5413" s="43">
        <f>C5413</f>
        <v>0</v>
      </c>
      <c r="F5413" s="42"/>
    </row>
    <row r="5414" spans="1:6">
      <c r="A5414" s="39">
        <f>A5413</f>
        <v>46048</v>
      </c>
      <c r="B5414" s="40"/>
      <c r="C5414" s="40"/>
      <c r="D5414" s="41"/>
      <c r="E5414" s="43">
        <f>C5414</f>
        <v>0</v>
      </c>
      <c r="F5414" s="42"/>
    </row>
    <row r="5415" spans="1:6">
      <c r="A5415" s="39">
        <f>A5414</f>
        <v>46048</v>
      </c>
      <c r="B5415" s="40"/>
      <c r="C5415" s="40"/>
      <c r="D5415" s="41"/>
      <c r="E5415" s="43">
        <f>C5415</f>
        <v>0</v>
      </c>
      <c r="F5415" s="42"/>
    </row>
    <row r="5416" spans="1:6">
      <c r="A5416" s="39">
        <f>A5415</f>
        <v>46048</v>
      </c>
      <c r="B5416" s="40"/>
      <c r="C5416" s="40"/>
      <c r="D5416" s="41"/>
      <c r="E5416" s="43">
        <f>C5416</f>
        <v>0</v>
      </c>
      <c r="F5416" s="42"/>
    </row>
    <row r="5417" spans="1:6">
      <c r="A5417" s="39">
        <f>A5416</f>
        <v>46048</v>
      </c>
      <c r="B5417" s="40"/>
      <c r="C5417" s="40"/>
      <c r="D5417" s="41"/>
      <c r="E5417" s="43">
        <f>C5417</f>
        <v>0</v>
      </c>
      <c r="F5417" s="42"/>
    </row>
    <row r="5418" spans="1:6">
      <c r="A5418" s="39">
        <f>A5417</f>
        <v>46048</v>
      </c>
      <c r="B5418" s="40"/>
      <c r="C5418" s="40"/>
      <c r="D5418" s="41"/>
      <c r="E5418" s="43">
        <f>C5418</f>
        <v>0</v>
      </c>
      <c r="F5418" s="42"/>
    </row>
    <row r="5419" spans="1:6">
      <c r="A5419" s="39">
        <f>A5418</f>
        <v>46048</v>
      </c>
      <c r="B5419" s="40"/>
      <c r="C5419" s="40"/>
      <c r="D5419" s="41"/>
      <c r="E5419" s="43">
        <f>C5419</f>
        <v>0</v>
      </c>
      <c r="F5419" s="42"/>
    </row>
    <row r="5420" spans="1:6">
      <c r="A5420" s="39">
        <f>A5419</f>
        <v>46048</v>
      </c>
      <c r="B5420" s="40"/>
      <c r="C5420" s="40"/>
      <c r="D5420" s="41"/>
      <c r="E5420" s="43">
        <f>C5420</f>
        <v>0</v>
      </c>
      <c r="F5420" s="42"/>
    </row>
    <row r="5421" spans="1:6">
      <c r="A5421" s="39">
        <f>A5420</f>
        <v>46048</v>
      </c>
      <c r="B5421" s="40"/>
      <c r="C5421" s="40"/>
      <c r="D5421" s="41"/>
      <c r="E5421" s="43">
        <f>C5421</f>
        <v>0</v>
      </c>
      <c r="F5421" s="42"/>
    </row>
    <row r="5422" spans="1:6">
      <c r="A5422" s="39">
        <f>A5421</f>
        <v>46048</v>
      </c>
      <c r="B5422" s="40"/>
      <c r="C5422" s="40"/>
      <c r="D5422" s="41"/>
      <c r="E5422" s="43">
        <f>C5422</f>
        <v>0</v>
      </c>
      <c r="F5422" s="42"/>
    </row>
    <row r="5423" spans="1:6">
      <c r="A5423" s="39">
        <f>A5422</f>
        <v>46048</v>
      </c>
      <c r="B5423" s="40"/>
      <c r="C5423" s="40"/>
      <c r="D5423" s="41"/>
      <c r="E5423" s="43">
        <f>C5423</f>
        <v>0</v>
      </c>
      <c r="F5423" s="42"/>
    </row>
    <row r="5424" spans="1:6">
      <c r="A5424" s="39">
        <f>A5423</f>
        <v>46048</v>
      </c>
      <c r="B5424" s="40"/>
      <c r="C5424" s="40"/>
      <c r="D5424" s="41"/>
      <c r="E5424" s="43">
        <f>C5424</f>
        <v>0</v>
      </c>
      <c r="F5424" s="42"/>
    </row>
    <row r="5425" spans="1:6">
      <c r="A5425" s="39">
        <f>A5424</f>
        <v>46048</v>
      </c>
      <c r="B5425" s="40"/>
      <c r="C5425" s="40"/>
      <c r="D5425" s="41"/>
      <c r="E5425" s="43">
        <f>C5425</f>
        <v>0</v>
      </c>
      <c r="F5425" s="42"/>
    </row>
    <row r="5426" spans="1:6">
      <c r="A5426" s="39">
        <f>A5425</f>
        <v>46048</v>
      </c>
      <c r="B5426" s="40"/>
      <c r="C5426" s="40"/>
      <c r="D5426" s="41"/>
      <c r="E5426" s="43">
        <f>C5426</f>
        <v>0</v>
      </c>
      <c r="F5426" s="42"/>
    </row>
    <row r="5427" spans="1:6">
      <c r="A5427" s="39">
        <f>A5426</f>
        <v>46048</v>
      </c>
      <c r="B5427" s="40"/>
      <c r="C5427" s="40"/>
      <c r="D5427" s="41"/>
      <c r="E5427" s="43">
        <f>C5427</f>
        <v>0</v>
      </c>
      <c r="F5427" s="42"/>
    </row>
    <row r="5428" spans="1:6">
      <c r="A5428" s="39">
        <f>A5427</f>
        <v>46048</v>
      </c>
      <c r="B5428" s="40"/>
      <c r="C5428" s="40"/>
      <c r="D5428" s="41"/>
      <c r="E5428" s="43">
        <f>C5428</f>
        <v>0</v>
      </c>
      <c r="F5428" s="42"/>
    </row>
    <row r="5429" spans="1:6">
      <c r="A5429" s="39">
        <f>A5428</f>
        <v>46048</v>
      </c>
      <c r="B5429" s="40"/>
      <c r="C5429" s="40"/>
      <c r="D5429" s="41"/>
      <c r="E5429" s="43">
        <f>C5429</f>
        <v>0</v>
      </c>
      <c r="F5429" s="42"/>
    </row>
    <row r="5430" spans="1:6">
      <c r="A5430" s="39">
        <f>A5429</f>
        <v>46048</v>
      </c>
      <c r="B5430" s="40"/>
      <c r="C5430" s="40"/>
      <c r="D5430" s="41"/>
      <c r="E5430" s="43">
        <f>C5430</f>
        <v>0</v>
      </c>
      <c r="F5430" s="42"/>
    </row>
    <row r="5431" spans="1:6">
      <c r="A5431" s="39">
        <f>A5430</f>
        <v>46048</v>
      </c>
      <c r="B5431" s="40"/>
      <c r="C5431" s="40"/>
      <c r="D5431" s="41"/>
      <c r="E5431" s="43">
        <f>C5431</f>
        <v>0</v>
      </c>
      <c r="F5431" s="42"/>
    </row>
    <row r="5432" spans="1:6">
      <c r="A5432" s="39">
        <f>A5431</f>
        <v>46048</v>
      </c>
      <c r="B5432" s="40"/>
      <c r="C5432" s="40"/>
      <c r="D5432" s="41"/>
      <c r="E5432" s="43">
        <f>C5432</f>
        <v>0</v>
      </c>
      <c r="F5432" s="42"/>
    </row>
    <row r="5433" spans="1:6">
      <c r="A5433" s="39">
        <f>A5432</f>
        <v>46048</v>
      </c>
      <c r="B5433" s="40"/>
      <c r="C5433" s="40"/>
      <c r="D5433" s="41"/>
      <c r="E5433" s="43">
        <f>C5433</f>
        <v>0</v>
      </c>
      <c r="F5433" s="42"/>
    </row>
    <row r="5434" spans="1:6">
      <c r="A5434" s="39">
        <f>A5433</f>
        <v>46048</v>
      </c>
      <c r="B5434" s="40"/>
      <c r="C5434" s="40"/>
      <c r="D5434" s="41"/>
      <c r="E5434" s="43">
        <f>C5434</f>
        <v>0</v>
      </c>
      <c r="F5434" s="42"/>
    </row>
    <row r="5435" spans="1:6">
      <c r="A5435" s="39">
        <f>A5434</f>
        <v>46048</v>
      </c>
      <c r="B5435" s="40"/>
      <c r="C5435" s="40"/>
      <c r="D5435" s="41"/>
      <c r="E5435" s="43">
        <f>C5435</f>
        <v>0</v>
      </c>
      <c r="F5435" s="42"/>
    </row>
    <row r="5436" spans="1:6">
      <c r="A5436" s="39">
        <f>A5435</f>
        <v>46048</v>
      </c>
      <c r="B5436" s="40"/>
      <c r="C5436" s="40"/>
      <c r="D5436" s="41"/>
      <c r="E5436" s="43">
        <f>C5436</f>
        <v>0</v>
      </c>
      <c r="F5436" s="42"/>
    </row>
    <row r="5437" spans="1:6">
      <c r="A5437" s="39">
        <f>A5436</f>
        <v>46048</v>
      </c>
      <c r="B5437" s="40"/>
      <c r="C5437" s="40"/>
      <c r="D5437" s="41"/>
      <c r="E5437" s="43">
        <f>C5437</f>
        <v>0</v>
      </c>
      <c r="F5437" s="42"/>
    </row>
    <row r="5438" spans="1:6">
      <c r="A5438" s="39">
        <f>A5437</f>
        <v>46048</v>
      </c>
      <c r="B5438" s="40"/>
      <c r="C5438" s="40"/>
      <c r="D5438" s="41"/>
      <c r="E5438" s="43">
        <f>C5438</f>
        <v>0</v>
      </c>
      <c r="F5438" s="42"/>
    </row>
    <row r="5439" spans="1:6">
      <c r="A5439" s="39">
        <f>A5438</f>
        <v>46048</v>
      </c>
      <c r="B5439" s="40"/>
      <c r="C5439" s="40"/>
      <c r="D5439" s="41"/>
      <c r="E5439" s="43">
        <f>C5439</f>
        <v>0</v>
      </c>
      <c r="F5439" s="42"/>
    </row>
    <row r="5440" spans="1:6">
      <c r="A5440" s="39">
        <f>A5439</f>
        <v>46048</v>
      </c>
      <c r="B5440" s="40"/>
      <c r="C5440" s="40"/>
      <c r="D5440" s="41"/>
      <c r="E5440" s="43">
        <f>C5440</f>
        <v>0</v>
      </c>
      <c r="F5440" s="42"/>
    </row>
    <row r="5441" spans="1:6">
      <c r="A5441" s="39">
        <f>A5440</f>
        <v>46048</v>
      </c>
      <c r="B5441" s="40"/>
      <c r="C5441" s="40"/>
      <c r="D5441" s="41"/>
      <c r="E5441" s="43">
        <f>C5441</f>
        <v>0</v>
      </c>
      <c r="F5441" s="42"/>
    </row>
    <row r="5442" spans="1:6">
      <c r="A5442" s="39">
        <f>A5441</f>
        <v>46048</v>
      </c>
      <c r="B5442" s="40"/>
      <c r="C5442" s="40"/>
      <c r="D5442" s="41"/>
      <c r="E5442" s="43">
        <f>C5442</f>
        <v>0</v>
      </c>
      <c r="F5442" s="42"/>
    </row>
    <row r="5443" spans="1:6">
      <c r="A5443" s="39">
        <f>A5442</f>
        <v>46048</v>
      </c>
      <c r="B5443" s="40"/>
      <c r="C5443" s="40"/>
      <c r="D5443" s="41"/>
      <c r="E5443" s="43">
        <f>C5443</f>
        <v>0</v>
      </c>
      <c r="F5443" s="42"/>
    </row>
    <row r="5444" spans="1:6">
      <c r="A5444" s="39">
        <f>A5443</f>
        <v>46048</v>
      </c>
      <c r="B5444" s="40"/>
      <c r="C5444" s="40"/>
      <c r="D5444" s="41"/>
      <c r="E5444" s="43">
        <f>C5444</f>
        <v>0</v>
      </c>
      <c r="F5444" s="42"/>
    </row>
    <row r="5445" spans="1:6">
      <c r="A5445" s="39">
        <f>A5444</f>
        <v>46048</v>
      </c>
      <c r="B5445" s="40"/>
      <c r="C5445" s="40"/>
      <c r="D5445" s="41"/>
      <c r="E5445" s="43">
        <f>C5445</f>
        <v>0</v>
      </c>
      <c r="F5445" s="42"/>
    </row>
    <row r="5446" spans="1:6">
      <c r="A5446" s="39">
        <f>A5445</f>
        <v>46048</v>
      </c>
      <c r="B5446" s="40"/>
      <c r="C5446" s="40"/>
      <c r="D5446" s="41"/>
      <c r="E5446" s="43">
        <f>C5446</f>
        <v>0</v>
      </c>
      <c r="F5446" s="42"/>
    </row>
    <row r="5447" spans="1:6">
      <c r="A5447" s="39">
        <f>A5446</f>
        <v>46048</v>
      </c>
      <c r="B5447" s="40"/>
      <c r="C5447" s="40"/>
      <c r="D5447" s="41"/>
      <c r="E5447" s="43">
        <f>C5447</f>
        <v>0</v>
      </c>
      <c r="F5447" s="42"/>
    </row>
    <row r="5448" spans="1:6">
      <c r="A5448" s="39">
        <f>A5447</f>
        <v>46048</v>
      </c>
      <c r="B5448" s="40"/>
      <c r="C5448" s="40"/>
      <c r="D5448" s="41"/>
      <c r="E5448" s="43">
        <f>C5448</f>
        <v>0</v>
      </c>
      <c r="F5448" s="42"/>
    </row>
    <row r="5449" spans="1:6">
      <c r="A5449" s="39">
        <f>A5448</f>
        <v>46048</v>
      </c>
      <c r="B5449" s="40"/>
      <c r="C5449" s="40"/>
      <c r="D5449" s="41"/>
      <c r="E5449" s="43">
        <f>C5449</f>
        <v>0</v>
      </c>
      <c r="F5449" s="42"/>
    </row>
    <row r="5450" spans="1:6">
      <c r="A5450" s="39">
        <f>A5449</f>
        <v>46048</v>
      </c>
      <c r="B5450" s="40"/>
      <c r="C5450" s="40"/>
      <c r="D5450" s="41"/>
      <c r="E5450" s="43">
        <f>C5450</f>
        <v>0</v>
      </c>
      <c r="F5450" s="42"/>
    </row>
    <row r="5451" spans="1:6">
      <c r="A5451" s="39">
        <f>A5450</f>
        <v>46048</v>
      </c>
      <c r="B5451" s="40"/>
      <c r="C5451" s="40"/>
      <c r="D5451" s="41"/>
      <c r="E5451" s="43">
        <f>C5451</f>
        <v>0</v>
      </c>
      <c r="F5451" s="42"/>
    </row>
    <row r="5452" spans="1:6">
      <c r="A5452" s="39">
        <f>A5451</f>
        <v>46048</v>
      </c>
      <c r="B5452" s="40"/>
      <c r="C5452" s="40"/>
      <c r="D5452" s="41"/>
      <c r="E5452" s="43">
        <f>C5452</f>
        <v>0</v>
      </c>
      <c r="F5452" s="42"/>
    </row>
    <row r="5453" spans="1:6">
      <c r="A5453" s="39">
        <f>A5452</f>
        <v>46048</v>
      </c>
      <c r="B5453" s="40"/>
      <c r="C5453" s="40"/>
      <c r="D5453" s="41"/>
      <c r="E5453" s="43">
        <f>C5453</f>
        <v>0</v>
      </c>
      <c r="F5453" s="42"/>
    </row>
    <row r="5454" spans="1:6">
      <c r="A5454" s="39">
        <f>A5453</f>
        <v>46048</v>
      </c>
      <c r="B5454" s="40"/>
      <c r="C5454" s="40"/>
      <c r="D5454" s="41"/>
      <c r="E5454" s="43">
        <f>C5454</f>
        <v>0</v>
      </c>
      <c r="F5454" s="42"/>
    </row>
    <row r="5455" spans="1:6">
      <c r="A5455" s="39">
        <f>A5454</f>
        <v>46048</v>
      </c>
      <c r="B5455" s="40"/>
      <c r="C5455" s="40"/>
      <c r="D5455" s="41"/>
      <c r="E5455" s="43">
        <f>C5455</f>
        <v>0</v>
      </c>
      <c r="F5455" s="42"/>
    </row>
    <row r="5456" spans="1:6">
      <c r="A5456" s="39">
        <f>A5455</f>
        <v>46048</v>
      </c>
      <c r="B5456" s="40"/>
      <c r="C5456" s="40"/>
      <c r="D5456" s="41"/>
      <c r="E5456" s="43">
        <f>C5456</f>
        <v>0</v>
      </c>
      <c r="F5456" s="42"/>
    </row>
    <row r="5457" spans="1:6">
      <c r="A5457" s="39">
        <f>A5456</f>
        <v>46048</v>
      </c>
      <c r="B5457" s="40"/>
      <c r="C5457" s="40"/>
      <c r="D5457" s="41"/>
      <c r="E5457" s="43">
        <f>C5457</f>
        <v>0</v>
      </c>
      <c r="F5457" s="42"/>
    </row>
    <row r="5458" spans="1:6">
      <c r="A5458" s="39">
        <f>A5457</f>
        <v>46048</v>
      </c>
      <c r="B5458" s="40"/>
      <c r="C5458" s="40"/>
      <c r="D5458" s="41"/>
      <c r="E5458" s="43">
        <f>C5458</f>
        <v>0</v>
      </c>
      <c r="F5458" s="42"/>
    </row>
    <row r="5459" spans="1:6">
      <c r="A5459" s="39">
        <f>A5458</f>
        <v>46048</v>
      </c>
      <c r="B5459" s="40"/>
      <c r="C5459" s="40"/>
      <c r="D5459" s="41"/>
      <c r="E5459" s="43">
        <f>C5459</f>
        <v>0</v>
      </c>
      <c r="F5459" s="42"/>
    </row>
    <row r="5460" spans="1:6">
      <c r="A5460" s="39">
        <f>A5459</f>
        <v>46048</v>
      </c>
      <c r="B5460" s="40"/>
      <c r="C5460" s="40"/>
      <c r="D5460" s="41"/>
      <c r="E5460" s="43">
        <f>C5460</f>
        <v>0</v>
      </c>
      <c r="F5460" s="42"/>
    </row>
    <row r="5461" spans="1:6">
      <c r="A5461" s="39">
        <f>A5460</f>
        <v>46048</v>
      </c>
      <c r="B5461" s="40"/>
      <c r="C5461" s="40"/>
      <c r="D5461" s="41"/>
      <c r="E5461" s="43">
        <f>C5461</f>
        <v>0</v>
      </c>
      <c r="F5461" s="42"/>
    </row>
    <row r="5462" spans="1:6">
      <c r="A5462" s="39">
        <f>A5461</f>
        <v>46048</v>
      </c>
      <c r="B5462" s="40"/>
      <c r="C5462" s="40"/>
      <c r="D5462" s="41"/>
      <c r="E5462" s="43">
        <f>C5462</f>
        <v>0</v>
      </c>
      <c r="F5462" s="42"/>
    </row>
    <row r="5463" spans="1:6">
      <c r="A5463" s="39">
        <f>A5462</f>
        <v>46048</v>
      </c>
      <c r="B5463" s="40"/>
      <c r="C5463" s="40"/>
      <c r="D5463" s="41"/>
      <c r="E5463" s="43">
        <f>C5463</f>
        <v>0</v>
      </c>
      <c r="F5463" s="42"/>
    </row>
    <row r="5464" spans="1:6">
      <c r="A5464" s="39">
        <f>A5463</f>
        <v>46048</v>
      </c>
      <c r="B5464" s="40"/>
      <c r="C5464" s="40"/>
      <c r="D5464" s="41"/>
      <c r="E5464" s="43">
        <f>C5464</f>
        <v>0</v>
      </c>
      <c r="F5464" s="42"/>
    </row>
    <row r="5465" spans="1:6">
      <c r="A5465" s="39">
        <f>A5464</f>
        <v>46048</v>
      </c>
      <c r="B5465" s="40"/>
      <c r="C5465" s="40"/>
      <c r="D5465" s="41"/>
      <c r="E5465" s="43">
        <f>C5465</f>
        <v>0</v>
      </c>
      <c r="F5465" s="42"/>
    </row>
    <row r="5466" spans="1:6">
      <c r="A5466" s="39">
        <f>A5465</f>
        <v>46048</v>
      </c>
      <c r="B5466" s="40"/>
      <c r="C5466" s="40"/>
      <c r="D5466" s="41"/>
      <c r="E5466" s="43">
        <f>C5466</f>
        <v>0</v>
      </c>
      <c r="F5466" s="42"/>
    </row>
    <row r="5467" spans="1:6">
      <c r="A5467" s="39">
        <f>A5466</f>
        <v>46048</v>
      </c>
      <c r="B5467" s="40"/>
      <c r="C5467" s="40"/>
      <c r="D5467" s="41"/>
      <c r="E5467" s="43">
        <f>C5467</f>
        <v>0</v>
      </c>
      <c r="F5467" s="42"/>
    </row>
    <row r="5468" spans="1:6">
      <c r="A5468" s="39">
        <f>A5467</f>
        <v>46048</v>
      </c>
      <c r="B5468" s="40"/>
      <c r="C5468" s="40"/>
      <c r="D5468" s="41"/>
      <c r="E5468" s="43">
        <f>C5468</f>
        <v>0</v>
      </c>
      <c r="F5468" s="42"/>
    </row>
    <row r="5469" spans="1:6">
      <c r="A5469" s="39">
        <f>A5468</f>
        <v>46048</v>
      </c>
      <c r="B5469" s="40"/>
      <c r="C5469" s="40"/>
      <c r="D5469" s="41"/>
      <c r="E5469" s="43">
        <f>C5469</f>
        <v>0</v>
      </c>
      <c r="F5469" s="42"/>
    </row>
    <row r="5470" spans="1:6">
      <c r="A5470" s="39">
        <f>A5469</f>
        <v>46048</v>
      </c>
      <c r="B5470" s="40"/>
      <c r="C5470" s="40"/>
      <c r="D5470" s="41"/>
      <c r="E5470" s="43">
        <f>C5470</f>
        <v>0</v>
      </c>
      <c r="F5470" s="42"/>
    </row>
    <row r="5471" spans="1:6">
      <c r="A5471" s="39">
        <f>A5470</f>
        <v>46048</v>
      </c>
      <c r="B5471" s="40"/>
      <c r="C5471" s="40"/>
      <c r="D5471" s="41"/>
      <c r="E5471" s="43">
        <f>C5471</f>
        <v>0</v>
      </c>
      <c r="F5471" s="42"/>
    </row>
    <row r="5472" spans="1:6">
      <c r="A5472" s="39">
        <f>A5471</f>
        <v>46048</v>
      </c>
      <c r="B5472" s="40"/>
      <c r="C5472" s="40"/>
      <c r="D5472" s="41"/>
      <c r="E5472" s="43">
        <f>C5472</f>
        <v>0</v>
      </c>
      <c r="F5472" s="42"/>
    </row>
    <row r="5473" spans="1:6">
      <c r="A5473" s="39">
        <f>A5472</f>
        <v>46048</v>
      </c>
      <c r="B5473" s="40"/>
      <c r="C5473" s="40"/>
      <c r="D5473" s="41"/>
      <c r="E5473" s="43">
        <f>C5473</f>
        <v>0</v>
      </c>
      <c r="F5473" s="42"/>
    </row>
    <row r="5474" spans="1:6">
      <c r="A5474" s="39">
        <f>A5473</f>
        <v>46048</v>
      </c>
      <c r="B5474" s="40"/>
      <c r="C5474" s="40"/>
      <c r="D5474" s="41"/>
      <c r="E5474" s="43">
        <f>C5474</f>
        <v>0</v>
      </c>
      <c r="F5474" s="42"/>
    </row>
    <row r="5475" spans="1:6">
      <c r="A5475" s="39">
        <f>A5474</f>
        <v>46048</v>
      </c>
      <c r="B5475" s="40"/>
      <c r="C5475" s="40"/>
      <c r="D5475" s="41"/>
      <c r="E5475" s="43">
        <f>C5475</f>
        <v>0</v>
      </c>
      <c r="F5475" s="42"/>
    </row>
    <row r="5476" spans="1:6">
      <c r="A5476" s="39">
        <f>A5475</f>
        <v>46048</v>
      </c>
      <c r="B5476" s="40"/>
      <c r="C5476" s="40"/>
      <c r="D5476" s="41"/>
      <c r="E5476" s="43">
        <f>C5476</f>
        <v>0</v>
      </c>
      <c r="F5476" s="42"/>
    </row>
    <row r="5477" spans="1:6">
      <c r="A5477" s="39">
        <f>A5476</f>
        <v>46048</v>
      </c>
      <c r="B5477" s="40"/>
      <c r="C5477" s="40"/>
      <c r="D5477" s="41"/>
      <c r="E5477" s="43">
        <f>C5477</f>
        <v>0</v>
      </c>
      <c r="F5477" s="42"/>
    </row>
    <row r="5478" spans="1:6">
      <c r="A5478" s="39">
        <f>A5477</f>
        <v>46048</v>
      </c>
      <c r="B5478" s="40"/>
      <c r="C5478" s="40"/>
      <c r="D5478" s="41"/>
      <c r="E5478" s="43">
        <f>C5478</f>
        <v>0</v>
      </c>
      <c r="F5478" s="42"/>
    </row>
    <row r="5479" spans="1:6">
      <c r="A5479" s="39">
        <f>A5478</f>
        <v>46048</v>
      </c>
      <c r="B5479" s="40"/>
      <c r="C5479" s="40"/>
      <c r="D5479" s="41"/>
      <c r="E5479" s="43">
        <f>C5479</f>
        <v>0</v>
      </c>
      <c r="F5479" s="42"/>
    </row>
    <row r="5480" spans="1:6">
      <c r="A5480" s="39">
        <f>A5479</f>
        <v>46048</v>
      </c>
      <c r="B5480" s="40"/>
      <c r="C5480" s="40"/>
      <c r="D5480" s="41"/>
      <c r="E5480" s="43">
        <f>C5480</f>
        <v>0</v>
      </c>
      <c r="F5480" s="42"/>
    </row>
    <row r="5481" spans="1:6">
      <c r="A5481" s="39">
        <f>A5480</f>
        <v>46048</v>
      </c>
      <c r="B5481" s="40"/>
      <c r="C5481" s="40"/>
      <c r="D5481" s="41"/>
      <c r="E5481" s="43">
        <f>C5481</f>
        <v>0</v>
      </c>
      <c r="F5481" s="42"/>
    </row>
    <row r="5482" spans="1:6">
      <c r="A5482" s="39">
        <f>A5481</f>
        <v>46048</v>
      </c>
      <c r="B5482" s="40"/>
      <c r="C5482" s="40"/>
      <c r="D5482" s="41"/>
      <c r="E5482" s="43">
        <f>C5482</f>
        <v>0</v>
      </c>
      <c r="F5482" s="42"/>
    </row>
    <row r="5483" spans="1:6">
      <c r="A5483" s="39">
        <f>A5482</f>
        <v>46048</v>
      </c>
      <c r="B5483" s="40"/>
      <c r="C5483" s="40"/>
      <c r="D5483" s="41"/>
      <c r="E5483" s="43">
        <f>C5483</f>
        <v>0</v>
      </c>
      <c r="F5483" s="42"/>
    </row>
    <row r="5484" spans="1:6">
      <c r="A5484" s="39">
        <f>A5483</f>
        <v>46048</v>
      </c>
      <c r="B5484" s="40"/>
      <c r="C5484" s="40"/>
      <c r="D5484" s="41"/>
      <c r="E5484" s="43">
        <f>C5484</f>
        <v>0</v>
      </c>
      <c r="F5484" s="42"/>
    </row>
    <row r="5485" spans="1:6">
      <c r="A5485" s="39">
        <f>A5484</f>
        <v>46048</v>
      </c>
      <c r="B5485" s="40"/>
      <c r="C5485" s="40"/>
      <c r="D5485" s="41"/>
      <c r="E5485" s="43">
        <f>C5485</f>
        <v>0</v>
      </c>
      <c r="F5485" s="42"/>
    </row>
    <row r="5486" spans="1:6">
      <c r="A5486" s="39">
        <f>A5485</f>
        <v>46048</v>
      </c>
      <c r="B5486" s="40"/>
      <c r="C5486" s="40"/>
      <c r="D5486" s="41"/>
      <c r="E5486" s="43">
        <f>C5486</f>
        <v>0</v>
      </c>
      <c r="F5486" s="42"/>
    </row>
    <row r="5487" spans="1:6">
      <c r="A5487" s="39">
        <f>A5486</f>
        <v>46048</v>
      </c>
      <c r="B5487" s="40"/>
      <c r="C5487" s="40"/>
      <c r="D5487" s="41"/>
      <c r="E5487" s="43">
        <f>C5487</f>
        <v>0</v>
      </c>
      <c r="F5487" s="42"/>
    </row>
    <row r="5488" spans="1:6">
      <c r="A5488" s="39">
        <f>A5487</f>
        <v>46048</v>
      </c>
      <c r="B5488" s="40"/>
      <c r="C5488" s="40"/>
      <c r="D5488" s="41"/>
      <c r="E5488" s="43">
        <f>C5488</f>
        <v>0</v>
      </c>
      <c r="F5488" s="42"/>
    </row>
    <row r="5489" spans="1:6">
      <c r="A5489" s="39">
        <f>A5488</f>
        <v>46048</v>
      </c>
      <c r="B5489" s="40"/>
      <c r="C5489" s="40"/>
      <c r="D5489" s="41"/>
      <c r="E5489" s="43">
        <f>C5489</f>
        <v>0</v>
      </c>
      <c r="F5489" s="42"/>
    </row>
    <row r="5490" spans="1:6">
      <c r="A5490" s="39">
        <f>A5489</f>
        <v>46048</v>
      </c>
      <c r="B5490" s="40"/>
      <c r="C5490" s="40"/>
      <c r="D5490" s="41"/>
      <c r="E5490" s="43">
        <f>C5490</f>
        <v>0</v>
      </c>
      <c r="F5490" s="42"/>
    </row>
    <row r="5491" spans="1:6">
      <c r="A5491" s="39">
        <f>A5490</f>
        <v>46048</v>
      </c>
      <c r="B5491" s="40"/>
      <c r="C5491" s="40"/>
      <c r="D5491" s="41"/>
      <c r="E5491" s="43">
        <f>C5491</f>
        <v>0</v>
      </c>
      <c r="F5491" s="42"/>
    </row>
    <row r="5492" spans="1:6">
      <c r="A5492" s="39">
        <f>A5491</f>
        <v>46048</v>
      </c>
      <c r="B5492" s="40"/>
      <c r="C5492" s="40"/>
      <c r="D5492" s="41"/>
      <c r="E5492" s="43">
        <f>C5492</f>
        <v>0</v>
      </c>
      <c r="F5492" s="42"/>
    </row>
    <row r="5493" spans="1:6">
      <c r="A5493" s="39">
        <f>A5492</f>
        <v>46048</v>
      </c>
      <c r="B5493" s="40"/>
      <c r="C5493" s="40"/>
      <c r="D5493" s="41"/>
      <c r="E5493" s="43">
        <f>C5493</f>
        <v>0</v>
      </c>
      <c r="F5493" s="42"/>
    </row>
    <row r="5494" spans="1:6">
      <c r="A5494" s="39">
        <f>A5493</f>
        <v>46048</v>
      </c>
      <c r="B5494" s="40"/>
      <c r="C5494" s="40"/>
      <c r="D5494" s="41"/>
      <c r="E5494" s="43">
        <f>C5494</f>
        <v>0</v>
      </c>
      <c r="F5494" s="42"/>
    </row>
    <row r="5495" spans="1:6">
      <c r="A5495" s="39">
        <f>A5494</f>
        <v>46048</v>
      </c>
      <c r="B5495" s="40"/>
      <c r="C5495" s="40"/>
      <c r="D5495" s="41"/>
      <c r="E5495" s="43">
        <f>C5495</f>
        <v>0</v>
      </c>
      <c r="F5495" s="42"/>
    </row>
    <row r="5496" spans="1:6">
      <c r="A5496" s="39">
        <f>A5495</f>
        <v>46048</v>
      </c>
      <c r="B5496" s="40"/>
      <c r="C5496" s="40"/>
      <c r="D5496" s="41"/>
      <c r="E5496" s="43">
        <f>C5496</f>
        <v>0</v>
      </c>
      <c r="F5496" s="42"/>
    </row>
    <row r="5497" spans="1:6">
      <c r="A5497" s="39">
        <f>A5496</f>
        <v>46048</v>
      </c>
      <c r="B5497" s="40"/>
      <c r="C5497" s="40"/>
      <c r="D5497" s="41"/>
      <c r="E5497" s="43">
        <f>C5497</f>
        <v>0</v>
      </c>
      <c r="F5497" s="42"/>
    </row>
    <row r="5498" spans="1:6">
      <c r="A5498" s="39">
        <f>A5497</f>
        <v>46048</v>
      </c>
      <c r="B5498" s="40"/>
      <c r="C5498" s="40"/>
      <c r="D5498" s="41"/>
      <c r="E5498" s="43">
        <f>C5498</f>
        <v>0</v>
      </c>
      <c r="F5498" s="42"/>
    </row>
    <row r="5499" spans="1:6">
      <c r="A5499" s="39">
        <f>A5498</f>
        <v>46048</v>
      </c>
      <c r="B5499" s="40"/>
      <c r="C5499" s="40"/>
      <c r="D5499" s="41"/>
      <c r="E5499" s="43">
        <f>C5499</f>
        <v>0</v>
      </c>
      <c r="F5499" s="42"/>
    </row>
    <row r="5500" spans="1:6">
      <c r="A5500" s="39">
        <f>A5499</f>
        <v>46048</v>
      </c>
      <c r="B5500" s="40"/>
      <c r="C5500" s="40"/>
      <c r="D5500" s="41"/>
      <c r="E5500" s="43">
        <f>C5500</f>
        <v>0</v>
      </c>
      <c r="F5500" s="42"/>
    </row>
    <row r="5501" spans="1:6">
      <c r="A5501" s="39">
        <f>A5500</f>
        <v>46048</v>
      </c>
      <c r="B5501" s="40"/>
      <c r="C5501" s="40"/>
      <c r="D5501" s="41"/>
      <c r="E5501" s="43">
        <f>C5501</f>
        <v>0</v>
      </c>
      <c r="F5501" s="42"/>
    </row>
    <row r="5502" spans="1:6">
      <c r="A5502" s="39">
        <f>A5501</f>
        <v>46048</v>
      </c>
      <c r="B5502" s="40"/>
      <c r="C5502" s="40"/>
      <c r="D5502" s="41"/>
      <c r="E5502" s="43">
        <f>C5502</f>
        <v>0</v>
      </c>
      <c r="F5502" s="42"/>
    </row>
    <row r="5503" spans="1:6">
      <c r="A5503" s="39">
        <f>A5502</f>
        <v>46048</v>
      </c>
      <c r="B5503" s="40"/>
      <c r="C5503" s="40"/>
      <c r="D5503" s="41"/>
      <c r="E5503" s="43">
        <f>C5503</f>
        <v>0</v>
      </c>
      <c r="F5503" s="42"/>
    </row>
    <row r="5504" spans="1:6">
      <c r="A5504" s="39">
        <f>A5503</f>
        <v>46048</v>
      </c>
      <c r="B5504" s="40"/>
      <c r="C5504" s="40"/>
      <c r="D5504" s="41"/>
      <c r="E5504" s="43">
        <f>C5504</f>
        <v>0</v>
      </c>
      <c r="F5504" s="42"/>
    </row>
    <row r="5505" spans="1:6">
      <c r="A5505" s="39">
        <f>A5504</f>
        <v>46048</v>
      </c>
      <c r="B5505" s="40"/>
      <c r="C5505" s="40"/>
      <c r="D5505" s="41"/>
      <c r="E5505" s="43">
        <f>C5505</f>
        <v>0</v>
      </c>
      <c r="F5505" s="42"/>
    </row>
    <row r="5506" spans="1:6">
      <c r="A5506" s="39">
        <f>A5505</f>
        <v>46048</v>
      </c>
      <c r="B5506" s="40"/>
      <c r="C5506" s="40"/>
      <c r="D5506" s="41"/>
      <c r="E5506" s="43">
        <f>C5506</f>
        <v>0</v>
      </c>
      <c r="F5506" s="42"/>
    </row>
    <row r="5507" spans="1:6">
      <c r="A5507" s="39">
        <f>A5506</f>
        <v>46048</v>
      </c>
      <c r="B5507" s="40"/>
      <c r="C5507" s="40"/>
      <c r="D5507" s="41"/>
      <c r="E5507" s="43">
        <f>C5507</f>
        <v>0</v>
      </c>
      <c r="F5507" s="42"/>
    </row>
    <row r="5508" spans="1:6">
      <c r="A5508" s="39">
        <f>A5507</f>
        <v>46048</v>
      </c>
      <c r="B5508" s="40"/>
      <c r="C5508" s="40"/>
      <c r="D5508" s="41"/>
      <c r="E5508" s="43">
        <f>C5508</f>
        <v>0</v>
      </c>
      <c r="F5508" s="42"/>
    </row>
    <row r="5509" spans="1:6">
      <c r="A5509" s="39">
        <f>A5508</f>
        <v>46048</v>
      </c>
      <c r="B5509" s="40"/>
      <c r="C5509" s="40"/>
      <c r="D5509" s="41"/>
      <c r="E5509" s="43">
        <f>C5509</f>
        <v>0</v>
      </c>
      <c r="F5509" s="42"/>
    </row>
    <row r="5510" spans="1:6">
      <c r="A5510" s="39">
        <f>A5509</f>
        <v>46048</v>
      </c>
      <c r="B5510" s="40"/>
      <c r="C5510" s="40"/>
      <c r="D5510" s="41"/>
      <c r="E5510" s="43">
        <f>C5510</f>
        <v>0</v>
      </c>
      <c r="F5510" s="42"/>
    </row>
    <row r="5511" spans="1:6">
      <c r="A5511" s="39">
        <f>A5510</f>
        <v>46048</v>
      </c>
      <c r="B5511" s="40"/>
      <c r="C5511" s="40"/>
      <c r="D5511" s="41"/>
      <c r="E5511" s="43">
        <f>C5511</f>
        <v>0</v>
      </c>
      <c r="F5511" s="42"/>
    </row>
    <row r="5512" spans="1:6">
      <c r="A5512" s="39">
        <f>A5511</f>
        <v>46048</v>
      </c>
      <c r="B5512" s="40"/>
      <c r="C5512" s="40"/>
      <c r="D5512" s="41"/>
      <c r="E5512" s="43">
        <f>C5512</f>
        <v>0</v>
      </c>
      <c r="F5512" s="42"/>
    </row>
    <row r="5513" spans="1:6">
      <c r="A5513" s="39">
        <f>A5512</f>
        <v>46048</v>
      </c>
      <c r="B5513" s="40"/>
      <c r="C5513" s="40"/>
      <c r="D5513" s="41"/>
      <c r="E5513" s="43">
        <f>C5513</f>
        <v>0</v>
      </c>
      <c r="F5513" s="42"/>
    </row>
    <row r="5514" spans="1:6">
      <c r="A5514" s="39">
        <f>A5513</f>
        <v>46048</v>
      </c>
      <c r="B5514" s="40"/>
      <c r="C5514" s="40"/>
      <c r="D5514" s="41"/>
      <c r="E5514" s="43">
        <f>C5514</f>
        <v>0</v>
      </c>
      <c r="F5514" s="42"/>
    </row>
    <row r="5515" spans="1:6">
      <c r="A5515" s="39">
        <f>A5514</f>
        <v>46048</v>
      </c>
      <c r="B5515" s="40"/>
      <c r="C5515" s="40"/>
      <c r="D5515" s="41"/>
      <c r="E5515" s="43">
        <f>C5515</f>
        <v>0</v>
      </c>
      <c r="F5515" s="42"/>
    </row>
    <row r="5516" spans="1:6">
      <c r="A5516" s="39">
        <f>A5515</f>
        <v>46048</v>
      </c>
      <c r="B5516" s="40"/>
      <c r="C5516" s="40"/>
      <c r="D5516" s="41"/>
      <c r="E5516" s="43">
        <f>C5516</f>
        <v>0</v>
      </c>
      <c r="F5516" s="42"/>
    </row>
    <row r="5517" spans="1:6">
      <c r="A5517" s="39">
        <f>A5516</f>
        <v>46048</v>
      </c>
      <c r="B5517" s="40"/>
      <c r="C5517" s="40"/>
      <c r="D5517" s="41"/>
      <c r="E5517" s="43">
        <f>C5517</f>
        <v>0</v>
      </c>
      <c r="F5517" s="42"/>
    </row>
    <row r="5518" spans="1:6">
      <c r="A5518" s="39">
        <f>A5517</f>
        <v>46048</v>
      </c>
      <c r="B5518" s="40"/>
      <c r="C5518" s="40"/>
      <c r="D5518" s="41"/>
      <c r="E5518" s="43">
        <f>C5518</f>
        <v>0</v>
      </c>
      <c r="F5518" s="42"/>
    </row>
    <row r="5519" spans="1:6">
      <c r="A5519" s="39">
        <f>A5518</f>
        <v>46048</v>
      </c>
      <c r="B5519" s="40"/>
      <c r="C5519" s="40"/>
      <c r="D5519" s="41"/>
      <c r="E5519" s="43">
        <f>C5519</f>
        <v>0</v>
      </c>
      <c r="F5519" s="42"/>
    </row>
    <row r="5520" spans="1:6">
      <c r="A5520" s="39">
        <f>A5519</f>
        <v>46048</v>
      </c>
      <c r="B5520" s="40"/>
      <c r="C5520" s="40"/>
      <c r="D5520" s="41"/>
      <c r="E5520" s="43">
        <f>C5520</f>
        <v>0</v>
      </c>
      <c r="F5520" s="42"/>
    </row>
    <row r="5521" spans="1:6">
      <c r="A5521" s="39">
        <f>A5520</f>
        <v>46048</v>
      </c>
      <c r="B5521" s="40"/>
      <c r="C5521" s="40"/>
      <c r="D5521" s="41"/>
      <c r="E5521" s="43">
        <f>C5521</f>
        <v>0</v>
      </c>
      <c r="F5521" s="42"/>
    </row>
    <row r="5522" spans="1:6">
      <c r="A5522" s="39">
        <f>A5521</f>
        <v>46048</v>
      </c>
      <c r="B5522" s="40"/>
      <c r="C5522" s="40"/>
      <c r="D5522" s="41"/>
      <c r="E5522" s="43">
        <f>C5522</f>
        <v>0</v>
      </c>
      <c r="F5522" s="42"/>
    </row>
    <row r="5523" spans="1:6">
      <c r="A5523" s="39">
        <f>A5522</f>
        <v>46048</v>
      </c>
      <c r="B5523" s="40"/>
      <c r="C5523" s="40"/>
      <c r="D5523" s="41"/>
      <c r="E5523" s="43">
        <f>C5523</f>
        <v>0</v>
      </c>
      <c r="F5523" s="42"/>
    </row>
    <row r="5524" spans="1:6">
      <c r="A5524" s="39">
        <f>A5523</f>
        <v>46048</v>
      </c>
      <c r="B5524" s="40"/>
      <c r="C5524" s="40"/>
      <c r="D5524" s="41"/>
      <c r="E5524" s="43">
        <f>C5524</f>
        <v>0</v>
      </c>
      <c r="F5524" s="42"/>
    </row>
    <row r="5525" spans="1:6">
      <c r="A5525" s="39">
        <f>A5524</f>
        <v>46048</v>
      </c>
      <c r="B5525" s="40"/>
      <c r="C5525" s="40"/>
      <c r="D5525" s="41"/>
      <c r="E5525" s="43">
        <f>C5525</f>
        <v>0</v>
      </c>
      <c r="F5525" s="42"/>
    </row>
    <row r="5526" spans="1:6">
      <c r="A5526" s="39">
        <f>A5525</f>
        <v>46048</v>
      </c>
      <c r="B5526" s="40"/>
      <c r="C5526" s="40"/>
      <c r="D5526" s="41"/>
      <c r="E5526" s="43">
        <f>C5526</f>
        <v>0</v>
      </c>
      <c r="F5526" s="42"/>
    </row>
    <row r="5527" spans="1:6">
      <c r="A5527" s="39">
        <f>A5526</f>
        <v>46048</v>
      </c>
      <c r="B5527" s="40"/>
      <c r="C5527" s="40"/>
      <c r="D5527" s="41"/>
      <c r="E5527" s="43">
        <f>C5527</f>
        <v>0</v>
      </c>
      <c r="F5527" s="42"/>
    </row>
    <row r="5528" spans="1:6">
      <c r="A5528" s="39">
        <f>A5527</f>
        <v>46048</v>
      </c>
      <c r="B5528" s="40"/>
      <c r="C5528" s="40"/>
      <c r="D5528" s="41"/>
      <c r="E5528" s="43">
        <f>C5528</f>
        <v>0</v>
      </c>
      <c r="F5528" s="42"/>
    </row>
    <row r="5529" spans="1:6">
      <c r="A5529" s="39">
        <f>A5528</f>
        <v>46048</v>
      </c>
      <c r="B5529" s="40"/>
      <c r="C5529" s="40"/>
      <c r="D5529" s="41"/>
      <c r="E5529" s="43">
        <f>C5529</f>
        <v>0</v>
      </c>
      <c r="F5529" s="42"/>
    </row>
    <row r="5530" spans="1:6">
      <c r="A5530" s="39">
        <f>A5529</f>
        <v>46048</v>
      </c>
      <c r="B5530" s="40"/>
      <c r="C5530" s="40"/>
      <c r="D5530" s="41"/>
      <c r="E5530" s="43">
        <f>C5530</f>
        <v>0</v>
      </c>
      <c r="F5530" s="42"/>
    </row>
    <row r="5531" spans="1:6">
      <c r="A5531" s="39">
        <f>A5530</f>
        <v>46048</v>
      </c>
      <c r="B5531" s="40"/>
      <c r="C5531" s="40"/>
      <c r="D5531" s="41"/>
      <c r="E5531" s="43">
        <f>C5531</f>
        <v>0</v>
      </c>
      <c r="F5531" s="42"/>
    </row>
    <row r="5532" spans="1:6">
      <c r="A5532" s="39">
        <f>A5531</f>
        <v>46048</v>
      </c>
      <c r="B5532" s="40"/>
      <c r="C5532" s="40"/>
      <c r="D5532" s="41"/>
      <c r="E5532" s="43">
        <f>C5532</f>
        <v>0</v>
      </c>
      <c r="F5532" s="42"/>
    </row>
    <row r="5533" spans="1:6">
      <c r="A5533" s="39">
        <f>A5532</f>
        <v>46048</v>
      </c>
      <c r="B5533" s="40"/>
      <c r="C5533" s="40"/>
      <c r="D5533" s="41"/>
      <c r="E5533" s="43">
        <f>C5533</f>
        <v>0</v>
      </c>
      <c r="F5533" s="42"/>
    </row>
    <row r="5534" spans="1:6">
      <c r="A5534" s="39">
        <f>A5533</f>
        <v>46048</v>
      </c>
      <c r="B5534" s="40"/>
      <c r="C5534" s="40"/>
      <c r="D5534" s="41"/>
      <c r="E5534" s="43">
        <f>C5534</f>
        <v>0</v>
      </c>
      <c r="F5534" s="42"/>
    </row>
    <row r="5535" spans="1:6">
      <c r="A5535" s="39">
        <f>A5534</f>
        <v>46048</v>
      </c>
      <c r="B5535" s="40"/>
      <c r="C5535" s="40"/>
      <c r="D5535" s="41"/>
      <c r="E5535" s="43">
        <f>C5535</f>
        <v>0</v>
      </c>
      <c r="F5535" s="42"/>
    </row>
    <row r="5536" spans="1:6">
      <c r="A5536" s="39">
        <f>A5535</f>
        <v>46048</v>
      </c>
      <c r="B5536" s="40"/>
      <c r="C5536" s="40"/>
      <c r="D5536" s="41"/>
      <c r="E5536" s="43">
        <f>C5536</f>
        <v>0</v>
      </c>
      <c r="F5536" s="42"/>
    </row>
    <row r="5537" spans="1:6">
      <c r="A5537" s="39">
        <f>A5536</f>
        <v>46048</v>
      </c>
      <c r="B5537" s="40"/>
      <c r="C5537" s="40"/>
      <c r="D5537" s="41"/>
      <c r="E5537" s="43">
        <f>C5537</f>
        <v>0</v>
      </c>
      <c r="F5537" s="42"/>
    </row>
    <row r="5538" spans="1:6">
      <c r="A5538" s="39">
        <f>A5537</f>
        <v>46048</v>
      </c>
      <c r="B5538" s="40"/>
      <c r="C5538" s="40"/>
      <c r="D5538" s="41"/>
      <c r="E5538" s="43">
        <f>C5538</f>
        <v>0</v>
      </c>
      <c r="F5538" s="42"/>
    </row>
    <row r="5539" spans="1:6">
      <c r="A5539" s="39">
        <f>A5538</f>
        <v>46048</v>
      </c>
      <c r="B5539" s="40"/>
      <c r="C5539" s="40"/>
      <c r="D5539" s="41"/>
      <c r="E5539" s="43">
        <f>C5539</f>
        <v>0</v>
      </c>
      <c r="F5539" s="42"/>
    </row>
    <row r="5540" spans="1:6">
      <c r="A5540" s="39">
        <f>A5539</f>
        <v>46048</v>
      </c>
      <c r="B5540" s="40"/>
      <c r="C5540" s="40"/>
      <c r="D5540" s="41"/>
      <c r="E5540" s="43">
        <f>C5540</f>
        <v>0</v>
      </c>
      <c r="F5540" s="42"/>
    </row>
    <row r="5541" spans="1:6">
      <c r="A5541" s="39">
        <f>A5540</f>
        <v>46048</v>
      </c>
      <c r="B5541" s="40"/>
      <c r="C5541" s="40"/>
      <c r="D5541" s="41"/>
      <c r="E5541" s="43">
        <f>C5541</f>
        <v>0</v>
      </c>
      <c r="F5541" s="42"/>
    </row>
    <row r="5542" spans="1:6">
      <c r="A5542" s="39">
        <f>A5541</f>
        <v>46048</v>
      </c>
      <c r="B5542" s="40"/>
      <c r="C5542" s="40"/>
      <c r="D5542" s="41"/>
      <c r="E5542" s="43">
        <f>C5542</f>
        <v>0</v>
      </c>
      <c r="F5542" s="42"/>
    </row>
    <row r="5543" spans="1:6">
      <c r="A5543" s="39">
        <f>A5542</f>
        <v>46048</v>
      </c>
      <c r="B5543" s="40"/>
      <c r="C5543" s="40"/>
      <c r="D5543" s="41"/>
      <c r="E5543" s="43">
        <f>C5543</f>
        <v>0</v>
      </c>
      <c r="F5543" s="42"/>
    </row>
    <row r="5544" spans="1:6">
      <c r="A5544" s="39">
        <f>A5543</f>
        <v>46048</v>
      </c>
      <c r="B5544" s="40"/>
      <c r="C5544" s="40"/>
      <c r="D5544" s="41"/>
      <c r="E5544" s="43">
        <f>C5544</f>
        <v>0</v>
      </c>
      <c r="F5544" s="42"/>
    </row>
    <row r="5545" spans="1:6">
      <c r="A5545" s="39">
        <f>A5544</f>
        <v>46048</v>
      </c>
      <c r="B5545" s="40"/>
      <c r="C5545" s="40"/>
      <c r="D5545" s="41"/>
      <c r="E5545" s="43">
        <f>C5545</f>
        <v>0</v>
      </c>
      <c r="F5545" s="42"/>
    </row>
    <row r="5546" spans="1:6">
      <c r="A5546" s="39">
        <f>A5545</f>
        <v>46048</v>
      </c>
      <c r="B5546" s="40"/>
      <c r="C5546" s="40"/>
      <c r="D5546" s="41"/>
      <c r="E5546" s="43">
        <f>C5546</f>
        <v>0</v>
      </c>
      <c r="F5546" s="42"/>
    </row>
    <row r="5547" spans="1:6">
      <c r="A5547" s="39">
        <f>A5546</f>
        <v>46048</v>
      </c>
      <c r="B5547" s="40"/>
      <c r="C5547" s="40"/>
      <c r="D5547" s="41"/>
      <c r="E5547" s="43">
        <f>C5547</f>
        <v>0</v>
      </c>
      <c r="F5547" s="42"/>
    </row>
    <row r="5548" spans="1:6">
      <c r="A5548" s="39">
        <f>A5547</f>
        <v>46048</v>
      </c>
      <c r="B5548" s="40"/>
      <c r="C5548" s="40"/>
      <c r="D5548" s="41"/>
      <c r="E5548" s="43">
        <f>C5548</f>
        <v>0</v>
      </c>
      <c r="F5548" s="42"/>
    </row>
    <row r="5549" spans="1:6">
      <c r="A5549" s="39">
        <f>A5548</f>
        <v>46048</v>
      </c>
      <c r="B5549" s="40"/>
      <c r="C5549" s="40"/>
      <c r="D5549" s="41"/>
      <c r="E5549" s="43">
        <f>C5549</f>
        <v>0</v>
      </c>
      <c r="F5549" s="42"/>
    </row>
    <row r="5550" spans="1:6">
      <c r="A5550" s="39">
        <f>A5549</f>
        <v>46048</v>
      </c>
      <c r="B5550" s="40"/>
      <c r="C5550" s="40"/>
      <c r="D5550" s="41"/>
      <c r="E5550" s="43">
        <f>C5550</f>
        <v>0</v>
      </c>
      <c r="F5550" s="42"/>
    </row>
    <row r="5551" spans="1:6">
      <c r="A5551" s="39">
        <f>A5550</f>
        <v>46048</v>
      </c>
      <c r="B5551" s="40"/>
      <c r="C5551" s="40"/>
      <c r="D5551" s="41"/>
      <c r="E5551" s="43">
        <f>C5551</f>
        <v>0</v>
      </c>
      <c r="F5551" s="42"/>
    </row>
    <row r="5552" spans="1:6">
      <c r="A5552" s="39">
        <f>A5551</f>
        <v>46048</v>
      </c>
      <c r="B5552" s="40"/>
      <c r="C5552" s="40"/>
      <c r="D5552" s="41"/>
      <c r="E5552" s="43">
        <f>C5552</f>
        <v>0</v>
      </c>
      <c r="F5552" s="42"/>
    </row>
    <row r="5553" spans="1:6">
      <c r="A5553" s="39">
        <f>A5552</f>
        <v>46048</v>
      </c>
      <c r="B5553" s="40"/>
      <c r="C5553" s="40"/>
      <c r="D5553" s="41"/>
      <c r="E5553" s="43">
        <f>C5553</f>
        <v>0</v>
      </c>
      <c r="F5553" s="42"/>
    </row>
    <row r="5554" spans="1:6">
      <c r="A5554" s="39">
        <f>A5553</f>
        <v>46048</v>
      </c>
      <c r="B5554" s="40"/>
      <c r="C5554" s="40"/>
      <c r="D5554" s="41"/>
      <c r="E5554" s="43">
        <f>C5554</f>
        <v>0</v>
      </c>
      <c r="F5554" s="42"/>
    </row>
    <row r="5555" spans="1:6">
      <c r="A5555" s="39">
        <f>A5554</f>
        <v>46048</v>
      </c>
      <c r="B5555" s="40"/>
      <c r="C5555" s="40"/>
      <c r="D5555" s="41"/>
      <c r="E5555" s="43">
        <f>C5555</f>
        <v>0</v>
      </c>
      <c r="F5555" s="42"/>
    </row>
    <row r="5556" spans="1:6">
      <c r="A5556" s="39">
        <f>A5555</f>
        <v>46048</v>
      </c>
      <c r="B5556" s="40"/>
      <c r="C5556" s="40"/>
      <c r="D5556" s="41"/>
      <c r="E5556" s="43">
        <f>C5556</f>
        <v>0</v>
      </c>
      <c r="F5556" s="42"/>
    </row>
    <row r="5557" spans="1:6">
      <c r="A5557" s="39">
        <f>A5556</f>
        <v>46048</v>
      </c>
      <c r="B5557" s="40"/>
      <c r="C5557" s="40"/>
      <c r="D5557" s="41"/>
      <c r="E5557" s="43">
        <f>C5557</f>
        <v>0</v>
      </c>
      <c r="F5557" s="42"/>
    </row>
    <row r="5558" spans="1:6">
      <c r="A5558" s="39">
        <f>A5557</f>
        <v>46048</v>
      </c>
      <c r="B5558" s="40"/>
      <c r="C5558" s="40"/>
      <c r="D5558" s="41"/>
      <c r="E5558" s="43">
        <f>C5558</f>
        <v>0</v>
      </c>
      <c r="F5558" s="42"/>
    </row>
    <row r="5559" spans="1:6">
      <c r="A5559" s="39">
        <f>A5558</f>
        <v>46048</v>
      </c>
      <c r="B5559" s="40"/>
      <c r="C5559" s="40"/>
      <c r="D5559" s="41"/>
      <c r="E5559" s="43">
        <f>C5559</f>
        <v>0</v>
      </c>
      <c r="F5559" s="42"/>
    </row>
    <row r="5560" spans="1:6">
      <c r="A5560" s="39">
        <f>A5559</f>
        <v>46048</v>
      </c>
      <c r="B5560" s="40"/>
      <c r="C5560" s="40"/>
      <c r="D5560" s="41"/>
      <c r="E5560" s="43">
        <f>C5560</f>
        <v>0</v>
      </c>
      <c r="F5560" s="42"/>
    </row>
    <row r="5561" spans="1:6">
      <c r="A5561" s="39">
        <f>A5560</f>
        <v>46048</v>
      </c>
      <c r="B5561" s="40"/>
      <c r="C5561" s="40"/>
      <c r="D5561" s="41"/>
      <c r="E5561" s="43">
        <f>C5561</f>
        <v>0</v>
      </c>
      <c r="F5561" s="42"/>
    </row>
    <row r="5562" spans="1:6">
      <c r="A5562" s="39">
        <f>A5561</f>
        <v>46048</v>
      </c>
      <c r="B5562" s="40"/>
      <c r="C5562" s="40"/>
      <c r="D5562" s="41"/>
      <c r="E5562" s="43">
        <f>C5562</f>
        <v>0</v>
      </c>
      <c r="F5562" s="42"/>
    </row>
    <row r="5563" spans="1:6">
      <c r="A5563" s="39">
        <f>A5562</f>
        <v>46048</v>
      </c>
      <c r="B5563" s="40"/>
      <c r="C5563" s="40"/>
      <c r="D5563" s="41"/>
      <c r="E5563" s="43">
        <f>C5563</f>
        <v>0</v>
      </c>
      <c r="F5563" s="42"/>
    </row>
    <row r="5564" spans="1:6">
      <c r="A5564" s="39">
        <f>A5563</f>
        <v>46048</v>
      </c>
      <c r="B5564" s="40"/>
      <c r="C5564" s="40"/>
      <c r="D5564" s="41"/>
      <c r="E5564" s="43">
        <f>C5564</f>
        <v>0</v>
      </c>
      <c r="F5564" s="42"/>
    </row>
    <row r="5565" spans="1:6">
      <c r="A5565" s="39">
        <f>A5564</f>
        <v>46048</v>
      </c>
      <c r="B5565" s="40"/>
      <c r="C5565" s="40"/>
      <c r="D5565" s="41"/>
      <c r="E5565" s="43">
        <f>C5565</f>
        <v>0</v>
      </c>
      <c r="F5565" s="42"/>
    </row>
    <row r="5566" spans="1:6">
      <c r="A5566" s="39">
        <f>A5565</f>
        <v>46048</v>
      </c>
      <c r="B5566" s="40"/>
      <c r="C5566" s="40"/>
      <c r="D5566" s="41"/>
      <c r="E5566" s="43">
        <f>C5566</f>
        <v>0</v>
      </c>
      <c r="F5566" s="42"/>
    </row>
    <row r="5567" spans="1:6">
      <c r="A5567" s="39">
        <f>A5566</f>
        <v>46048</v>
      </c>
      <c r="B5567" s="40"/>
      <c r="C5567" s="40"/>
      <c r="D5567" s="41"/>
      <c r="E5567" s="43">
        <f>C5567</f>
        <v>0</v>
      </c>
      <c r="F5567" s="42"/>
    </row>
    <row r="5568" spans="1:6">
      <c r="A5568" s="39">
        <f>A5567</f>
        <v>46048</v>
      </c>
      <c r="B5568" s="40"/>
      <c r="C5568" s="40"/>
      <c r="D5568" s="41"/>
      <c r="E5568" s="43">
        <f>C5568</f>
        <v>0</v>
      </c>
      <c r="F5568" s="42"/>
    </row>
    <row r="5569" spans="1:6">
      <c r="A5569" s="39">
        <f>A5568</f>
        <v>46048</v>
      </c>
      <c r="B5569" s="40"/>
      <c r="C5569" s="40"/>
      <c r="D5569" s="41"/>
      <c r="E5569" s="43">
        <f>C5569</f>
        <v>0</v>
      </c>
      <c r="F5569" s="42"/>
    </row>
    <row r="5570" spans="1:6">
      <c r="A5570" s="39">
        <f>A5569</f>
        <v>46048</v>
      </c>
      <c r="B5570" s="40"/>
      <c r="C5570" s="40"/>
      <c r="D5570" s="41"/>
      <c r="E5570" s="43">
        <f>C5570</f>
        <v>0</v>
      </c>
      <c r="F5570" s="42"/>
    </row>
    <row r="5571" spans="1:6">
      <c r="A5571" s="39">
        <f>A5570</f>
        <v>46048</v>
      </c>
      <c r="B5571" s="40"/>
      <c r="C5571" s="40"/>
      <c r="D5571" s="41"/>
      <c r="E5571" s="43">
        <f>C5571</f>
        <v>0</v>
      </c>
      <c r="F5571" s="42"/>
    </row>
    <row r="5572" spans="1:6">
      <c r="A5572" s="39">
        <f>A5571</f>
        <v>46048</v>
      </c>
      <c r="B5572" s="40"/>
      <c r="C5572" s="40"/>
      <c r="D5572" s="41"/>
      <c r="E5572" s="43">
        <f>C5572</f>
        <v>0</v>
      </c>
      <c r="F5572" s="42"/>
    </row>
    <row r="5573" spans="1:6">
      <c r="A5573" s="39">
        <f>A5572</f>
        <v>46048</v>
      </c>
      <c r="B5573" s="40"/>
      <c r="C5573" s="40"/>
      <c r="D5573" s="41"/>
      <c r="E5573" s="43">
        <f>C5573</f>
        <v>0</v>
      </c>
      <c r="F5573" s="42"/>
    </row>
    <row r="5574" spans="1:6">
      <c r="A5574" s="39">
        <f>A5573</f>
        <v>46048</v>
      </c>
      <c r="B5574" s="40"/>
      <c r="C5574" s="40"/>
      <c r="D5574" s="41"/>
      <c r="E5574" s="43">
        <f>C5574</f>
        <v>0</v>
      </c>
      <c r="F5574" s="42"/>
    </row>
    <row r="5575" spans="1:6">
      <c r="A5575" s="39">
        <f>A5574</f>
        <v>46048</v>
      </c>
      <c r="B5575" s="40"/>
      <c r="C5575" s="40"/>
      <c r="D5575" s="41"/>
      <c r="E5575" s="43">
        <f>C5575</f>
        <v>0</v>
      </c>
      <c r="F5575" s="42"/>
    </row>
    <row r="5576" spans="1:6">
      <c r="A5576" s="39">
        <f>A5575</f>
        <v>46048</v>
      </c>
      <c r="B5576" s="40"/>
      <c r="C5576" s="40"/>
      <c r="D5576" s="41"/>
      <c r="E5576" s="43">
        <f>C5576</f>
        <v>0</v>
      </c>
      <c r="F5576" s="42"/>
    </row>
    <row r="5577" spans="1:6">
      <c r="A5577" s="39">
        <f>A5576</f>
        <v>46048</v>
      </c>
      <c r="B5577" s="40"/>
      <c r="C5577" s="40"/>
      <c r="D5577" s="41"/>
      <c r="E5577" s="43">
        <f>C5577</f>
        <v>0</v>
      </c>
      <c r="F5577" s="42"/>
    </row>
    <row r="5578" spans="1:6">
      <c r="A5578" s="39">
        <f>A5577</f>
        <v>46048</v>
      </c>
      <c r="B5578" s="40"/>
      <c r="C5578" s="40"/>
      <c r="D5578" s="41"/>
      <c r="E5578" s="43">
        <f>C5578</f>
        <v>0</v>
      </c>
      <c r="F5578" s="42"/>
    </row>
    <row r="5579" spans="1:6">
      <c r="A5579" s="39">
        <f>A5578</f>
        <v>46048</v>
      </c>
      <c r="B5579" s="40"/>
      <c r="C5579" s="40"/>
      <c r="D5579" s="41"/>
      <c r="E5579" s="43">
        <f>C5579</f>
        <v>0</v>
      </c>
      <c r="F5579" s="42"/>
    </row>
    <row r="5580" spans="1:6">
      <c r="A5580" s="39">
        <f>A5579</f>
        <v>46048</v>
      </c>
      <c r="B5580" s="40"/>
      <c r="C5580" s="40"/>
      <c r="D5580" s="41"/>
      <c r="E5580" s="43">
        <f>C5580</f>
        <v>0</v>
      </c>
      <c r="F5580" s="42"/>
    </row>
    <row r="5581" spans="1:6">
      <c r="A5581" s="39">
        <f>A5580</f>
        <v>46048</v>
      </c>
      <c r="B5581" s="40"/>
      <c r="C5581" s="40"/>
      <c r="D5581" s="41"/>
      <c r="E5581" s="43">
        <f>C5581</f>
        <v>0</v>
      </c>
      <c r="F5581" s="42"/>
    </row>
    <row r="5582" spans="1:6">
      <c r="A5582" s="39">
        <f>A5581</f>
        <v>46048</v>
      </c>
      <c r="B5582" s="40"/>
      <c r="C5582" s="40"/>
      <c r="D5582" s="41"/>
      <c r="E5582" s="43">
        <f>C5582</f>
        <v>0</v>
      </c>
      <c r="F5582" s="42"/>
    </row>
    <row r="5583" spans="1:6">
      <c r="A5583" s="39">
        <f>A5582</f>
        <v>46048</v>
      </c>
      <c r="B5583" s="40"/>
      <c r="C5583" s="40"/>
      <c r="D5583" s="41"/>
      <c r="E5583" s="43">
        <f>C5583</f>
        <v>0</v>
      </c>
      <c r="F5583" s="42"/>
    </row>
    <row r="5584" spans="1:6">
      <c r="A5584" s="39">
        <f>A5583</f>
        <v>46048</v>
      </c>
      <c r="B5584" s="40"/>
      <c r="C5584" s="40"/>
      <c r="D5584" s="41"/>
      <c r="E5584" s="43">
        <f>C5584</f>
        <v>0</v>
      </c>
      <c r="F5584" s="42"/>
    </row>
    <row r="5585" spans="1:6">
      <c r="A5585" s="39">
        <f>A5584</f>
        <v>46048</v>
      </c>
      <c r="B5585" s="40"/>
      <c r="C5585" s="40"/>
      <c r="D5585" s="41"/>
      <c r="E5585" s="43">
        <f>C5585</f>
        <v>0</v>
      </c>
      <c r="F5585" s="42"/>
    </row>
    <row r="5586" spans="1:6">
      <c r="A5586" s="39">
        <f>A5585</f>
        <v>46048</v>
      </c>
      <c r="B5586" s="40"/>
      <c r="C5586" s="40"/>
      <c r="D5586" s="41"/>
      <c r="E5586" s="43">
        <f>C5586</f>
        <v>0</v>
      </c>
      <c r="F5586" s="42"/>
    </row>
    <row r="5587" spans="1:6">
      <c r="A5587" s="39">
        <f>A5586</f>
        <v>46048</v>
      </c>
      <c r="B5587" s="40"/>
      <c r="C5587" s="40"/>
      <c r="D5587" s="41"/>
      <c r="E5587" s="43">
        <f>C5587</f>
        <v>0</v>
      </c>
      <c r="F5587" s="42"/>
    </row>
    <row r="5588" spans="1:6">
      <c r="A5588" s="39">
        <f>A5587</f>
        <v>46048</v>
      </c>
      <c r="B5588" s="40"/>
      <c r="C5588" s="40"/>
      <c r="D5588" s="41"/>
      <c r="E5588" s="43">
        <f>C5588</f>
        <v>0</v>
      </c>
      <c r="F5588" s="42"/>
    </row>
    <row r="5589" spans="1:6">
      <c r="A5589" s="39">
        <f>A5588</f>
        <v>46048</v>
      </c>
      <c r="B5589" s="40"/>
      <c r="C5589" s="40"/>
      <c r="D5589" s="41"/>
      <c r="E5589" s="43">
        <f>C5589</f>
        <v>0</v>
      </c>
      <c r="F5589" s="42"/>
    </row>
    <row r="5590" spans="1:6">
      <c r="A5590" s="39">
        <f>A5589</f>
        <v>46048</v>
      </c>
      <c r="B5590" s="40"/>
      <c r="C5590" s="40"/>
      <c r="D5590" s="41"/>
      <c r="E5590" s="43">
        <f>C5590</f>
        <v>0</v>
      </c>
      <c r="F5590" s="42"/>
    </row>
    <row r="5591" spans="1:6">
      <c r="A5591" s="39">
        <f>A5590</f>
        <v>46048</v>
      </c>
      <c r="B5591" s="40"/>
      <c r="C5591" s="40"/>
      <c r="D5591" s="41"/>
      <c r="E5591" s="43">
        <f>C5591</f>
        <v>0</v>
      </c>
      <c r="F5591" s="42"/>
    </row>
    <row r="5592" spans="1:6">
      <c r="A5592" s="39">
        <f>A5591</f>
        <v>46048</v>
      </c>
      <c r="B5592" s="40"/>
      <c r="C5592" s="40"/>
      <c r="D5592" s="41"/>
      <c r="E5592" s="43">
        <f>C5592</f>
        <v>0</v>
      </c>
      <c r="F5592" s="42"/>
    </row>
    <row r="5593" spans="1:6">
      <c r="A5593" s="39">
        <f>A5592</f>
        <v>46048</v>
      </c>
      <c r="B5593" s="40"/>
      <c r="C5593" s="40"/>
      <c r="D5593" s="41"/>
      <c r="E5593" s="43">
        <f>C5593</f>
        <v>0</v>
      </c>
      <c r="F5593" s="42"/>
    </row>
    <row r="5594" spans="1:6">
      <c r="A5594" s="39">
        <f>A5593</f>
        <v>46048</v>
      </c>
      <c r="B5594" s="40"/>
      <c r="C5594" s="40"/>
      <c r="D5594" s="41"/>
      <c r="E5594" s="43">
        <f>C5594</f>
        <v>0</v>
      </c>
      <c r="F5594" s="42"/>
    </row>
    <row r="5595" spans="1:6">
      <c r="A5595" s="39">
        <f>A5594</f>
        <v>46048</v>
      </c>
      <c r="B5595" s="40"/>
      <c r="C5595" s="40"/>
      <c r="D5595" s="41"/>
      <c r="E5595" s="43">
        <f>C5595</f>
        <v>0</v>
      </c>
      <c r="F5595" s="42"/>
    </row>
    <row r="5596" spans="1:6">
      <c r="A5596" s="39">
        <f>A5595</f>
        <v>46048</v>
      </c>
      <c r="B5596" s="40"/>
      <c r="C5596" s="40"/>
      <c r="D5596" s="41"/>
      <c r="E5596" s="43">
        <f>C5596</f>
        <v>0</v>
      </c>
      <c r="F5596" s="42"/>
    </row>
    <row r="5597" spans="1:6">
      <c r="A5597" s="39">
        <f>A5596</f>
        <v>46048</v>
      </c>
      <c r="B5597" s="40"/>
      <c r="C5597" s="40"/>
      <c r="D5597" s="41"/>
      <c r="E5597" s="43">
        <f>C5597</f>
        <v>0</v>
      </c>
      <c r="F5597" s="42"/>
    </row>
    <row r="5598" spans="1:6">
      <c r="A5598" s="39">
        <f>A5597</f>
        <v>46048</v>
      </c>
      <c r="B5598" s="40"/>
      <c r="C5598" s="40"/>
      <c r="D5598" s="41"/>
      <c r="E5598" s="43">
        <f>C5598</f>
        <v>0</v>
      </c>
      <c r="F5598" s="42"/>
    </row>
    <row r="5599" spans="1:6">
      <c r="A5599" s="39">
        <f>A5598</f>
        <v>46048</v>
      </c>
      <c r="B5599" s="40"/>
      <c r="C5599" s="40"/>
      <c r="D5599" s="41"/>
      <c r="E5599" s="43">
        <f>C5599</f>
        <v>0</v>
      </c>
      <c r="F5599" s="42"/>
    </row>
    <row r="5600" spans="1:6">
      <c r="A5600" s="39">
        <f>A5599</f>
        <v>46048</v>
      </c>
      <c r="B5600" s="40"/>
      <c r="C5600" s="40"/>
      <c r="D5600" s="41"/>
      <c r="E5600" s="43">
        <f>C5600</f>
        <v>0</v>
      </c>
      <c r="F5600" s="42"/>
    </row>
    <row r="5601" spans="1:6">
      <c r="A5601" s="39">
        <f>A5600</f>
        <v>46048</v>
      </c>
      <c r="B5601" s="40"/>
      <c r="C5601" s="40"/>
      <c r="D5601" s="41"/>
      <c r="E5601" s="43">
        <f>C5601</f>
        <v>0</v>
      </c>
      <c r="F5601" s="42"/>
    </row>
    <row r="5602" spans="1:6">
      <c r="A5602" s="39">
        <f>A5601</f>
        <v>46048</v>
      </c>
      <c r="B5602" s="40"/>
      <c r="C5602" s="40"/>
      <c r="D5602" s="41"/>
      <c r="E5602" s="43">
        <f>C5602</f>
        <v>0</v>
      </c>
      <c r="F5602" s="42"/>
    </row>
    <row r="5603" spans="1:6">
      <c r="A5603" s="39">
        <f>A5602</f>
        <v>46048</v>
      </c>
      <c r="B5603" s="40"/>
      <c r="C5603" s="40"/>
      <c r="D5603" s="41"/>
      <c r="E5603" s="43">
        <f>C5603</f>
        <v>0</v>
      </c>
      <c r="F5603" s="42"/>
    </row>
    <row r="5604" spans="1:6">
      <c r="A5604" s="39">
        <f>A5603</f>
        <v>46048</v>
      </c>
      <c r="B5604" s="40"/>
      <c r="C5604" s="40"/>
      <c r="D5604" s="41"/>
      <c r="E5604" s="43">
        <f>C5604</f>
        <v>0</v>
      </c>
      <c r="F5604" s="42"/>
    </row>
    <row r="5605" spans="1:6">
      <c r="A5605" s="39">
        <f>A5604</f>
        <v>46048</v>
      </c>
      <c r="B5605" s="40"/>
      <c r="C5605" s="40"/>
      <c r="D5605" s="41"/>
      <c r="E5605" s="43">
        <f>C5605</f>
        <v>0</v>
      </c>
      <c r="F5605" s="42"/>
    </row>
    <row r="5606" spans="1:6">
      <c r="A5606" s="39">
        <f>A5605</f>
        <v>46048</v>
      </c>
      <c r="B5606" s="40"/>
      <c r="C5606" s="40"/>
      <c r="D5606" s="41"/>
      <c r="E5606" s="43">
        <f>C5606</f>
        <v>0</v>
      </c>
      <c r="F5606" s="42"/>
    </row>
    <row r="5607" spans="1:6">
      <c r="A5607" s="39">
        <f>A5606</f>
        <v>46048</v>
      </c>
      <c r="B5607" s="40"/>
      <c r="C5607" s="40"/>
      <c r="D5607" s="41"/>
      <c r="E5607" s="43">
        <f>C5607</f>
        <v>0</v>
      </c>
      <c r="F5607" s="42"/>
    </row>
    <row r="5608" spans="1:6">
      <c r="A5608" s="39">
        <f>A5607</f>
        <v>46048</v>
      </c>
      <c r="B5608" s="40"/>
      <c r="C5608" s="40"/>
      <c r="D5608" s="41"/>
      <c r="E5608" s="43">
        <f>C5608</f>
        <v>0</v>
      </c>
      <c r="F5608" s="42"/>
    </row>
    <row r="5609" spans="1:6">
      <c r="A5609" s="39">
        <f>A5608</f>
        <v>46048</v>
      </c>
      <c r="B5609" s="40"/>
      <c r="C5609" s="40"/>
      <c r="D5609" s="41"/>
      <c r="E5609" s="43">
        <f>C5609</f>
        <v>0</v>
      </c>
      <c r="F5609" s="42"/>
    </row>
    <row r="5610" spans="1:6">
      <c r="A5610" s="39">
        <f>A5609</f>
        <v>46048</v>
      </c>
      <c r="B5610" s="40"/>
      <c r="C5610" s="40"/>
      <c r="D5610" s="41"/>
      <c r="E5610" s="43">
        <f>C5610</f>
        <v>0</v>
      </c>
      <c r="F5610" s="42"/>
    </row>
    <row r="5611" spans="1:6">
      <c r="A5611" s="39">
        <f>A5610</f>
        <v>46048</v>
      </c>
      <c r="B5611" s="40"/>
      <c r="C5611" s="40"/>
      <c r="D5611" s="41"/>
      <c r="E5611" s="43">
        <f>C5611</f>
        <v>0</v>
      </c>
      <c r="F5611" s="42"/>
    </row>
    <row r="5612" spans="1:6">
      <c r="A5612" s="39">
        <f>A5611</f>
        <v>46048</v>
      </c>
      <c r="B5612" s="40"/>
      <c r="C5612" s="40"/>
      <c r="D5612" s="41"/>
      <c r="E5612" s="43">
        <f>C5612</f>
        <v>0</v>
      </c>
      <c r="F5612" s="42"/>
    </row>
    <row r="5613" spans="1:6">
      <c r="A5613" s="39">
        <f>A5612</f>
        <v>46048</v>
      </c>
      <c r="B5613" s="40"/>
      <c r="C5613" s="40"/>
      <c r="D5613" s="41"/>
      <c r="E5613" s="43">
        <f>C5613</f>
        <v>0</v>
      </c>
      <c r="F5613" s="42"/>
    </row>
    <row r="5614" spans="1:6">
      <c r="A5614" s="39">
        <f>A5613</f>
        <v>46048</v>
      </c>
      <c r="B5614" s="40"/>
      <c r="C5614" s="40"/>
      <c r="D5614" s="41"/>
      <c r="E5614" s="43">
        <f>C5614</f>
        <v>0</v>
      </c>
      <c r="F5614" s="42"/>
    </row>
    <row r="5615" spans="1:6">
      <c r="A5615" s="39">
        <f>A5614</f>
        <v>46048</v>
      </c>
      <c r="B5615" s="40"/>
      <c r="C5615" s="40"/>
      <c r="D5615" s="41"/>
      <c r="E5615" s="43">
        <f>C5615</f>
        <v>0</v>
      </c>
      <c r="F5615" s="42"/>
    </row>
    <row r="5616" spans="1:6">
      <c r="A5616" s="39">
        <f>A5615</f>
        <v>46048</v>
      </c>
      <c r="B5616" s="40"/>
      <c r="C5616" s="40"/>
      <c r="D5616" s="41"/>
      <c r="E5616" s="43">
        <f>C5616</f>
        <v>0</v>
      </c>
      <c r="F5616" s="42"/>
    </row>
    <row r="5617" spans="1:6">
      <c r="A5617" s="39">
        <f>A5616</f>
        <v>46048</v>
      </c>
      <c r="B5617" s="40"/>
      <c r="C5617" s="40"/>
      <c r="D5617" s="41"/>
      <c r="E5617" s="43">
        <f>C5617</f>
        <v>0</v>
      </c>
      <c r="F5617" s="42"/>
    </row>
    <row r="5618" spans="1:6">
      <c r="A5618" s="39">
        <f>A5617</f>
        <v>46048</v>
      </c>
      <c r="B5618" s="40"/>
      <c r="C5618" s="40"/>
      <c r="D5618" s="41"/>
      <c r="E5618" s="43">
        <f>C5618</f>
        <v>0</v>
      </c>
      <c r="F5618" s="42"/>
    </row>
    <row r="5619" spans="1:6">
      <c r="A5619" s="39">
        <f>A5618</f>
        <v>46048</v>
      </c>
      <c r="B5619" s="40"/>
      <c r="C5619" s="40"/>
      <c r="D5619" s="41"/>
      <c r="E5619" s="43">
        <f>C5619</f>
        <v>0</v>
      </c>
      <c r="F5619" s="42"/>
    </row>
    <row r="5620" spans="1:6">
      <c r="A5620" s="39">
        <f>A5619</f>
        <v>46048</v>
      </c>
      <c r="B5620" s="40"/>
      <c r="C5620" s="40"/>
      <c r="D5620" s="41"/>
      <c r="E5620" s="43">
        <f>C5620</f>
        <v>0</v>
      </c>
      <c r="F5620" s="42"/>
    </row>
    <row r="5621" spans="1:6">
      <c r="A5621" s="39">
        <f>A5620</f>
        <v>46048</v>
      </c>
      <c r="B5621" s="40"/>
      <c r="C5621" s="40"/>
      <c r="D5621" s="41"/>
      <c r="E5621" s="43">
        <f>C5621</f>
        <v>0</v>
      </c>
      <c r="F5621" s="42"/>
    </row>
    <row r="5622" spans="1:6">
      <c r="A5622" s="39">
        <f>A5621</f>
        <v>46048</v>
      </c>
      <c r="B5622" s="40"/>
      <c r="C5622" s="40"/>
      <c r="D5622" s="41"/>
      <c r="E5622" s="43">
        <f>C5622</f>
        <v>0</v>
      </c>
      <c r="F5622" s="42"/>
    </row>
    <row r="5623" spans="1:6">
      <c r="A5623" s="39">
        <f>A5622</f>
        <v>46048</v>
      </c>
      <c r="B5623" s="40"/>
      <c r="C5623" s="40"/>
      <c r="D5623" s="41"/>
      <c r="E5623" s="43">
        <f>C5623</f>
        <v>0</v>
      </c>
      <c r="F5623" s="42"/>
    </row>
    <row r="5624" spans="1:6">
      <c r="A5624" s="39">
        <f>A5623</f>
        <v>46048</v>
      </c>
      <c r="B5624" s="40"/>
      <c r="C5624" s="40"/>
      <c r="D5624" s="41"/>
      <c r="E5624" s="43">
        <f>C5624</f>
        <v>0</v>
      </c>
      <c r="F5624" s="42"/>
    </row>
    <row r="5625" spans="1:6">
      <c r="A5625" s="39">
        <f>A5624</f>
        <v>46048</v>
      </c>
      <c r="B5625" s="40"/>
      <c r="C5625" s="40"/>
      <c r="D5625" s="41"/>
      <c r="E5625" s="43">
        <f>C5625</f>
        <v>0</v>
      </c>
      <c r="F5625" s="42"/>
    </row>
    <row r="5626" spans="1:6">
      <c r="A5626" s="39">
        <f>A5625</f>
        <v>46048</v>
      </c>
      <c r="B5626" s="40"/>
      <c r="C5626" s="40"/>
      <c r="D5626" s="41"/>
      <c r="E5626" s="43">
        <f>C5626</f>
        <v>0</v>
      </c>
      <c r="F5626" s="42"/>
    </row>
    <row r="5627" spans="1:6">
      <c r="A5627" s="39">
        <f>A5626</f>
        <v>46048</v>
      </c>
      <c r="B5627" s="40"/>
      <c r="C5627" s="40"/>
      <c r="D5627" s="41"/>
      <c r="E5627" s="43">
        <f>C5627</f>
        <v>0</v>
      </c>
      <c r="F5627" s="42"/>
    </row>
    <row r="5628" spans="1:6">
      <c r="A5628" s="39">
        <f>A5627</f>
        <v>46048</v>
      </c>
      <c r="B5628" s="40"/>
      <c r="C5628" s="40"/>
      <c r="D5628" s="41"/>
      <c r="E5628" s="43">
        <f>C5628</f>
        <v>0</v>
      </c>
      <c r="F5628" s="42"/>
    </row>
    <row r="5629" spans="1:6">
      <c r="A5629" s="39">
        <f>A5628</f>
        <v>46048</v>
      </c>
      <c r="B5629" s="40"/>
      <c r="C5629" s="40"/>
      <c r="D5629" s="41"/>
      <c r="E5629" s="43">
        <f>C5629</f>
        <v>0</v>
      </c>
      <c r="F5629" s="42"/>
    </row>
    <row r="5630" spans="1:6">
      <c r="A5630" s="39">
        <f>A5629</f>
        <v>46048</v>
      </c>
      <c r="B5630" s="40"/>
      <c r="C5630" s="40"/>
      <c r="D5630" s="41"/>
      <c r="E5630" s="43">
        <f>C5630</f>
        <v>0</v>
      </c>
      <c r="F5630" s="42"/>
    </row>
    <row r="5631" spans="1:6">
      <c r="A5631" s="39">
        <f>A5630</f>
        <v>46048</v>
      </c>
      <c r="B5631" s="40"/>
      <c r="C5631" s="40"/>
      <c r="D5631" s="41"/>
      <c r="E5631" s="43">
        <f>C5631</f>
        <v>0</v>
      </c>
      <c r="F5631" s="42"/>
    </row>
    <row r="5632" spans="1:6">
      <c r="A5632" s="39">
        <f>A5631</f>
        <v>46048</v>
      </c>
      <c r="B5632" s="40"/>
      <c r="C5632" s="40"/>
      <c r="D5632" s="41"/>
      <c r="E5632" s="43">
        <f>C5632</f>
        <v>0</v>
      </c>
      <c r="F5632" s="42"/>
    </row>
    <row r="5633" spans="1:6">
      <c r="A5633" s="39">
        <f>A5632</f>
        <v>46048</v>
      </c>
      <c r="B5633" s="40"/>
      <c r="C5633" s="40"/>
      <c r="D5633" s="41"/>
      <c r="E5633" s="43">
        <f>C5633</f>
        <v>0</v>
      </c>
      <c r="F5633" s="42"/>
    </row>
    <row r="5634" spans="1:6">
      <c r="A5634" s="39">
        <f>A5633</f>
        <v>46048</v>
      </c>
      <c r="B5634" s="40"/>
      <c r="C5634" s="40"/>
      <c r="D5634" s="41"/>
      <c r="E5634" s="43">
        <f>C5634</f>
        <v>0</v>
      </c>
      <c r="F5634" s="42"/>
    </row>
    <row r="5635" spans="1:6">
      <c r="A5635" s="39">
        <f>A5634</f>
        <v>46048</v>
      </c>
      <c r="B5635" s="40"/>
      <c r="C5635" s="40"/>
      <c r="D5635" s="41"/>
      <c r="E5635" s="43">
        <f>C5635</f>
        <v>0</v>
      </c>
      <c r="F5635" s="42"/>
    </row>
    <row r="5636" spans="1:6">
      <c r="A5636" s="39">
        <f>A5635</f>
        <v>46048</v>
      </c>
      <c r="B5636" s="40"/>
      <c r="C5636" s="40"/>
      <c r="D5636" s="41"/>
      <c r="E5636" s="43">
        <f>C5636</f>
        <v>0</v>
      </c>
      <c r="F5636" s="42"/>
    </row>
    <row r="5637" spans="1:6">
      <c r="A5637" s="39">
        <f>A5636</f>
        <v>46048</v>
      </c>
      <c r="B5637" s="40"/>
      <c r="C5637" s="40"/>
      <c r="D5637" s="41"/>
      <c r="E5637" s="43">
        <f>C5637</f>
        <v>0</v>
      </c>
      <c r="F5637" s="42"/>
    </row>
    <row r="5638" spans="1:6">
      <c r="A5638" s="39">
        <f>A5637</f>
        <v>46048</v>
      </c>
      <c r="B5638" s="40"/>
      <c r="C5638" s="40"/>
      <c r="D5638" s="41"/>
      <c r="E5638" s="43">
        <f>C5638</f>
        <v>0</v>
      </c>
      <c r="F5638" s="42"/>
    </row>
    <row r="5639" spans="1:6">
      <c r="A5639" s="39">
        <f>A5638</f>
        <v>46048</v>
      </c>
      <c r="B5639" s="40"/>
      <c r="C5639" s="40"/>
      <c r="D5639" s="41"/>
      <c r="E5639" s="43">
        <f>C5639</f>
        <v>0</v>
      </c>
      <c r="F5639" s="42"/>
    </row>
    <row r="5640" spans="1:6">
      <c r="A5640" s="39">
        <f>A5639</f>
        <v>46048</v>
      </c>
      <c r="B5640" s="40"/>
      <c r="C5640" s="40"/>
      <c r="D5640" s="41"/>
      <c r="E5640" s="43">
        <f>C5640</f>
        <v>0</v>
      </c>
      <c r="F5640" s="42"/>
    </row>
    <row r="5641" spans="1:6">
      <c r="A5641" s="39">
        <f>A5640</f>
        <v>46048</v>
      </c>
      <c r="B5641" s="40"/>
      <c r="C5641" s="40"/>
      <c r="D5641" s="41"/>
      <c r="E5641" s="43">
        <f>C5641</f>
        <v>0</v>
      </c>
      <c r="F5641" s="42"/>
    </row>
    <row r="5642" spans="1:6">
      <c r="A5642" s="39">
        <f>A5641</f>
        <v>46048</v>
      </c>
      <c r="B5642" s="40"/>
      <c r="C5642" s="40"/>
      <c r="D5642" s="41"/>
      <c r="E5642" s="43">
        <f>C5642</f>
        <v>0</v>
      </c>
      <c r="F5642" s="42"/>
    </row>
    <row r="5643" spans="1:6">
      <c r="A5643" s="39">
        <f>A5642</f>
        <v>46048</v>
      </c>
      <c r="B5643" s="40"/>
      <c r="C5643" s="40"/>
      <c r="D5643" s="41"/>
      <c r="E5643" s="43">
        <f>C5643</f>
        <v>0</v>
      </c>
      <c r="F5643" s="42"/>
    </row>
    <row r="5644" spans="1:6">
      <c r="A5644" s="39">
        <f>A5643</f>
        <v>46048</v>
      </c>
      <c r="B5644" s="40"/>
      <c r="C5644" s="40"/>
      <c r="D5644" s="41"/>
      <c r="E5644" s="43">
        <f>C5644</f>
        <v>0</v>
      </c>
      <c r="F5644" s="42"/>
    </row>
    <row r="5645" spans="1:6">
      <c r="A5645" s="39">
        <f>A5644</f>
        <v>46048</v>
      </c>
      <c r="B5645" s="40"/>
      <c r="C5645" s="40"/>
      <c r="D5645" s="41"/>
      <c r="E5645" s="43">
        <f>C5645</f>
        <v>0</v>
      </c>
      <c r="F5645" s="42"/>
    </row>
    <row r="5646" spans="1:6">
      <c r="A5646" s="39">
        <f>A5645</f>
        <v>46048</v>
      </c>
      <c r="B5646" s="40"/>
      <c r="C5646" s="40"/>
      <c r="D5646" s="41"/>
      <c r="E5646" s="43">
        <f>C5646</f>
        <v>0</v>
      </c>
      <c r="F5646" s="42"/>
    </row>
    <row r="5647" spans="1:6">
      <c r="A5647" s="39">
        <f>A5646</f>
        <v>46048</v>
      </c>
      <c r="B5647" s="40"/>
      <c r="C5647" s="40"/>
      <c r="D5647" s="41"/>
      <c r="E5647" s="43">
        <f>C5647</f>
        <v>0</v>
      </c>
      <c r="F5647" s="42"/>
    </row>
    <row r="5648" spans="1:6">
      <c r="A5648" s="39">
        <f>A5647</f>
        <v>46048</v>
      </c>
      <c r="B5648" s="40"/>
      <c r="C5648" s="40"/>
      <c r="D5648" s="41"/>
      <c r="E5648" s="43">
        <f>C5648</f>
        <v>0</v>
      </c>
      <c r="F5648" s="42"/>
    </row>
    <row r="5649" spans="1:6">
      <c r="A5649" s="39">
        <f>A5648</f>
        <v>46048</v>
      </c>
      <c r="B5649" s="40"/>
      <c r="C5649" s="40"/>
      <c r="D5649" s="41"/>
      <c r="E5649" s="43">
        <f>C5649</f>
        <v>0</v>
      </c>
      <c r="F5649" s="42"/>
    </row>
    <row r="5650" spans="1:6">
      <c r="A5650" s="39">
        <f>A5649</f>
        <v>46048</v>
      </c>
      <c r="B5650" s="40"/>
      <c r="C5650" s="40"/>
      <c r="D5650" s="41"/>
      <c r="E5650" s="43">
        <f>C5650</f>
        <v>0</v>
      </c>
      <c r="F5650" s="42"/>
    </row>
    <row r="5651" spans="1:6">
      <c r="A5651" s="39">
        <f>A5650</f>
        <v>46048</v>
      </c>
      <c r="B5651" s="40"/>
      <c r="C5651" s="40"/>
      <c r="D5651" s="41"/>
      <c r="E5651" s="43">
        <f>C5651</f>
        <v>0</v>
      </c>
      <c r="F5651" s="42"/>
    </row>
    <row r="5652" spans="1:6">
      <c r="A5652" s="39">
        <f>A5651</f>
        <v>46048</v>
      </c>
      <c r="B5652" s="40"/>
      <c r="C5652" s="40"/>
      <c r="D5652" s="41"/>
      <c r="E5652" s="43">
        <f>C5652</f>
        <v>0</v>
      </c>
      <c r="F5652" s="42"/>
    </row>
    <row r="5653" spans="1:6">
      <c r="A5653" s="39">
        <f>A5652</f>
        <v>46048</v>
      </c>
      <c r="B5653" s="40"/>
      <c r="C5653" s="40"/>
      <c r="D5653" s="41"/>
      <c r="E5653" s="43">
        <f>C5653</f>
        <v>0</v>
      </c>
      <c r="F5653" s="42"/>
    </row>
    <row r="5654" spans="1:6">
      <c r="A5654" s="39">
        <f>A5653</f>
        <v>46048</v>
      </c>
      <c r="B5654" s="40"/>
      <c r="C5654" s="40"/>
      <c r="D5654" s="41"/>
      <c r="E5654" s="43">
        <f>C5654</f>
        <v>0</v>
      </c>
      <c r="F5654" s="42"/>
    </row>
    <row r="5655" spans="1:6">
      <c r="A5655" s="39">
        <f>A5654</f>
        <v>46048</v>
      </c>
      <c r="B5655" s="40"/>
      <c r="C5655" s="40"/>
      <c r="D5655" s="41"/>
      <c r="E5655" s="43">
        <f>C5655</f>
        <v>0</v>
      </c>
      <c r="F5655" s="42"/>
    </row>
    <row r="5656" spans="1:6">
      <c r="A5656" s="39">
        <f>A5655</f>
        <v>46048</v>
      </c>
      <c r="B5656" s="40"/>
      <c r="C5656" s="40"/>
      <c r="D5656" s="41"/>
      <c r="E5656" s="43">
        <f>C5656</f>
        <v>0</v>
      </c>
      <c r="F5656" s="42"/>
    </row>
    <row r="5657" spans="1:6">
      <c r="A5657" s="39">
        <f>A5656</f>
        <v>46048</v>
      </c>
      <c r="B5657" s="40"/>
      <c r="C5657" s="40"/>
      <c r="D5657" s="41"/>
      <c r="E5657" s="43">
        <f>C5657</f>
        <v>0</v>
      </c>
      <c r="F5657" s="42"/>
    </row>
    <row r="5658" spans="1:6">
      <c r="A5658" s="39">
        <f>A5657</f>
        <v>46048</v>
      </c>
      <c r="B5658" s="40"/>
      <c r="C5658" s="40"/>
      <c r="D5658" s="41"/>
      <c r="E5658" s="43">
        <f>C5658</f>
        <v>0</v>
      </c>
      <c r="F5658" s="42"/>
    </row>
    <row r="5659" spans="1:6">
      <c r="A5659" s="39">
        <f>A5658</f>
        <v>46048</v>
      </c>
      <c r="B5659" s="40"/>
      <c r="C5659" s="40"/>
      <c r="D5659" s="41"/>
      <c r="E5659" s="43">
        <f>C5659</f>
        <v>0</v>
      </c>
      <c r="F5659" s="42"/>
    </row>
    <row r="5660" spans="1:6">
      <c r="A5660" s="39">
        <f>A5659</f>
        <v>46048</v>
      </c>
      <c r="B5660" s="40"/>
      <c r="C5660" s="40"/>
      <c r="D5660" s="41"/>
      <c r="E5660" s="43">
        <f>C5660</f>
        <v>0</v>
      </c>
      <c r="F5660" s="42"/>
    </row>
    <row r="5661" spans="1:6">
      <c r="A5661" s="39">
        <f>A5660</f>
        <v>46048</v>
      </c>
      <c r="B5661" s="40"/>
      <c r="C5661" s="40"/>
      <c r="D5661" s="41"/>
      <c r="E5661" s="43">
        <f>C5661</f>
        <v>0</v>
      </c>
      <c r="F5661" s="42"/>
    </row>
    <row r="5662" spans="1:6">
      <c r="A5662" s="39">
        <f>A5661</f>
        <v>46048</v>
      </c>
      <c r="B5662" s="40"/>
      <c r="C5662" s="40"/>
      <c r="D5662" s="41"/>
      <c r="E5662" s="43">
        <f>C5662</f>
        <v>0</v>
      </c>
      <c r="F5662" s="42"/>
    </row>
    <row r="5663" spans="1:6">
      <c r="A5663" s="39">
        <f>A5662</f>
        <v>46048</v>
      </c>
      <c r="B5663" s="40"/>
      <c r="C5663" s="40"/>
      <c r="D5663" s="41"/>
      <c r="E5663" s="43">
        <f>C5663</f>
        <v>0</v>
      </c>
      <c r="F5663" s="42"/>
    </row>
    <row r="5664" spans="1:6">
      <c r="A5664" s="39">
        <f>A5663</f>
        <v>46048</v>
      </c>
      <c r="B5664" s="40"/>
      <c r="C5664" s="40"/>
      <c r="D5664" s="41"/>
      <c r="E5664" s="43">
        <f>C5664</f>
        <v>0</v>
      </c>
      <c r="F5664" s="42"/>
    </row>
    <row r="5665" spans="1:6">
      <c r="A5665" s="39">
        <f>A5664</f>
        <v>46048</v>
      </c>
      <c r="B5665" s="40"/>
      <c r="C5665" s="40"/>
      <c r="D5665" s="41"/>
      <c r="E5665" s="43">
        <f>C5665</f>
        <v>0</v>
      </c>
      <c r="F5665" s="42"/>
    </row>
    <row r="5666" spans="1:6">
      <c r="A5666" s="39">
        <f>A5665</f>
        <v>46048</v>
      </c>
      <c r="B5666" s="40"/>
      <c r="C5666" s="40"/>
      <c r="D5666" s="41"/>
      <c r="E5666" s="43">
        <f>C5666</f>
        <v>0</v>
      </c>
      <c r="F5666" s="42"/>
    </row>
    <row r="5667" spans="1:6">
      <c r="A5667" s="39">
        <f>A5666</f>
        <v>46048</v>
      </c>
      <c r="B5667" s="40"/>
      <c r="C5667" s="40"/>
      <c r="D5667" s="41"/>
      <c r="E5667" s="43">
        <f>C5667</f>
        <v>0</v>
      </c>
      <c r="F5667" s="42"/>
    </row>
    <row r="5668" spans="1:6">
      <c r="A5668" s="39">
        <f>A5667</f>
        <v>46048</v>
      </c>
      <c r="B5668" s="40"/>
      <c r="C5668" s="40"/>
      <c r="D5668" s="41"/>
      <c r="E5668" s="43">
        <f>C5668</f>
        <v>0</v>
      </c>
      <c r="F5668" s="42"/>
    </row>
    <row r="5669" spans="1:6">
      <c r="A5669" s="39">
        <f>A5668</f>
        <v>46048</v>
      </c>
      <c r="B5669" s="40"/>
      <c r="C5669" s="40"/>
      <c r="D5669" s="41"/>
      <c r="E5669" s="43">
        <f>C5669</f>
        <v>0</v>
      </c>
      <c r="F5669" s="42"/>
    </row>
    <row r="5670" spans="1:6">
      <c r="A5670" s="39">
        <f>A5669</f>
        <v>46048</v>
      </c>
      <c r="B5670" s="40"/>
      <c r="C5670" s="40"/>
      <c r="D5670" s="41"/>
      <c r="E5670" s="43">
        <f>C5670</f>
        <v>0</v>
      </c>
      <c r="F5670" s="42"/>
    </row>
    <row r="5671" spans="1:6">
      <c r="A5671" s="39">
        <f>A5670</f>
        <v>46048</v>
      </c>
      <c r="B5671" s="40"/>
      <c r="C5671" s="40"/>
      <c r="D5671" s="41"/>
      <c r="E5671" s="43">
        <f>C5671</f>
        <v>0</v>
      </c>
      <c r="F5671" s="42"/>
    </row>
    <row r="5672" spans="1:6">
      <c r="A5672" s="39">
        <f>A5671</f>
        <v>46048</v>
      </c>
      <c r="B5672" s="40"/>
      <c r="C5672" s="40"/>
      <c r="D5672" s="41"/>
      <c r="E5672" s="43">
        <f>C5672</f>
        <v>0</v>
      </c>
      <c r="F5672" s="42"/>
    </row>
    <row r="5673" spans="1:6">
      <c r="A5673" s="39">
        <f>A5672</f>
        <v>46048</v>
      </c>
      <c r="B5673" s="40"/>
      <c r="C5673" s="40"/>
      <c r="D5673" s="41"/>
      <c r="E5673" s="43">
        <f>C5673</f>
        <v>0</v>
      </c>
      <c r="F5673" s="42"/>
    </row>
    <row r="5674" spans="1:6">
      <c r="A5674" s="39">
        <f>A5673</f>
        <v>46048</v>
      </c>
      <c r="B5674" s="40"/>
      <c r="C5674" s="40"/>
      <c r="D5674" s="41"/>
      <c r="E5674" s="43">
        <f>C5674</f>
        <v>0</v>
      </c>
      <c r="F5674" s="42"/>
    </row>
    <row r="5675" spans="1:6">
      <c r="A5675" s="39">
        <f>A5674</f>
        <v>46048</v>
      </c>
      <c r="B5675" s="40"/>
      <c r="C5675" s="40"/>
      <c r="D5675" s="41"/>
      <c r="E5675" s="43">
        <f>C5675</f>
        <v>0</v>
      </c>
      <c r="F5675" s="42"/>
    </row>
    <row r="5676" spans="1:6">
      <c r="A5676" s="39">
        <f>A5675</f>
        <v>46048</v>
      </c>
      <c r="B5676" s="40"/>
      <c r="C5676" s="40"/>
      <c r="D5676" s="41"/>
      <c r="E5676" s="43">
        <f>C5676</f>
        <v>0</v>
      </c>
      <c r="F5676" s="42"/>
    </row>
    <row r="5677" spans="1:6">
      <c r="A5677" s="39">
        <f>A5676</f>
        <v>46048</v>
      </c>
      <c r="B5677" s="40"/>
      <c r="C5677" s="40"/>
      <c r="D5677" s="41"/>
      <c r="E5677" s="43">
        <f>C5677</f>
        <v>0</v>
      </c>
      <c r="F5677" s="42"/>
    </row>
    <row r="5678" spans="1:6">
      <c r="A5678" s="39">
        <f>A5677</f>
        <v>46048</v>
      </c>
      <c r="B5678" s="40"/>
      <c r="C5678" s="40"/>
      <c r="D5678" s="41"/>
      <c r="E5678" s="43">
        <f>C5678</f>
        <v>0</v>
      </c>
      <c r="F5678" s="42"/>
    </row>
    <row r="5679" spans="1:6">
      <c r="A5679" s="39">
        <f>A5678</f>
        <v>46048</v>
      </c>
      <c r="B5679" s="40"/>
      <c r="C5679" s="40"/>
      <c r="D5679" s="41"/>
      <c r="E5679" s="43">
        <f>C5679</f>
        <v>0</v>
      </c>
      <c r="F5679" s="42"/>
    </row>
    <row r="5680" spans="1:6">
      <c r="A5680" s="39">
        <f>A5679</f>
        <v>46048</v>
      </c>
      <c r="B5680" s="40"/>
      <c r="C5680" s="40"/>
      <c r="D5680" s="41"/>
      <c r="E5680" s="43">
        <f>C5680</f>
        <v>0</v>
      </c>
      <c r="F5680" s="42"/>
    </row>
    <row r="5681" spans="1:6">
      <c r="A5681" s="39">
        <f>A5680</f>
        <v>46048</v>
      </c>
      <c r="B5681" s="40"/>
      <c r="C5681" s="40"/>
      <c r="D5681" s="41"/>
      <c r="E5681" s="43">
        <f>C5681</f>
        <v>0</v>
      </c>
      <c r="F5681" s="42"/>
    </row>
    <row r="5682" spans="1:6">
      <c r="A5682" s="39">
        <f>A5681</f>
        <v>46048</v>
      </c>
      <c r="B5682" s="40"/>
      <c r="C5682" s="40"/>
      <c r="D5682" s="41"/>
      <c r="E5682" s="43">
        <f>C5682</f>
        <v>0</v>
      </c>
      <c r="F5682" s="42"/>
    </row>
    <row r="5683" spans="1:6">
      <c r="A5683" s="39">
        <f>A5682</f>
        <v>46048</v>
      </c>
      <c r="B5683" s="40"/>
      <c r="C5683" s="40"/>
      <c r="D5683" s="41"/>
      <c r="E5683" s="43">
        <f>C5683</f>
        <v>0</v>
      </c>
      <c r="F5683" s="42"/>
    </row>
    <row r="5684" spans="1:6">
      <c r="A5684" s="39">
        <f>A5683</f>
        <v>46048</v>
      </c>
      <c r="B5684" s="40"/>
      <c r="C5684" s="40"/>
      <c r="D5684" s="41"/>
      <c r="E5684" s="43">
        <f>C5684</f>
        <v>0</v>
      </c>
      <c r="F5684" s="42"/>
    </row>
    <row r="5685" spans="1:6">
      <c r="A5685" s="39">
        <f>A5684</f>
        <v>46048</v>
      </c>
      <c r="B5685" s="40"/>
      <c r="C5685" s="40"/>
      <c r="D5685" s="41"/>
      <c r="E5685" s="43">
        <f>C5685</f>
        <v>0</v>
      </c>
      <c r="F5685" s="42"/>
    </row>
    <row r="5686" spans="1:6">
      <c r="A5686" s="39">
        <f>A5685</f>
        <v>46048</v>
      </c>
      <c r="B5686" s="40"/>
      <c r="C5686" s="40"/>
      <c r="D5686" s="41"/>
      <c r="E5686" s="43">
        <f>C5686</f>
        <v>0</v>
      </c>
      <c r="F5686" s="42"/>
    </row>
    <row r="5687" spans="1:6">
      <c r="A5687" s="39">
        <f>A5686</f>
        <v>46048</v>
      </c>
      <c r="B5687" s="40"/>
      <c r="C5687" s="40"/>
      <c r="D5687" s="41"/>
      <c r="E5687" s="43">
        <f>C5687</f>
        <v>0</v>
      </c>
      <c r="F5687" s="42"/>
    </row>
    <row r="5688" spans="1:6">
      <c r="A5688" s="39">
        <f>A5687</f>
        <v>46048</v>
      </c>
      <c r="B5688" s="40"/>
      <c r="C5688" s="40"/>
      <c r="D5688" s="41"/>
      <c r="E5688" s="43">
        <f>C5688</f>
        <v>0</v>
      </c>
      <c r="F5688" s="42"/>
    </row>
    <row r="5689" spans="1:6">
      <c r="A5689" s="39">
        <f>A5688</f>
        <v>46048</v>
      </c>
      <c r="B5689" s="40"/>
      <c r="C5689" s="40"/>
      <c r="D5689" s="41"/>
      <c r="E5689" s="43">
        <f>C5689</f>
        <v>0</v>
      </c>
      <c r="F5689" s="42"/>
    </row>
    <row r="5690" spans="1:6">
      <c r="A5690" s="39">
        <f>A5689</f>
        <v>46048</v>
      </c>
      <c r="B5690" s="40"/>
      <c r="C5690" s="40"/>
      <c r="D5690" s="41"/>
      <c r="E5690" s="43">
        <f>C5690</f>
        <v>0</v>
      </c>
      <c r="F5690" s="42"/>
    </row>
    <row r="5691" spans="1:6">
      <c r="A5691" s="39">
        <f>A5690</f>
        <v>46048</v>
      </c>
      <c r="B5691" s="40"/>
      <c r="C5691" s="40"/>
      <c r="D5691" s="41"/>
      <c r="E5691" s="43">
        <f>C5691</f>
        <v>0</v>
      </c>
      <c r="F5691" s="42"/>
    </row>
    <row r="5692" spans="1:6">
      <c r="A5692" s="39">
        <f>A5691</f>
        <v>46048</v>
      </c>
      <c r="B5692" s="40"/>
      <c r="C5692" s="40"/>
      <c r="D5692" s="41"/>
      <c r="E5692" s="43">
        <f>C5692</f>
        <v>0</v>
      </c>
      <c r="F5692" s="42"/>
    </row>
    <row r="5693" spans="1:6">
      <c r="A5693" s="39">
        <f>A5692</f>
        <v>46048</v>
      </c>
      <c r="B5693" s="40"/>
      <c r="C5693" s="40"/>
      <c r="D5693" s="41"/>
      <c r="E5693" s="43">
        <f>C5693</f>
        <v>0</v>
      </c>
      <c r="F5693" s="42"/>
    </row>
    <row r="5694" spans="1:6">
      <c r="A5694" s="39">
        <f>A5693</f>
        <v>46048</v>
      </c>
      <c r="B5694" s="40"/>
      <c r="C5694" s="40"/>
      <c r="D5694" s="41"/>
      <c r="E5694" s="43">
        <f>C5694</f>
        <v>0</v>
      </c>
      <c r="F5694" s="42"/>
    </row>
    <row r="5695" spans="1:6">
      <c r="A5695" s="39">
        <f>A5694</f>
        <v>46048</v>
      </c>
      <c r="B5695" s="40"/>
      <c r="C5695" s="40"/>
      <c r="D5695" s="41"/>
      <c r="E5695" s="43">
        <f>C5695</f>
        <v>0</v>
      </c>
      <c r="F5695" s="42"/>
    </row>
    <row r="5696" spans="1:6">
      <c r="A5696" s="39">
        <f>A5695</f>
        <v>46048</v>
      </c>
      <c r="B5696" s="40"/>
      <c r="C5696" s="40"/>
      <c r="D5696" s="41"/>
      <c r="E5696" s="43">
        <f>C5696</f>
        <v>0</v>
      </c>
      <c r="F5696" s="42"/>
    </row>
    <row r="5697" spans="1:6">
      <c r="A5697" s="39">
        <f>A5696</f>
        <v>46048</v>
      </c>
      <c r="B5697" s="40"/>
      <c r="C5697" s="40"/>
      <c r="D5697" s="41"/>
      <c r="E5697" s="43">
        <f>C5697</f>
        <v>0</v>
      </c>
      <c r="F5697" s="42"/>
    </row>
    <row r="5698" spans="1:6">
      <c r="A5698" s="39">
        <f>A5697</f>
        <v>46048</v>
      </c>
      <c r="B5698" s="40"/>
      <c r="C5698" s="40"/>
      <c r="D5698" s="41"/>
      <c r="E5698" s="43">
        <f>C5698</f>
        <v>0</v>
      </c>
      <c r="F5698" s="42"/>
    </row>
    <row r="5699" spans="1:6">
      <c r="A5699" s="39">
        <f>A5698</f>
        <v>46048</v>
      </c>
      <c r="B5699" s="40"/>
      <c r="C5699" s="40"/>
      <c r="D5699" s="41"/>
      <c r="E5699" s="43">
        <f>C5699</f>
        <v>0</v>
      </c>
      <c r="F5699" s="42"/>
    </row>
    <row r="5700" spans="1:6">
      <c r="A5700" s="39">
        <f>A5699</f>
        <v>46048</v>
      </c>
      <c r="B5700" s="40"/>
      <c r="C5700" s="40"/>
      <c r="D5700" s="41"/>
      <c r="E5700" s="43">
        <f>C5700</f>
        <v>0</v>
      </c>
      <c r="F5700" s="42"/>
    </row>
    <row r="5701" spans="1:6">
      <c r="A5701" s="39">
        <f>A5700</f>
        <v>46048</v>
      </c>
      <c r="B5701" s="40"/>
      <c r="C5701" s="40"/>
      <c r="D5701" s="41"/>
      <c r="E5701" s="43">
        <f>C5701</f>
        <v>0</v>
      </c>
      <c r="F5701" s="42"/>
    </row>
    <row r="5702" spans="1:6">
      <c r="A5702" s="39">
        <f>A5701</f>
        <v>46048</v>
      </c>
      <c r="B5702" s="40"/>
      <c r="C5702" s="40"/>
      <c r="D5702" s="41"/>
      <c r="E5702" s="43">
        <f>C5702</f>
        <v>0</v>
      </c>
      <c r="F5702" s="42"/>
    </row>
    <row r="5703" spans="1:6">
      <c r="A5703" s="39">
        <f>A5702</f>
        <v>46048</v>
      </c>
      <c r="B5703" s="40"/>
      <c r="C5703" s="40"/>
      <c r="D5703" s="41"/>
      <c r="E5703" s="43">
        <f>C5703</f>
        <v>0</v>
      </c>
      <c r="F5703" s="42"/>
    </row>
    <row r="5704" spans="1:6">
      <c r="A5704" s="39">
        <f>A5703</f>
        <v>46048</v>
      </c>
      <c r="B5704" s="40"/>
      <c r="C5704" s="40"/>
      <c r="D5704" s="41"/>
      <c r="E5704" s="43">
        <f>C5704</f>
        <v>0</v>
      </c>
      <c r="F5704" s="42"/>
    </row>
    <row r="5705" spans="1:6">
      <c r="A5705" s="39">
        <f>A5704</f>
        <v>46048</v>
      </c>
      <c r="B5705" s="40"/>
      <c r="C5705" s="40"/>
      <c r="D5705" s="41"/>
      <c r="E5705" s="43">
        <f>C5705</f>
        <v>0</v>
      </c>
      <c r="F5705" s="42"/>
    </row>
    <row r="5706" spans="1:6">
      <c r="A5706" s="39">
        <f>A5705</f>
        <v>46048</v>
      </c>
      <c r="B5706" s="40"/>
      <c r="C5706" s="40"/>
      <c r="D5706" s="41"/>
      <c r="E5706" s="43">
        <f>C5706</f>
        <v>0</v>
      </c>
      <c r="F5706" s="42"/>
    </row>
    <row r="5707" spans="1:6">
      <c r="A5707" s="39">
        <f>A5706</f>
        <v>46048</v>
      </c>
      <c r="B5707" s="40"/>
      <c r="C5707" s="40"/>
      <c r="D5707" s="41"/>
      <c r="E5707" s="43">
        <f>C5707</f>
        <v>0</v>
      </c>
      <c r="F5707" s="42"/>
    </row>
    <row r="5708" spans="1:6">
      <c r="A5708" s="39">
        <f>A5707</f>
        <v>46048</v>
      </c>
      <c r="B5708" s="40"/>
      <c r="C5708" s="40"/>
      <c r="D5708" s="41"/>
      <c r="E5708" s="43">
        <f>C5708</f>
        <v>0</v>
      </c>
      <c r="F5708" s="42"/>
    </row>
    <row r="5709" spans="1:6">
      <c r="A5709" s="39">
        <f>A5708</f>
        <v>46048</v>
      </c>
      <c r="B5709" s="40"/>
      <c r="C5709" s="40"/>
      <c r="D5709" s="41"/>
      <c r="E5709" s="43">
        <f>C5709</f>
        <v>0</v>
      </c>
      <c r="F5709" s="42"/>
    </row>
    <row r="5710" spans="1:6">
      <c r="A5710" s="39">
        <f>A5709</f>
        <v>46048</v>
      </c>
      <c r="B5710" s="40"/>
      <c r="C5710" s="40"/>
      <c r="D5710" s="41"/>
      <c r="E5710" s="43">
        <f>C5710</f>
        <v>0</v>
      </c>
      <c r="F5710" s="42"/>
    </row>
    <row r="5711" spans="1:6">
      <c r="A5711" s="39">
        <f>A5710</f>
        <v>46048</v>
      </c>
      <c r="B5711" s="40"/>
      <c r="C5711" s="40"/>
      <c r="D5711" s="41"/>
      <c r="E5711" s="43">
        <f>C5711</f>
        <v>0</v>
      </c>
      <c r="F5711" s="42"/>
    </row>
    <row r="5712" spans="1:6">
      <c r="A5712" s="39">
        <f>A5711</f>
        <v>46048</v>
      </c>
      <c r="B5712" s="40"/>
      <c r="C5712" s="40"/>
      <c r="D5712" s="41"/>
      <c r="E5712" s="43">
        <f>C5712</f>
        <v>0</v>
      </c>
      <c r="F5712" s="42"/>
    </row>
    <row r="5713" spans="1:6">
      <c r="A5713" s="39">
        <f>A5712</f>
        <v>46048</v>
      </c>
      <c r="B5713" s="40"/>
      <c r="C5713" s="40"/>
      <c r="D5713" s="41"/>
      <c r="E5713" s="43">
        <f>C5713</f>
        <v>0</v>
      </c>
      <c r="F5713" s="42"/>
    </row>
    <row r="5714" spans="1:6">
      <c r="A5714" s="39">
        <f>A5713</f>
        <v>46048</v>
      </c>
      <c r="B5714" s="40"/>
      <c r="C5714" s="40"/>
      <c r="D5714" s="41"/>
      <c r="E5714" s="43">
        <f>C5714</f>
        <v>0</v>
      </c>
      <c r="F5714" s="42"/>
    </row>
    <row r="5715" spans="1:6">
      <c r="A5715" s="39">
        <f>A5714</f>
        <v>46048</v>
      </c>
      <c r="B5715" s="40"/>
      <c r="C5715" s="40"/>
      <c r="D5715" s="41"/>
      <c r="E5715" s="43">
        <f>C5715</f>
        <v>0</v>
      </c>
      <c r="F5715" s="42"/>
    </row>
    <row r="5716" spans="1:6">
      <c r="A5716" s="39">
        <f>A5715</f>
        <v>46048</v>
      </c>
      <c r="B5716" s="40"/>
      <c r="C5716" s="40"/>
      <c r="D5716" s="41"/>
      <c r="E5716" s="43">
        <f>C5716</f>
        <v>0</v>
      </c>
      <c r="F5716" s="42"/>
    </row>
    <row r="5717" spans="1:6">
      <c r="A5717" s="39">
        <f>A5716</f>
        <v>46048</v>
      </c>
      <c r="B5717" s="40"/>
      <c r="C5717" s="40"/>
      <c r="D5717" s="41"/>
      <c r="E5717" s="43">
        <f>C5717</f>
        <v>0</v>
      </c>
      <c r="F5717" s="42"/>
    </row>
    <row r="5718" spans="1:6">
      <c r="A5718" s="39">
        <f>A5717</f>
        <v>46048</v>
      </c>
      <c r="B5718" s="40"/>
      <c r="C5718" s="40"/>
      <c r="D5718" s="41"/>
      <c r="E5718" s="43">
        <f>C5718</f>
        <v>0</v>
      </c>
      <c r="F5718" s="42"/>
    </row>
    <row r="5719" spans="1:6">
      <c r="A5719" s="39">
        <f>A5718</f>
        <v>46048</v>
      </c>
      <c r="B5719" s="40"/>
      <c r="C5719" s="40"/>
      <c r="D5719" s="41"/>
      <c r="E5719" s="43">
        <f>C5719</f>
        <v>0</v>
      </c>
      <c r="F5719" s="42"/>
    </row>
    <row r="5720" spans="1:6">
      <c r="A5720" s="39">
        <f>A5719</f>
        <v>46048</v>
      </c>
      <c r="B5720" s="40"/>
      <c r="C5720" s="40"/>
      <c r="D5720" s="41"/>
      <c r="E5720" s="43">
        <f>C5720</f>
        <v>0</v>
      </c>
      <c r="F5720" s="42"/>
    </row>
    <row r="5721" spans="1:6">
      <c r="A5721" s="39">
        <f>A5720</f>
        <v>46048</v>
      </c>
      <c r="B5721" s="40"/>
      <c r="C5721" s="40"/>
      <c r="D5721" s="41"/>
      <c r="E5721" s="43">
        <f>C5721</f>
        <v>0</v>
      </c>
      <c r="F5721" s="42"/>
    </row>
    <row r="5722" spans="1:6">
      <c r="A5722" s="39">
        <f>A5721</f>
        <v>46048</v>
      </c>
      <c r="B5722" s="40"/>
      <c r="C5722" s="40"/>
      <c r="D5722" s="41"/>
      <c r="E5722" s="43">
        <f>C5722</f>
        <v>0</v>
      </c>
      <c r="F5722" s="42"/>
    </row>
    <row r="5723" spans="1:6">
      <c r="A5723" s="39">
        <f>A5722</f>
        <v>46048</v>
      </c>
      <c r="B5723" s="40"/>
      <c r="C5723" s="40"/>
      <c r="D5723" s="41"/>
      <c r="E5723" s="43">
        <f>C5723</f>
        <v>0</v>
      </c>
      <c r="F5723" s="42"/>
    </row>
    <row r="5724" spans="1:6">
      <c r="A5724" s="39">
        <f>A5723</f>
        <v>46048</v>
      </c>
      <c r="B5724" s="40"/>
      <c r="C5724" s="40"/>
      <c r="D5724" s="41"/>
      <c r="E5724" s="43">
        <f>C5724</f>
        <v>0</v>
      </c>
      <c r="F5724" s="42"/>
    </row>
    <row r="5725" spans="1:6">
      <c r="A5725" s="39">
        <f>A5724</f>
        <v>46048</v>
      </c>
      <c r="B5725" s="40"/>
      <c r="C5725" s="40"/>
      <c r="D5725" s="41"/>
      <c r="E5725" s="43">
        <f>C5725</f>
        <v>0</v>
      </c>
      <c r="F5725" s="42"/>
    </row>
    <row r="5726" spans="1:6">
      <c r="A5726" s="39">
        <f>A5725</f>
        <v>46048</v>
      </c>
      <c r="B5726" s="40"/>
      <c r="C5726" s="40"/>
      <c r="D5726" s="41"/>
      <c r="E5726" s="43">
        <f>C5726</f>
        <v>0</v>
      </c>
      <c r="F5726" s="42"/>
    </row>
    <row r="5727" spans="1:6">
      <c r="A5727" s="39">
        <f>A5726</f>
        <v>46048</v>
      </c>
      <c r="B5727" s="40"/>
      <c r="C5727" s="40"/>
      <c r="D5727" s="41"/>
      <c r="E5727" s="43">
        <f>C5727</f>
        <v>0</v>
      </c>
      <c r="F5727" s="42"/>
    </row>
    <row r="5728" spans="1:6">
      <c r="A5728" s="39">
        <f>A5727</f>
        <v>46048</v>
      </c>
      <c r="B5728" s="40"/>
      <c r="C5728" s="40"/>
      <c r="D5728" s="41"/>
      <c r="E5728" s="43">
        <f>C5728</f>
        <v>0</v>
      </c>
      <c r="F5728" s="42"/>
    </row>
    <row r="5729" spans="1:6">
      <c r="A5729" s="39">
        <f>A5728</f>
        <v>46048</v>
      </c>
      <c r="B5729" s="40"/>
      <c r="C5729" s="40"/>
      <c r="D5729" s="41"/>
      <c r="E5729" s="43">
        <f>C5729</f>
        <v>0</v>
      </c>
      <c r="F5729" s="42"/>
    </row>
    <row r="5730" spans="1:6">
      <c r="A5730" s="39">
        <f>A5729</f>
        <v>46048</v>
      </c>
      <c r="B5730" s="40"/>
      <c r="C5730" s="40"/>
      <c r="D5730" s="41"/>
      <c r="E5730" s="43">
        <f>C5730</f>
        <v>0</v>
      </c>
      <c r="F5730" s="42"/>
    </row>
    <row r="5731" spans="1:6">
      <c r="A5731" s="39">
        <f>A5730</f>
        <v>46048</v>
      </c>
      <c r="B5731" s="40"/>
      <c r="C5731" s="40"/>
      <c r="D5731" s="41"/>
      <c r="E5731" s="43">
        <f>C5731</f>
        <v>0</v>
      </c>
      <c r="F5731" s="42"/>
    </row>
    <row r="5732" spans="1:6">
      <c r="A5732" s="39">
        <f>A5731</f>
        <v>46048</v>
      </c>
      <c r="B5732" s="40"/>
      <c r="C5732" s="40"/>
      <c r="D5732" s="41"/>
      <c r="E5732" s="43">
        <f>C5732</f>
        <v>0</v>
      </c>
      <c r="F5732" s="42"/>
    </row>
    <row r="5733" spans="1:6">
      <c r="A5733" s="39">
        <f>A5732</f>
        <v>46048</v>
      </c>
      <c r="B5733" s="40"/>
      <c r="C5733" s="40"/>
      <c r="D5733" s="41"/>
      <c r="E5733" s="43">
        <f>C5733</f>
        <v>0</v>
      </c>
      <c r="F5733" s="42"/>
    </row>
    <row r="5734" spans="1:6">
      <c r="A5734" s="39">
        <f>A5733</f>
        <v>46048</v>
      </c>
      <c r="B5734" s="40"/>
      <c r="C5734" s="40"/>
      <c r="D5734" s="41"/>
      <c r="E5734" s="43">
        <f>C5734</f>
        <v>0</v>
      </c>
      <c r="F5734" s="42"/>
    </row>
    <row r="5735" spans="1:6">
      <c r="A5735" s="39">
        <f>A5734</f>
        <v>46048</v>
      </c>
      <c r="B5735" s="40"/>
      <c r="C5735" s="40"/>
      <c r="D5735" s="41"/>
      <c r="E5735" s="43">
        <f>C5735</f>
        <v>0</v>
      </c>
      <c r="F5735" s="42"/>
    </row>
    <row r="5736" spans="1:6">
      <c r="A5736" s="39">
        <f>A5735</f>
        <v>46048</v>
      </c>
      <c r="B5736" s="40"/>
      <c r="C5736" s="40"/>
      <c r="D5736" s="41"/>
      <c r="E5736" s="43">
        <f>C5736</f>
        <v>0</v>
      </c>
      <c r="F5736" s="42"/>
    </row>
    <row r="5737" spans="1:6">
      <c r="A5737" s="39">
        <f>A5736</f>
        <v>46048</v>
      </c>
      <c r="B5737" s="40"/>
      <c r="C5737" s="40"/>
      <c r="D5737" s="41"/>
      <c r="E5737" s="43">
        <f>C5737</f>
        <v>0</v>
      </c>
      <c r="F5737" s="42"/>
    </row>
    <row r="5738" spans="1:6">
      <c r="A5738" s="39">
        <f>A5737</f>
        <v>46048</v>
      </c>
      <c r="B5738" s="40"/>
      <c r="C5738" s="40"/>
      <c r="D5738" s="41"/>
      <c r="E5738" s="43">
        <f>C5738</f>
        <v>0</v>
      </c>
      <c r="F5738" s="42"/>
    </row>
    <row r="5739" spans="1:6">
      <c r="A5739" s="39">
        <f>A5738</f>
        <v>46048</v>
      </c>
      <c r="B5739" s="40"/>
      <c r="C5739" s="40"/>
      <c r="D5739" s="41"/>
      <c r="E5739" s="43">
        <f>C5739</f>
        <v>0</v>
      </c>
      <c r="F5739" s="42"/>
    </row>
    <row r="5740" spans="1:6">
      <c r="A5740" s="39">
        <f>A5739</f>
        <v>46048</v>
      </c>
      <c r="B5740" s="40"/>
      <c r="C5740" s="40"/>
      <c r="D5740" s="41"/>
      <c r="E5740" s="43">
        <f>C5740</f>
        <v>0</v>
      </c>
      <c r="F5740" s="42"/>
    </row>
    <row r="5741" spans="1:6">
      <c r="A5741" s="39">
        <f>A5740</f>
        <v>46048</v>
      </c>
      <c r="B5741" s="40"/>
      <c r="C5741" s="40"/>
      <c r="D5741" s="41"/>
      <c r="E5741" s="43">
        <f>C5741</f>
        <v>0</v>
      </c>
      <c r="F5741" s="42"/>
    </row>
    <row r="5742" spans="1:6">
      <c r="A5742" s="39">
        <f>A5741</f>
        <v>46048</v>
      </c>
      <c r="B5742" s="40"/>
      <c r="C5742" s="40"/>
      <c r="D5742" s="41"/>
      <c r="E5742" s="43">
        <f>C5742</f>
        <v>0</v>
      </c>
      <c r="F5742" s="42"/>
    </row>
    <row r="5743" spans="1:6">
      <c r="A5743" s="39">
        <f>A5742</f>
        <v>46048</v>
      </c>
      <c r="B5743" s="40"/>
      <c r="C5743" s="40"/>
      <c r="D5743" s="41"/>
      <c r="E5743" s="43">
        <f>C5743</f>
        <v>0</v>
      </c>
      <c r="F5743" s="42"/>
    </row>
    <row r="5744" spans="1:6">
      <c r="A5744" s="39">
        <f>A5743</f>
        <v>46048</v>
      </c>
      <c r="B5744" s="40"/>
      <c r="C5744" s="40"/>
      <c r="D5744" s="41"/>
      <c r="E5744" s="43">
        <f>C5744</f>
        <v>0</v>
      </c>
      <c r="F5744" s="42"/>
    </row>
    <row r="5745" spans="1:6">
      <c r="A5745" s="39">
        <f>A5744</f>
        <v>46048</v>
      </c>
      <c r="B5745" s="40"/>
      <c r="C5745" s="40"/>
      <c r="D5745" s="41"/>
      <c r="E5745" s="43">
        <f>C5745</f>
        <v>0</v>
      </c>
      <c r="F5745" s="42"/>
    </row>
    <row r="5746" spans="1:6">
      <c r="A5746" s="39">
        <f>A5745</f>
        <v>46048</v>
      </c>
      <c r="B5746" s="40"/>
      <c r="C5746" s="40"/>
      <c r="D5746" s="41"/>
      <c r="E5746" s="43">
        <f>C5746</f>
        <v>0</v>
      </c>
      <c r="F5746" s="42"/>
    </row>
    <row r="5747" spans="1:6">
      <c r="A5747" s="39">
        <f>A5746</f>
        <v>46048</v>
      </c>
      <c r="B5747" s="40"/>
      <c r="C5747" s="40"/>
      <c r="D5747" s="41"/>
      <c r="E5747" s="43">
        <f>C5747</f>
        <v>0</v>
      </c>
      <c r="F5747" s="42"/>
    </row>
    <row r="5748" spans="1:6">
      <c r="A5748" s="39">
        <f>A5747</f>
        <v>46048</v>
      </c>
      <c r="B5748" s="40"/>
      <c r="C5748" s="40"/>
      <c r="D5748" s="41"/>
      <c r="E5748" s="43">
        <f>C5748</f>
        <v>0</v>
      </c>
      <c r="F5748" s="42"/>
    </row>
    <row r="5749" spans="1:6">
      <c r="A5749" s="39">
        <f>A5748</f>
        <v>46048</v>
      </c>
      <c r="B5749" s="40"/>
      <c r="C5749" s="40"/>
      <c r="D5749" s="41"/>
      <c r="E5749" s="43">
        <f>C5749</f>
        <v>0</v>
      </c>
      <c r="F5749" s="42"/>
    </row>
    <row r="5750" spans="1:6">
      <c r="A5750" s="39">
        <f>A5749</f>
        <v>46048</v>
      </c>
      <c r="B5750" s="40"/>
      <c r="C5750" s="40"/>
      <c r="D5750" s="41"/>
      <c r="E5750" s="43">
        <f>C5750</f>
        <v>0</v>
      </c>
      <c r="F5750" s="42"/>
    </row>
    <row r="5751" spans="1:6">
      <c r="A5751" s="39">
        <f>A5750</f>
        <v>46048</v>
      </c>
      <c r="B5751" s="40"/>
      <c r="C5751" s="40"/>
      <c r="D5751" s="41"/>
      <c r="E5751" s="43">
        <f>C5751</f>
        <v>0</v>
      </c>
      <c r="F5751" s="42"/>
    </row>
    <row r="5752" spans="1:6">
      <c r="A5752" s="39">
        <f>A5751</f>
        <v>46048</v>
      </c>
      <c r="B5752" s="40"/>
      <c r="C5752" s="40"/>
      <c r="D5752" s="41"/>
      <c r="E5752" s="43">
        <f>C5752</f>
        <v>0</v>
      </c>
      <c r="F5752" s="42"/>
    </row>
    <row r="5753" spans="1:6">
      <c r="A5753" s="39">
        <f>A5752</f>
        <v>46048</v>
      </c>
      <c r="B5753" s="40"/>
      <c r="C5753" s="40"/>
      <c r="D5753" s="41"/>
      <c r="E5753" s="43">
        <f>C5753</f>
        <v>0</v>
      </c>
      <c r="F5753" s="42"/>
    </row>
    <row r="5754" spans="1:6">
      <c r="A5754" s="39">
        <f>A5753</f>
        <v>46048</v>
      </c>
      <c r="B5754" s="40"/>
      <c r="C5754" s="40"/>
      <c r="D5754" s="41"/>
      <c r="E5754" s="43">
        <f>C5754</f>
        <v>0</v>
      </c>
      <c r="F5754" s="42"/>
    </row>
    <row r="5755" spans="1:6">
      <c r="A5755" s="39">
        <f>A5754</f>
        <v>46048</v>
      </c>
      <c r="B5755" s="40"/>
      <c r="C5755" s="40"/>
      <c r="D5755" s="41"/>
      <c r="E5755" s="43">
        <f>C5755</f>
        <v>0</v>
      </c>
      <c r="F5755" s="42"/>
    </row>
    <row r="5756" spans="1:6">
      <c r="A5756" s="39">
        <f>A5755</f>
        <v>46048</v>
      </c>
      <c r="B5756" s="40"/>
      <c r="C5756" s="40"/>
      <c r="D5756" s="41"/>
      <c r="E5756" s="43">
        <f>C5756</f>
        <v>0</v>
      </c>
      <c r="F5756" s="42"/>
    </row>
    <row r="5757" spans="1:6">
      <c r="A5757" s="39">
        <f>A5756</f>
        <v>46048</v>
      </c>
      <c r="B5757" s="40"/>
      <c r="C5757" s="40"/>
      <c r="D5757" s="41"/>
      <c r="E5757" s="43">
        <f>C5757</f>
        <v>0</v>
      </c>
      <c r="F5757" s="42"/>
    </row>
    <row r="5758" spans="1:6">
      <c r="A5758" s="39">
        <f>A5757</f>
        <v>46048</v>
      </c>
      <c r="B5758" s="40"/>
      <c r="C5758" s="40"/>
      <c r="D5758" s="41"/>
      <c r="E5758" s="43">
        <f>C5758</f>
        <v>0</v>
      </c>
      <c r="F5758" s="42"/>
    </row>
    <row r="5759" spans="1:6">
      <c r="A5759" s="39">
        <f>A5758</f>
        <v>46048</v>
      </c>
      <c r="B5759" s="40"/>
      <c r="C5759" s="40"/>
      <c r="D5759" s="41"/>
      <c r="E5759" s="43">
        <f>C5759</f>
        <v>0</v>
      </c>
      <c r="F5759" s="42"/>
    </row>
    <row r="5760" spans="1:6">
      <c r="A5760" s="39">
        <f>A5759</f>
        <v>46048</v>
      </c>
      <c r="B5760" s="40"/>
      <c r="C5760" s="40"/>
      <c r="D5760" s="41"/>
      <c r="E5760" s="43">
        <f>C5760</f>
        <v>0</v>
      </c>
      <c r="F5760" s="42"/>
    </row>
    <row r="5761" spans="1:6">
      <c r="A5761" s="39">
        <f>A5760</f>
        <v>46048</v>
      </c>
      <c r="B5761" s="40"/>
      <c r="C5761" s="40"/>
      <c r="D5761" s="41"/>
      <c r="E5761" s="43">
        <f>C5761</f>
        <v>0</v>
      </c>
      <c r="F5761" s="42"/>
    </row>
    <row r="5762" spans="1:6">
      <c r="A5762" s="39">
        <f>A5761</f>
        <v>46048</v>
      </c>
      <c r="B5762" s="40"/>
      <c r="C5762" s="40"/>
      <c r="D5762" s="41"/>
      <c r="E5762" s="43">
        <f>C5762</f>
        <v>0</v>
      </c>
      <c r="F5762" s="42"/>
    </row>
    <row r="5763" spans="1:6">
      <c r="A5763" s="39">
        <f>A5762</f>
        <v>46048</v>
      </c>
      <c r="B5763" s="40"/>
      <c r="C5763" s="40"/>
      <c r="D5763" s="41"/>
      <c r="E5763" s="43">
        <f>C5763</f>
        <v>0</v>
      </c>
      <c r="F5763" s="42"/>
    </row>
    <row r="5764" spans="1:6">
      <c r="A5764" s="39">
        <f>A5763</f>
        <v>46048</v>
      </c>
      <c r="B5764" s="40"/>
      <c r="C5764" s="40"/>
      <c r="D5764" s="41"/>
      <c r="E5764" s="43">
        <f>C5764</f>
        <v>0</v>
      </c>
      <c r="F5764" s="42"/>
    </row>
    <row r="5765" spans="1:6">
      <c r="A5765" s="39">
        <f>A5764</f>
        <v>46048</v>
      </c>
      <c r="B5765" s="40"/>
      <c r="C5765" s="40"/>
      <c r="D5765" s="41"/>
      <c r="E5765" s="43">
        <f>C5765</f>
        <v>0</v>
      </c>
      <c r="F5765" s="42"/>
    </row>
    <row r="5766" spans="1:6">
      <c r="A5766" s="39">
        <f>A5765</f>
        <v>46048</v>
      </c>
      <c r="B5766" s="40"/>
      <c r="C5766" s="40"/>
      <c r="D5766" s="41"/>
      <c r="E5766" s="43">
        <f>C5766</f>
        <v>0</v>
      </c>
      <c r="F5766" s="42"/>
    </row>
    <row r="5767" spans="1:6">
      <c r="A5767" s="39">
        <f>A5766</f>
        <v>46048</v>
      </c>
      <c r="B5767" s="40"/>
      <c r="C5767" s="40"/>
      <c r="D5767" s="41"/>
      <c r="E5767" s="43">
        <f>C5767</f>
        <v>0</v>
      </c>
      <c r="F5767" s="42"/>
    </row>
    <row r="5768" spans="1:6">
      <c r="A5768" s="39">
        <f>A5767</f>
        <v>46048</v>
      </c>
      <c r="B5768" s="40"/>
      <c r="C5768" s="40"/>
      <c r="D5768" s="41"/>
      <c r="E5768" s="43">
        <f>C5768</f>
        <v>0</v>
      </c>
      <c r="F5768" s="42"/>
    </row>
    <row r="5769" spans="1:6">
      <c r="A5769" s="39">
        <f>A5768</f>
        <v>46048</v>
      </c>
      <c r="B5769" s="40"/>
      <c r="C5769" s="40"/>
      <c r="D5769" s="41"/>
      <c r="E5769" s="43">
        <f>C5769</f>
        <v>0</v>
      </c>
      <c r="F5769" s="42"/>
    </row>
    <row r="5770" spans="1:6">
      <c r="A5770" s="39">
        <f>A5769</f>
        <v>46048</v>
      </c>
      <c r="B5770" s="40"/>
      <c r="C5770" s="40"/>
      <c r="D5770" s="41"/>
      <c r="E5770" s="43">
        <f>C5770</f>
        <v>0</v>
      </c>
      <c r="F5770" s="42"/>
    </row>
    <row r="5771" spans="1:6">
      <c r="A5771" s="39">
        <f>A5770</f>
        <v>46048</v>
      </c>
      <c r="B5771" s="40"/>
      <c r="C5771" s="40"/>
      <c r="D5771" s="41"/>
      <c r="E5771" s="43">
        <f>C5771</f>
        <v>0</v>
      </c>
      <c r="F5771" s="42"/>
    </row>
    <row r="5772" spans="1:6">
      <c r="A5772" s="39">
        <f>A5771</f>
        <v>46048</v>
      </c>
      <c r="B5772" s="40"/>
      <c r="C5772" s="40"/>
      <c r="D5772" s="41"/>
      <c r="E5772" s="43">
        <f>C5772</f>
        <v>0</v>
      </c>
      <c r="F5772" s="42"/>
    </row>
    <row r="5773" spans="1:6">
      <c r="A5773" s="39">
        <f>A5772</f>
        <v>46048</v>
      </c>
      <c r="B5773" s="40"/>
      <c r="C5773" s="40"/>
      <c r="D5773" s="41"/>
      <c r="E5773" s="43">
        <f>C5773</f>
        <v>0</v>
      </c>
      <c r="F5773" s="42"/>
    </row>
    <row r="5774" spans="1:6">
      <c r="A5774" s="39">
        <f>A5773</f>
        <v>46048</v>
      </c>
      <c r="B5774" s="40"/>
      <c r="C5774" s="40"/>
      <c r="D5774" s="41"/>
      <c r="E5774" s="43">
        <f>C5774</f>
        <v>0</v>
      </c>
      <c r="F5774" s="42"/>
    </row>
    <row r="5775" spans="1:6">
      <c r="A5775" s="39">
        <f>A5774</f>
        <v>46048</v>
      </c>
      <c r="B5775" s="40"/>
      <c r="C5775" s="40"/>
      <c r="D5775" s="41"/>
      <c r="E5775" s="43">
        <f>C5775</f>
        <v>0</v>
      </c>
      <c r="F5775" s="42"/>
    </row>
    <row r="5776" spans="1:6">
      <c r="A5776" s="39">
        <f>A5775</f>
        <v>46048</v>
      </c>
      <c r="B5776" s="40"/>
      <c r="C5776" s="40"/>
      <c r="D5776" s="41"/>
      <c r="E5776" s="43">
        <f>C5776</f>
        <v>0</v>
      </c>
      <c r="F5776" s="42"/>
    </row>
    <row r="5777" spans="1:6">
      <c r="A5777" s="39">
        <f>A5776</f>
        <v>46048</v>
      </c>
      <c r="B5777" s="40"/>
      <c r="C5777" s="40"/>
      <c r="D5777" s="41"/>
      <c r="E5777" s="43">
        <f>C5777</f>
        <v>0</v>
      </c>
      <c r="F5777" s="42"/>
    </row>
    <row r="5778" spans="1:6">
      <c r="A5778" s="39">
        <f>A5777</f>
        <v>46048</v>
      </c>
      <c r="B5778" s="40"/>
      <c r="C5778" s="40"/>
      <c r="D5778" s="41"/>
      <c r="E5778" s="43">
        <f>C5778</f>
        <v>0</v>
      </c>
      <c r="F5778" s="42"/>
    </row>
    <row r="5779" spans="1:6">
      <c r="A5779" s="39">
        <f>A5778</f>
        <v>46048</v>
      </c>
      <c r="B5779" s="40"/>
      <c r="C5779" s="40"/>
      <c r="D5779" s="41"/>
      <c r="E5779" s="43">
        <f>C5779</f>
        <v>0</v>
      </c>
      <c r="F5779" s="42"/>
    </row>
    <row r="5780" spans="1:6">
      <c r="A5780" s="39">
        <f>A5779</f>
        <v>46048</v>
      </c>
      <c r="B5780" s="40"/>
      <c r="C5780" s="40"/>
      <c r="D5780" s="41"/>
      <c r="E5780" s="43">
        <f>C5780</f>
        <v>0</v>
      </c>
      <c r="F5780" s="42"/>
    </row>
    <row r="5781" spans="1:6">
      <c r="A5781" s="39">
        <f>A5780</f>
        <v>46048</v>
      </c>
      <c r="B5781" s="40"/>
      <c r="C5781" s="40"/>
      <c r="D5781" s="41"/>
      <c r="E5781" s="43">
        <f>C5781</f>
        <v>0</v>
      </c>
      <c r="F5781" s="42"/>
    </row>
    <row r="5782" spans="1:6">
      <c r="A5782" s="39">
        <f>A5781</f>
        <v>46048</v>
      </c>
      <c r="B5782" s="40"/>
      <c r="C5782" s="40"/>
      <c r="D5782" s="41"/>
      <c r="E5782" s="43">
        <f>C5782</f>
        <v>0</v>
      </c>
      <c r="F5782" s="42"/>
    </row>
    <row r="5783" spans="1:6">
      <c r="A5783" s="39">
        <f>A5782</f>
        <v>46048</v>
      </c>
      <c r="B5783" s="40"/>
      <c r="C5783" s="40"/>
      <c r="D5783" s="41"/>
      <c r="E5783" s="43">
        <f>C5783</f>
        <v>0</v>
      </c>
      <c r="F5783" s="42"/>
    </row>
    <row r="5784" spans="1:6">
      <c r="A5784" s="39">
        <f>A5783</f>
        <v>46048</v>
      </c>
      <c r="B5784" s="40"/>
      <c r="C5784" s="40"/>
      <c r="D5784" s="41"/>
      <c r="E5784" s="43">
        <f>C5784</f>
        <v>0</v>
      </c>
      <c r="F5784" s="42"/>
    </row>
    <row r="5785" spans="1:6">
      <c r="A5785" s="39">
        <f>A5784</f>
        <v>46048</v>
      </c>
      <c r="B5785" s="40"/>
      <c r="C5785" s="40"/>
      <c r="D5785" s="41"/>
      <c r="E5785" s="43">
        <f>C5785</f>
        <v>0</v>
      </c>
      <c r="F5785" s="42"/>
    </row>
    <row r="5786" spans="1:6">
      <c r="A5786" s="39">
        <f>A5785</f>
        <v>46048</v>
      </c>
      <c r="B5786" s="40"/>
      <c r="C5786" s="40"/>
      <c r="D5786" s="41"/>
      <c r="E5786" s="43">
        <f>C5786</f>
        <v>0</v>
      </c>
      <c r="F5786" s="42"/>
    </row>
    <row r="5787" spans="1:6">
      <c r="A5787" s="39">
        <f>A5786</f>
        <v>46048</v>
      </c>
      <c r="B5787" s="40"/>
      <c r="C5787" s="40"/>
      <c r="D5787" s="41"/>
      <c r="E5787" s="43">
        <f>C5787</f>
        <v>0</v>
      </c>
      <c r="F5787" s="42"/>
    </row>
    <row r="5788" spans="1:6">
      <c r="A5788" s="39">
        <f>A5787</f>
        <v>46048</v>
      </c>
      <c r="B5788" s="40"/>
      <c r="C5788" s="40"/>
      <c r="D5788" s="41"/>
      <c r="E5788" s="43">
        <f>C5788</f>
        <v>0</v>
      </c>
      <c r="F5788" s="42"/>
    </row>
    <row r="5789" spans="1:6">
      <c r="A5789" s="39">
        <f>A5788</f>
        <v>46048</v>
      </c>
      <c r="B5789" s="40"/>
      <c r="C5789" s="40"/>
      <c r="D5789" s="41"/>
      <c r="E5789" s="43">
        <f>C5789</f>
        <v>0</v>
      </c>
      <c r="F5789" s="42"/>
    </row>
    <row r="5790" spans="1:6">
      <c r="A5790" s="39">
        <f>A5789</f>
        <v>46048</v>
      </c>
      <c r="B5790" s="40"/>
      <c r="C5790" s="40"/>
      <c r="D5790" s="41"/>
      <c r="E5790" s="43">
        <f>C5790</f>
        <v>0</v>
      </c>
      <c r="F5790" s="42"/>
    </row>
    <row r="5791" spans="1:6">
      <c r="A5791" s="39">
        <f>A5790</f>
        <v>46048</v>
      </c>
      <c r="B5791" s="40"/>
      <c r="C5791" s="40"/>
      <c r="D5791" s="41"/>
      <c r="E5791" s="43">
        <f>C5791</f>
        <v>0</v>
      </c>
      <c r="F5791" s="42"/>
    </row>
    <row r="5792" spans="1:6">
      <c r="A5792" s="39">
        <f>A5791</f>
        <v>46048</v>
      </c>
      <c r="B5792" s="40"/>
      <c r="C5792" s="40"/>
      <c r="D5792" s="41"/>
      <c r="E5792" s="43">
        <f>C5792</f>
        <v>0</v>
      </c>
      <c r="F5792" s="42"/>
    </row>
    <row r="5793" spans="1:6">
      <c r="A5793" s="39">
        <f>A5792</f>
        <v>46048</v>
      </c>
      <c r="B5793" s="40"/>
      <c r="C5793" s="40"/>
      <c r="D5793" s="41"/>
      <c r="E5793" s="43">
        <f>C5793</f>
        <v>0</v>
      </c>
      <c r="F5793" s="42"/>
    </row>
    <row r="5794" spans="1:6">
      <c r="A5794" s="39">
        <f>A5793</f>
        <v>46048</v>
      </c>
      <c r="B5794" s="40"/>
      <c r="C5794" s="40"/>
      <c r="D5794" s="41"/>
      <c r="E5794" s="43">
        <f>C5794</f>
        <v>0</v>
      </c>
      <c r="F5794" s="42"/>
    </row>
    <row r="5795" spans="1:6">
      <c r="A5795" s="39">
        <f>A5794</f>
        <v>46048</v>
      </c>
      <c r="B5795" s="40"/>
      <c r="C5795" s="40"/>
      <c r="D5795" s="41"/>
      <c r="E5795" s="43">
        <f>C5795</f>
        <v>0</v>
      </c>
      <c r="F5795" s="42"/>
    </row>
    <row r="5796" spans="1:6">
      <c r="A5796" s="39">
        <f>A5795</f>
        <v>46048</v>
      </c>
      <c r="B5796" s="40"/>
      <c r="C5796" s="40"/>
      <c r="D5796" s="41"/>
      <c r="E5796" s="43">
        <f>C5796</f>
        <v>0</v>
      </c>
      <c r="F5796" s="42"/>
    </row>
    <row r="5797" spans="1:6">
      <c r="A5797" s="39">
        <f>A5796</f>
        <v>46048</v>
      </c>
      <c r="B5797" s="40"/>
      <c r="C5797" s="40"/>
      <c r="D5797" s="41"/>
      <c r="E5797" s="43">
        <f>C5797</f>
        <v>0</v>
      </c>
      <c r="F5797" s="42"/>
    </row>
    <row r="5798" spans="1:6">
      <c r="A5798" s="39">
        <f>A5797</f>
        <v>46048</v>
      </c>
      <c r="B5798" s="40"/>
      <c r="C5798" s="40"/>
      <c r="D5798" s="41"/>
      <c r="E5798" s="43">
        <f>C5798</f>
        <v>0</v>
      </c>
      <c r="F5798" s="42"/>
    </row>
    <row r="5799" spans="1:6">
      <c r="A5799" s="39">
        <f>A5798</f>
        <v>46048</v>
      </c>
      <c r="B5799" s="40"/>
      <c r="C5799" s="40"/>
      <c r="D5799" s="41"/>
      <c r="E5799" s="43">
        <f>C5799</f>
        <v>0</v>
      </c>
      <c r="F5799" s="42"/>
    </row>
    <row r="5800" spans="1:6">
      <c r="A5800" s="39">
        <f>A5799</f>
        <v>46048</v>
      </c>
      <c r="B5800" s="40"/>
      <c r="C5800" s="40"/>
      <c r="D5800" s="41"/>
      <c r="E5800" s="43">
        <f>C5800</f>
        <v>0</v>
      </c>
      <c r="F5800" s="42"/>
    </row>
    <row r="5801" spans="1:6">
      <c r="A5801" s="39">
        <f>A5800</f>
        <v>46048</v>
      </c>
      <c r="B5801" s="40"/>
      <c r="C5801" s="40"/>
      <c r="D5801" s="41"/>
      <c r="E5801" s="43">
        <f>C5801</f>
        <v>0</v>
      </c>
      <c r="F5801" s="42"/>
    </row>
    <row r="5802" spans="1:6">
      <c r="A5802" s="39">
        <f>A5801</f>
        <v>46048</v>
      </c>
      <c r="B5802" s="40"/>
      <c r="C5802" s="40"/>
      <c r="D5802" s="41"/>
      <c r="E5802" s="43">
        <f>C5802</f>
        <v>0</v>
      </c>
      <c r="F5802" s="42"/>
    </row>
    <row r="5803" spans="1:6">
      <c r="A5803" s="39">
        <f>A5802</f>
        <v>46048</v>
      </c>
      <c r="B5803" s="40"/>
      <c r="C5803" s="40"/>
      <c r="D5803" s="41"/>
      <c r="E5803" s="43">
        <f>C5803</f>
        <v>0</v>
      </c>
      <c r="F5803" s="42"/>
    </row>
    <row r="5804" spans="1:6">
      <c r="A5804" s="39">
        <f>A5803</f>
        <v>46048</v>
      </c>
      <c r="B5804" s="40"/>
      <c r="C5804" s="40"/>
      <c r="D5804" s="41"/>
      <c r="E5804" s="43">
        <f>C5804</f>
        <v>0</v>
      </c>
      <c r="F5804" s="42"/>
    </row>
    <row r="5805" spans="1:6">
      <c r="A5805" s="39">
        <f>A5804</f>
        <v>46048</v>
      </c>
      <c r="B5805" s="40"/>
      <c r="C5805" s="40"/>
      <c r="D5805" s="41"/>
      <c r="E5805" s="43">
        <f>C5805</f>
        <v>0</v>
      </c>
      <c r="F5805" s="42"/>
    </row>
    <row r="5806" spans="1:6">
      <c r="A5806" s="39">
        <f>A5805</f>
        <v>46048</v>
      </c>
      <c r="B5806" s="40"/>
      <c r="C5806" s="40"/>
      <c r="D5806" s="41"/>
      <c r="E5806" s="43">
        <f>C5806</f>
        <v>0</v>
      </c>
      <c r="F5806" s="42"/>
    </row>
    <row r="5807" spans="1:6">
      <c r="A5807" s="39">
        <f>A5806</f>
        <v>46048</v>
      </c>
      <c r="B5807" s="40"/>
      <c r="C5807" s="40"/>
      <c r="D5807" s="41"/>
      <c r="E5807" s="43">
        <f>C5807</f>
        <v>0</v>
      </c>
      <c r="F5807" s="42"/>
    </row>
    <row r="5808" spans="1:6">
      <c r="A5808" s="39">
        <f>A5807</f>
        <v>46048</v>
      </c>
      <c r="B5808" s="40"/>
      <c r="C5808" s="40"/>
      <c r="D5808" s="41"/>
      <c r="E5808" s="43">
        <f>C5808</f>
        <v>0</v>
      </c>
      <c r="F5808" s="42"/>
    </row>
    <row r="5809" spans="1:6">
      <c r="A5809" s="39">
        <f>A5808</f>
        <v>46048</v>
      </c>
      <c r="B5809" s="40"/>
      <c r="C5809" s="40"/>
      <c r="D5809" s="41"/>
      <c r="E5809" s="43">
        <f>C5809</f>
        <v>0</v>
      </c>
      <c r="F5809" s="42"/>
    </row>
    <row r="5810" spans="1:6">
      <c r="A5810" s="39">
        <f>A5809</f>
        <v>46048</v>
      </c>
      <c r="B5810" s="40"/>
      <c r="C5810" s="40"/>
      <c r="D5810" s="41"/>
      <c r="E5810" s="43">
        <f>C5810</f>
        <v>0</v>
      </c>
      <c r="F5810" s="42"/>
    </row>
    <row r="5811" spans="1:6">
      <c r="A5811" s="39">
        <f>A5810</f>
        <v>46048</v>
      </c>
      <c r="B5811" s="40"/>
      <c r="C5811" s="40"/>
      <c r="D5811" s="41"/>
      <c r="E5811" s="43">
        <f>C5811</f>
        <v>0</v>
      </c>
      <c r="F5811" s="42"/>
    </row>
    <row r="5812" spans="1:6">
      <c r="A5812" s="39">
        <f>A5811</f>
        <v>46048</v>
      </c>
      <c r="B5812" s="40"/>
      <c r="C5812" s="40"/>
      <c r="D5812" s="41"/>
      <c r="E5812" s="43">
        <f>C5812</f>
        <v>0</v>
      </c>
      <c r="F5812" s="42"/>
    </row>
    <row r="5813" spans="1:6">
      <c r="A5813" s="39">
        <f>A5812</f>
        <v>46048</v>
      </c>
      <c r="B5813" s="40"/>
      <c r="C5813" s="40"/>
      <c r="D5813" s="41"/>
      <c r="E5813" s="43">
        <f>C5813</f>
        <v>0</v>
      </c>
      <c r="F5813" s="42"/>
    </row>
    <row r="5814" spans="1:6">
      <c r="A5814" s="39">
        <f>A5813</f>
        <v>46048</v>
      </c>
      <c r="B5814" s="40"/>
      <c r="C5814" s="40"/>
      <c r="D5814" s="41"/>
      <c r="E5814" s="43">
        <f>C5814</f>
        <v>0</v>
      </c>
      <c r="F5814" s="42"/>
    </row>
    <row r="5815" spans="1:6">
      <c r="A5815" s="39">
        <f>A5814</f>
        <v>46048</v>
      </c>
      <c r="B5815" s="40"/>
      <c r="C5815" s="40"/>
      <c r="D5815" s="41"/>
      <c r="E5815" s="43">
        <f>C5815</f>
        <v>0</v>
      </c>
      <c r="F5815" s="42"/>
    </row>
    <row r="5816" spans="1:6">
      <c r="A5816" s="39">
        <f>A5815</f>
        <v>46048</v>
      </c>
      <c r="B5816" s="40"/>
      <c r="C5816" s="40"/>
      <c r="D5816" s="41"/>
      <c r="E5816" s="43">
        <f>C5816</f>
        <v>0</v>
      </c>
      <c r="F5816" s="42"/>
    </row>
    <row r="5817" spans="1:6">
      <c r="A5817" s="39">
        <f>A5816</f>
        <v>46048</v>
      </c>
      <c r="B5817" s="40"/>
      <c r="C5817" s="40"/>
      <c r="D5817" s="41"/>
      <c r="E5817" s="43">
        <f>C5817</f>
        <v>0</v>
      </c>
      <c r="F5817" s="42"/>
    </row>
    <row r="5818" spans="1:6">
      <c r="A5818" s="39">
        <f>A5817</f>
        <v>46048</v>
      </c>
      <c r="B5818" s="40"/>
      <c r="C5818" s="40"/>
      <c r="D5818" s="41"/>
      <c r="E5818" s="43">
        <f>C5818</f>
        <v>0</v>
      </c>
      <c r="F5818" s="42"/>
    </row>
    <row r="5819" spans="1:6">
      <c r="A5819" s="39">
        <f>A5818</f>
        <v>46048</v>
      </c>
      <c r="B5819" s="40"/>
      <c r="C5819" s="40"/>
      <c r="D5819" s="41"/>
      <c r="E5819" s="43">
        <f>C5819</f>
        <v>0</v>
      </c>
      <c r="F5819" s="42"/>
    </row>
    <row r="5820" spans="1:6">
      <c r="A5820" s="39">
        <f>A5819</f>
        <v>46048</v>
      </c>
      <c r="B5820" s="40"/>
      <c r="C5820" s="40"/>
      <c r="D5820" s="41"/>
      <c r="E5820" s="43">
        <f>C5820</f>
        <v>0</v>
      </c>
      <c r="F5820" s="42"/>
    </row>
    <row r="5821" spans="1:6">
      <c r="A5821" s="39">
        <f>A5820</f>
        <v>46048</v>
      </c>
      <c r="B5821" s="40"/>
      <c r="C5821" s="40"/>
      <c r="D5821" s="41"/>
      <c r="E5821" s="43">
        <f>C5821</f>
        <v>0</v>
      </c>
      <c r="F5821" s="42"/>
    </row>
    <row r="5822" spans="1:6">
      <c r="A5822" s="39">
        <f>A5821</f>
        <v>46048</v>
      </c>
      <c r="B5822" s="40"/>
      <c r="C5822" s="40"/>
      <c r="D5822" s="41"/>
      <c r="E5822" s="43">
        <f>C5822</f>
        <v>0</v>
      </c>
      <c r="F5822" s="42"/>
    </row>
    <row r="5823" spans="1:6">
      <c r="A5823" s="39">
        <f>A5822</f>
        <v>46048</v>
      </c>
      <c r="B5823" s="40"/>
      <c r="C5823" s="40"/>
      <c r="D5823" s="41"/>
      <c r="E5823" s="43">
        <f>C5823</f>
        <v>0</v>
      </c>
      <c r="F5823" s="42"/>
    </row>
    <row r="5824" spans="1:6">
      <c r="A5824" s="39">
        <f>A5823</f>
        <v>46048</v>
      </c>
      <c r="B5824" s="40"/>
      <c r="C5824" s="40"/>
      <c r="D5824" s="41"/>
      <c r="E5824" s="43">
        <f>C5824</f>
        <v>0</v>
      </c>
      <c r="F5824" s="42"/>
    </row>
    <row r="5825" spans="1:6">
      <c r="A5825" s="39">
        <f>A5824</f>
        <v>46048</v>
      </c>
      <c r="B5825" s="40"/>
      <c r="C5825" s="40"/>
      <c r="D5825" s="41"/>
      <c r="E5825" s="43">
        <f>C5825</f>
        <v>0</v>
      </c>
      <c r="F5825" s="42"/>
    </row>
    <row r="5826" spans="1:6">
      <c r="A5826" s="39">
        <f>A5825</f>
        <v>46048</v>
      </c>
      <c r="B5826" s="40"/>
      <c r="C5826" s="40"/>
      <c r="D5826" s="41"/>
      <c r="E5826" s="43">
        <f>C5826</f>
        <v>0</v>
      </c>
      <c r="F5826" s="42"/>
    </row>
    <row r="5827" spans="1:6">
      <c r="A5827" s="39">
        <f>A5826</f>
        <v>46048</v>
      </c>
      <c r="B5827" s="40"/>
      <c r="C5827" s="40"/>
      <c r="D5827" s="41"/>
      <c r="E5827" s="43">
        <f>C5827</f>
        <v>0</v>
      </c>
      <c r="F5827" s="42"/>
    </row>
    <row r="5828" spans="1:6">
      <c r="A5828" s="39">
        <f>A5827</f>
        <v>46048</v>
      </c>
      <c r="B5828" s="40"/>
      <c r="C5828" s="40"/>
      <c r="D5828" s="41"/>
      <c r="E5828" s="43">
        <f>C5828</f>
        <v>0</v>
      </c>
      <c r="F5828" s="42"/>
    </row>
    <row r="5829" spans="1:6">
      <c r="A5829" s="39">
        <f>A5828</f>
        <v>46048</v>
      </c>
      <c r="B5829" s="40"/>
      <c r="C5829" s="40"/>
      <c r="D5829" s="41"/>
      <c r="E5829" s="43">
        <f>C5829</f>
        <v>0</v>
      </c>
      <c r="F5829" s="42"/>
    </row>
    <row r="5830" spans="1:6">
      <c r="A5830" s="39">
        <f>A5829</f>
        <v>46048</v>
      </c>
      <c r="B5830" s="40"/>
      <c r="C5830" s="40"/>
      <c r="D5830" s="41"/>
      <c r="E5830" s="43">
        <f>C5830</f>
        <v>0</v>
      </c>
      <c r="F5830" s="42"/>
    </row>
    <row r="5831" spans="1:6">
      <c r="A5831" s="39">
        <f>A5830</f>
        <v>46048</v>
      </c>
      <c r="B5831" s="40"/>
      <c r="C5831" s="40"/>
      <c r="D5831" s="41"/>
      <c r="E5831" s="43">
        <f>C5831</f>
        <v>0</v>
      </c>
      <c r="F5831" s="42"/>
    </row>
    <row r="5832" spans="1:6">
      <c r="A5832" s="39">
        <f>A5831</f>
        <v>46048</v>
      </c>
      <c r="B5832" s="40"/>
      <c r="C5832" s="40"/>
      <c r="D5832" s="41"/>
      <c r="E5832" s="43">
        <f>C5832</f>
        <v>0</v>
      </c>
      <c r="F5832" s="42"/>
    </row>
    <row r="5833" spans="1:6">
      <c r="A5833" s="39">
        <f>A5832</f>
        <v>46048</v>
      </c>
      <c r="B5833" s="40"/>
      <c r="C5833" s="40"/>
      <c r="D5833" s="41"/>
      <c r="E5833" s="43">
        <f>C5833</f>
        <v>0</v>
      </c>
      <c r="F5833" s="42"/>
    </row>
    <row r="5834" spans="1:6">
      <c r="A5834" s="39">
        <f>A5833</f>
        <v>46048</v>
      </c>
      <c r="B5834" s="40"/>
      <c r="C5834" s="40"/>
      <c r="D5834" s="41"/>
      <c r="E5834" s="43">
        <f>C5834</f>
        <v>0</v>
      </c>
      <c r="F5834" s="42"/>
    </row>
    <row r="5835" spans="1:6">
      <c r="A5835" s="39">
        <f>A5834</f>
        <v>46048</v>
      </c>
      <c r="B5835" s="40"/>
      <c r="C5835" s="40"/>
      <c r="D5835" s="41"/>
      <c r="E5835" s="43">
        <f>C5835</f>
        <v>0</v>
      </c>
      <c r="F5835" s="42"/>
    </row>
    <row r="5836" spans="1:6">
      <c r="A5836" s="39">
        <f>A5835</f>
        <v>46048</v>
      </c>
      <c r="B5836" s="40"/>
      <c r="C5836" s="40"/>
      <c r="D5836" s="41"/>
      <c r="E5836" s="43">
        <f>C5836</f>
        <v>0</v>
      </c>
      <c r="F5836" s="42"/>
    </row>
    <row r="5837" spans="1:6">
      <c r="A5837" s="39">
        <f>A5836</f>
        <v>46048</v>
      </c>
      <c r="B5837" s="40"/>
      <c r="C5837" s="40"/>
      <c r="D5837" s="41"/>
      <c r="E5837" s="43">
        <f>C5837</f>
        <v>0</v>
      </c>
      <c r="F5837" s="42"/>
    </row>
    <row r="5838" spans="1:6">
      <c r="A5838" s="39">
        <f>A5837</f>
        <v>46048</v>
      </c>
      <c r="B5838" s="40"/>
      <c r="C5838" s="40"/>
      <c r="D5838" s="41"/>
      <c r="E5838" s="43">
        <f>C5838</f>
        <v>0</v>
      </c>
      <c r="F5838" s="42"/>
    </row>
    <row r="5839" spans="1:6">
      <c r="A5839" s="39">
        <f>A5838</f>
        <v>46048</v>
      </c>
      <c r="B5839" s="40"/>
      <c r="C5839" s="40"/>
      <c r="D5839" s="41"/>
      <c r="E5839" s="43">
        <f>C5839</f>
        <v>0</v>
      </c>
      <c r="F5839" s="42"/>
    </row>
    <row r="5840" spans="1:6">
      <c r="A5840" s="39">
        <f>A5839</f>
        <v>46048</v>
      </c>
      <c r="B5840" s="40"/>
      <c r="C5840" s="40"/>
      <c r="D5840" s="41"/>
      <c r="E5840" s="43">
        <f>C5840</f>
        <v>0</v>
      </c>
      <c r="F5840" s="42"/>
    </row>
    <row r="5841" spans="1:6">
      <c r="A5841" s="39">
        <f>A5840</f>
        <v>46048</v>
      </c>
      <c r="B5841" s="40"/>
      <c r="C5841" s="40"/>
      <c r="D5841" s="41"/>
      <c r="E5841" s="43">
        <f>C5841</f>
        <v>0</v>
      </c>
      <c r="F5841" s="42"/>
    </row>
    <row r="5842" spans="1:6">
      <c r="A5842" s="39">
        <f>A5841</f>
        <v>46048</v>
      </c>
      <c r="B5842" s="40"/>
      <c r="C5842" s="40"/>
      <c r="D5842" s="41"/>
      <c r="E5842" s="43">
        <f>C5842</f>
        <v>0</v>
      </c>
      <c r="F5842" s="42"/>
    </row>
    <row r="5843" spans="1:6">
      <c r="A5843" s="39">
        <f>A5842</f>
        <v>46048</v>
      </c>
      <c r="B5843" s="40"/>
      <c r="C5843" s="40"/>
      <c r="D5843" s="41"/>
      <c r="E5843" s="43">
        <f>C5843</f>
        <v>0</v>
      </c>
      <c r="F5843" s="42"/>
    </row>
    <row r="5844" spans="1:6">
      <c r="A5844" s="39">
        <f>A5843</f>
        <v>46048</v>
      </c>
      <c r="B5844" s="40"/>
      <c r="C5844" s="40"/>
      <c r="D5844" s="41"/>
      <c r="E5844" s="43">
        <f>C5844</f>
        <v>0</v>
      </c>
      <c r="F5844" s="42"/>
    </row>
    <row r="5845" spans="1:6">
      <c r="A5845" s="39">
        <f>A5844</f>
        <v>46048</v>
      </c>
      <c r="B5845" s="40"/>
      <c r="C5845" s="40"/>
      <c r="D5845" s="41"/>
      <c r="E5845" s="43">
        <f>C5845</f>
        <v>0</v>
      </c>
      <c r="F5845" s="42"/>
    </row>
    <row r="5846" spans="1:6">
      <c r="A5846" s="39">
        <f>A5845</f>
        <v>46048</v>
      </c>
      <c r="B5846" s="40"/>
      <c r="C5846" s="40"/>
      <c r="D5846" s="41"/>
      <c r="E5846" s="43">
        <f>C5846</f>
        <v>0</v>
      </c>
      <c r="F5846" s="42"/>
    </row>
    <row r="5847" spans="1:6">
      <c r="A5847" s="39">
        <f>A5846</f>
        <v>46048</v>
      </c>
      <c r="B5847" s="40"/>
      <c r="C5847" s="40"/>
      <c r="D5847" s="41"/>
      <c r="E5847" s="43">
        <f>C5847</f>
        <v>0</v>
      </c>
      <c r="F5847" s="42"/>
    </row>
    <row r="5848" spans="1:6">
      <c r="A5848" s="39">
        <f>A5847</f>
        <v>46048</v>
      </c>
      <c r="B5848" s="40"/>
      <c r="C5848" s="40"/>
      <c r="D5848" s="41"/>
      <c r="E5848" s="43">
        <f>C5848</f>
        <v>0</v>
      </c>
      <c r="F5848" s="42"/>
    </row>
    <row r="5849" spans="1:6">
      <c r="A5849" s="39">
        <f>A5848</f>
        <v>46048</v>
      </c>
      <c r="B5849" s="40"/>
      <c r="C5849" s="40"/>
      <c r="D5849" s="41"/>
      <c r="E5849" s="43">
        <f>C5849</f>
        <v>0</v>
      </c>
      <c r="F5849" s="42"/>
    </row>
    <row r="5850" spans="1:6">
      <c r="A5850" s="39">
        <f>A5849</f>
        <v>46048</v>
      </c>
      <c r="B5850" s="40"/>
      <c r="C5850" s="40"/>
      <c r="D5850" s="41"/>
      <c r="E5850" s="43">
        <f>C5850</f>
        <v>0</v>
      </c>
      <c r="F5850" s="42"/>
    </row>
    <row r="5851" spans="1:6">
      <c r="A5851" s="39">
        <f>A5850</f>
        <v>46048</v>
      </c>
      <c r="B5851" s="40"/>
      <c r="C5851" s="40"/>
      <c r="D5851" s="41"/>
      <c r="E5851" s="43">
        <f>C5851</f>
        <v>0</v>
      </c>
      <c r="F5851" s="42"/>
    </row>
    <row r="5852" spans="1:6">
      <c r="A5852" s="39">
        <f>A5851</f>
        <v>46048</v>
      </c>
      <c r="B5852" s="40"/>
      <c r="C5852" s="40"/>
      <c r="D5852" s="41"/>
      <c r="E5852" s="43">
        <f>C5852</f>
        <v>0</v>
      </c>
      <c r="F5852" s="42"/>
    </row>
    <row r="5853" spans="1:6">
      <c r="A5853" s="39">
        <f>A5852</f>
        <v>46048</v>
      </c>
      <c r="B5853" s="40"/>
      <c r="C5853" s="40"/>
      <c r="D5853" s="41"/>
      <c r="E5853" s="43">
        <f>C5853</f>
        <v>0</v>
      </c>
      <c r="F5853" s="42"/>
    </row>
    <row r="5854" spans="1:6">
      <c r="A5854" s="39">
        <f>A5853</f>
        <v>46048</v>
      </c>
      <c r="B5854" s="40"/>
      <c r="C5854" s="40"/>
      <c r="D5854" s="41"/>
      <c r="E5854" s="43">
        <f>C5854</f>
        <v>0</v>
      </c>
      <c r="F5854" s="42"/>
    </row>
    <row r="5855" spans="1:6">
      <c r="A5855" s="39">
        <f>A5854</f>
        <v>46048</v>
      </c>
      <c r="B5855" s="40"/>
      <c r="C5855" s="40"/>
      <c r="D5855" s="41"/>
      <c r="E5855" s="43">
        <f>C5855</f>
        <v>0</v>
      </c>
      <c r="F5855" s="42"/>
    </row>
    <row r="5856" spans="1:6">
      <c r="A5856" s="39">
        <f>A5855</f>
        <v>46048</v>
      </c>
      <c r="B5856" s="40"/>
      <c r="C5856" s="40"/>
      <c r="D5856" s="41"/>
      <c r="E5856" s="43">
        <f>C5856</f>
        <v>0</v>
      </c>
      <c r="F5856" s="42"/>
    </row>
    <row r="5857" spans="1:6">
      <c r="A5857" s="39">
        <f>A5856</f>
        <v>46048</v>
      </c>
      <c r="B5857" s="40"/>
      <c r="C5857" s="40"/>
      <c r="D5857" s="41"/>
      <c r="E5857" s="43">
        <f>C5857</f>
        <v>0</v>
      </c>
      <c r="F5857" s="42"/>
    </row>
    <row r="5858" spans="1:6">
      <c r="A5858" s="39">
        <f>A5857</f>
        <v>46048</v>
      </c>
      <c r="B5858" s="40"/>
      <c r="C5858" s="40"/>
      <c r="D5858" s="41"/>
      <c r="E5858" s="43">
        <f>C5858</f>
        <v>0</v>
      </c>
      <c r="F5858" s="42"/>
    </row>
    <row r="5859" spans="1:6">
      <c r="A5859" s="39">
        <f>A5858</f>
        <v>46048</v>
      </c>
      <c r="B5859" s="40"/>
      <c r="C5859" s="40"/>
      <c r="D5859" s="41"/>
      <c r="E5859" s="43">
        <f>C5859</f>
        <v>0</v>
      </c>
      <c r="F5859" s="42"/>
    </row>
    <row r="5860" spans="1:6">
      <c r="A5860" s="39">
        <f>A5859</f>
        <v>46048</v>
      </c>
      <c r="B5860" s="40"/>
      <c r="C5860" s="40"/>
      <c r="D5860" s="41"/>
      <c r="E5860" s="43">
        <f>C5860</f>
        <v>0</v>
      </c>
      <c r="F5860" s="42"/>
    </row>
    <row r="5861" spans="1:6">
      <c r="A5861" s="39">
        <f>A5860</f>
        <v>46048</v>
      </c>
      <c r="B5861" s="40"/>
      <c r="C5861" s="40"/>
      <c r="D5861" s="41"/>
      <c r="E5861" s="43">
        <f>C5861</f>
        <v>0</v>
      </c>
      <c r="F5861" s="42"/>
    </row>
    <row r="5862" spans="1:6">
      <c r="A5862" s="39">
        <f>A5861</f>
        <v>46048</v>
      </c>
      <c r="B5862" s="40"/>
      <c r="C5862" s="40"/>
      <c r="D5862" s="41"/>
      <c r="E5862" s="43">
        <f>C5862</f>
        <v>0</v>
      </c>
      <c r="F5862" s="42"/>
    </row>
    <row r="5863" spans="1:6">
      <c r="A5863" s="39">
        <f>A5862</f>
        <v>46048</v>
      </c>
      <c r="B5863" s="40"/>
      <c r="C5863" s="40"/>
      <c r="D5863" s="41"/>
      <c r="E5863" s="43">
        <f>C5863</f>
        <v>0</v>
      </c>
      <c r="F5863" s="42"/>
    </row>
    <row r="5864" spans="1:6">
      <c r="A5864" s="39">
        <f>A5863</f>
        <v>46048</v>
      </c>
      <c r="B5864" s="40"/>
      <c r="C5864" s="40"/>
      <c r="D5864" s="41"/>
      <c r="E5864" s="43">
        <f>C5864</f>
        <v>0</v>
      </c>
      <c r="F5864" s="42"/>
    </row>
    <row r="5865" spans="1:6">
      <c r="A5865" s="39">
        <f>A5864</f>
        <v>46048</v>
      </c>
      <c r="B5865" s="40"/>
      <c r="C5865" s="40"/>
      <c r="D5865" s="41"/>
      <c r="E5865" s="43">
        <f>C5865</f>
        <v>0</v>
      </c>
      <c r="F5865" s="42"/>
    </row>
    <row r="5866" spans="1:6">
      <c r="A5866" s="39">
        <f>A5865</f>
        <v>46048</v>
      </c>
      <c r="B5866" s="40"/>
      <c r="C5866" s="40"/>
      <c r="D5866" s="41"/>
      <c r="E5866" s="43">
        <f>C5866</f>
        <v>0</v>
      </c>
      <c r="F5866" s="42"/>
    </row>
    <row r="5867" spans="1:6">
      <c r="A5867" s="39">
        <f>A5866</f>
        <v>46048</v>
      </c>
      <c r="B5867" s="40"/>
      <c r="C5867" s="40"/>
      <c r="D5867" s="41"/>
      <c r="E5867" s="43">
        <f>C5867</f>
        <v>0</v>
      </c>
      <c r="F5867" s="42"/>
    </row>
    <row r="5868" spans="1:6">
      <c r="A5868" s="39">
        <f>A5867</f>
        <v>46048</v>
      </c>
      <c r="B5868" s="40"/>
      <c r="C5868" s="40"/>
      <c r="D5868" s="41"/>
      <c r="E5868" s="43">
        <f>C5868</f>
        <v>0</v>
      </c>
      <c r="F5868" s="42"/>
    </row>
    <row r="5869" spans="1:6">
      <c r="A5869" s="39">
        <f>A5868</f>
        <v>46048</v>
      </c>
      <c r="B5869" s="40"/>
      <c r="C5869" s="40"/>
      <c r="D5869" s="41"/>
      <c r="E5869" s="43">
        <f>C5869</f>
        <v>0</v>
      </c>
      <c r="F5869" s="42"/>
    </row>
    <row r="5870" spans="1:6">
      <c r="A5870" s="39">
        <f>A5869</f>
        <v>46048</v>
      </c>
      <c r="B5870" s="40"/>
      <c r="C5870" s="40"/>
      <c r="D5870" s="41"/>
      <c r="E5870" s="43">
        <f>C5870</f>
        <v>0</v>
      </c>
      <c r="F5870" s="42"/>
    </row>
    <row r="5871" spans="1:6">
      <c r="A5871" s="39">
        <f>A5870</f>
        <v>46048</v>
      </c>
      <c r="B5871" s="40"/>
      <c r="C5871" s="40"/>
      <c r="D5871" s="41"/>
      <c r="E5871" s="43">
        <f>C5871</f>
        <v>0</v>
      </c>
      <c r="F5871" s="42"/>
    </row>
    <row r="5872" spans="1:6">
      <c r="A5872" s="39">
        <f>A5871</f>
        <v>46048</v>
      </c>
      <c r="B5872" s="40"/>
      <c r="C5872" s="40"/>
      <c r="D5872" s="41"/>
      <c r="E5872" s="43">
        <f>C5872</f>
        <v>0</v>
      </c>
      <c r="F5872" s="42"/>
    </row>
    <row r="5873" spans="1:6">
      <c r="A5873" s="39">
        <f>A5872</f>
        <v>46048</v>
      </c>
      <c r="B5873" s="40"/>
      <c r="C5873" s="40"/>
      <c r="D5873" s="41"/>
      <c r="E5873" s="43">
        <f>C5873</f>
        <v>0</v>
      </c>
      <c r="F5873" s="42"/>
    </row>
    <row r="5874" spans="1:6">
      <c r="A5874" s="39">
        <f>A5873</f>
        <v>46048</v>
      </c>
      <c r="B5874" s="40"/>
      <c r="C5874" s="40"/>
      <c r="D5874" s="41"/>
      <c r="E5874" s="43">
        <f>C5874</f>
        <v>0</v>
      </c>
      <c r="F5874" s="42"/>
    </row>
    <row r="5875" spans="1:6">
      <c r="A5875" s="39">
        <f>A5874</f>
        <v>46048</v>
      </c>
      <c r="B5875" s="40"/>
      <c r="C5875" s="40"/>
      <c r="D5875" s="41"/>
      <c r="E5875" s="43">
        <f>C5875</f>
        <v>0</v>
      </c>
      <c r="F5875" s="42"/>
    </row>
    <row r="5876" spans="1:6">
      <c r="A5876" s="39">
        <f>A5875</f>
        <v>46048</v>
      </c>
      <c r="B5876" s="40"/>
      <c r="C5876" s="40"/>
      <c r="D5876" s="41"/>
      <c r="E5876" s="43">
        <f>C5876</f>
        <v>0</v>
      </c>
      <c r="F5876" s="42"/>
    </row>
    <row r="5877" spans="1:6">
      <c r="A5877" s="39">
        <f>A5876</f>
        <v>46048</v>
      </c>
      <c r="B5877" s="40"/>
      <c r="C5877" s="40"/>
      <c r="D5877" s="41"/>
      <c r="E5877" s="43">
        <f>C5877</f>
        <v>0</v>
      </c>
      <c r="F5877" s="42"/>
    </row>
    <row r="5878" spans="1:6">
      <c r="A5878" s="39">
        <f>A5877</f>
        <v>46048</v>
      </c>
      <c r="B5878" s="40"/>
      <c r="C5878" s="40"/>
      <c r="D5878" s="41"/>
      <c r="E5878" s="43">
        <f>C5878</f>
        <v>0</v>
      </c>
      <c r="F5878" s="42"/>
    </row>
    <row r="5879" spans="1:6">
      <c r="A5879" s="39">
        <f>A5878</f>
        <v>46048</v>
      </c>
      <c r="B5879" s="40"/>
      <c r="C5879" s="40"/>
      <c r="D5879" s="41"/>
      <c r="E5879" s="43">
        <f>C5879</f>
        <v>0</v>
      </c>
      <c r="F5879" s="42"/>
    </row>
    <row r="5880" spans="1:6">
      <c r="A5880" s="39">
        <f>A5879</f>
        <v>46048</v>
      </c>
      <c r="B5880" s="40"/>
      <c r="C5880" s="40"/>
      <c r="D5880" s="41"/>
      <c r="E5880" s="43">
        <f>C5880</f>
        <v>0</v>
      </c>
      <c r="F5880" s="42"/>
    </row>
    <row r="5881" spans="1:6">
      <c r="A5881" s="39">
        <f>A5880</f>
        <v>46048</v>
      </c>
      <c r="B5881" s="40"/>
      <c r="C5881" s="40"/>
      <c r="D5881" s="41"/>
      <c r="E5881" s="43">
        <f>C5881</f>
        <v>0</v>
      </c>
      <c r="F5881" s="42"/>
    </row>
    <row r="5882" spans="1:6">
      <c r="A5882" s="39">
        <f>A5881</f>
        <v>46048</v>
      </c>
      <c r="B5882" s="40"/>
      <c r="C5882" s="40"/>
      <c r="D5882" s="41"/>
      <c r="E5882" s="43">
        <f>C5882</f>
        <v>0</v>
      </c>
      <c r="F5882" s="42"/>
    </row>
    <row r="5883" spans="1:6">
      <c r="A5883" s="39">
        <f>A5882</f>
        <v>46048</v>
      </c>
      <c r="B5883" s="40"/>
      <c r="C5883" s="40"/>
      <c r="D5883" s="41"/>
      <c r="E5883" s="43">
        <f>C5883</f>
        <v>0</v>
      </c>
      <c r="F5883" s="42"/>
    </row>
    <row r="5884" spans="1:6">
      <c r="A5884" s="39">
        <f>A5883</f>
        <v>46048</v>
      </c>
      <c r="B5884" s="40"/>
      <c r="C5884" s="40"/>
      <c r="D5884" s="41"/>
      <c r="E5884" s="43">
        <f>C5884</f>
        <v>0</v>
      </c>
      <c r="F5884" s="42"/>
    </row>
    <row r="5885" spans="1:6">
      <c r="A5885" s="39">
        <f>A5884</f>
        <v>46048</v>
      </c>
      <c r="B5885" s="40"/>
      <c r="C5885" s="40"/>
      <c r="D5885" s="41"/>
      <c r="E5885" s="43">
        <f>C5885</f>
        <v>0</v>
      </c>
      <c r="F5885" s="42"/>
    </row>
    <row r="5886" spans="1:6">
      <c r="A5886" s="39">
        <f>A5885</f>
        <v>46048</v>
      </c>
      <c r="B5886" s="40"/>
      <c r="C5886" s="40"/>
      <c r="D5886" s="41"/>
      <c r="E5886" s="43">
        <f>C5886</f>
        <v>0</v>
      </c>
      <c r="F5886" s="42"/>
    </row>
    <row r="5887" spans="1:6">
      <c r="A5887" s="39">
        <f>A5886</f>
        <v>46048</v>
      </c>
      <c r="B5887" s="40"/>
      <c r="C5887" s="40"/>
      <c r="D5887" s="41"/>
      <c r="E5887" s="43">
        <f>C5887</f>
        <v>0</v>
      </c>
      <c r="F5887" s="42"/>
    </row>
    <row r="5888" spans="1:6">
      <c r="A5888" s="39">
        <f>A5887</f>
        <v>46048</v>
      </c>
      <c r="B5888" s="40"/>
      <c r="C5888" s="40"/>
      <c r="D5888" s="41"/>
      <c r="E5888" s="43">
        <f>C5888</f>
        <v>0</v>
      </c>
      <c r="F5888" s="42"/>
    </row>
    <row r="5889" spans="1:6">
      <c r="A5889" s="39">
        <f>A5888</f>
        <v>46048</v>
      </c>
      <c r="B5889" s="40"/>
      <c r="C5889" s="40"/>
      <c r="D5889" s="41"/>
      <c r="E5889" s="43">
        <f>C5889</f>
        <v>0</v>
      </c>
      <c r="F5889" s="42"/>
    </row>
    <row r="5890" spans="1:6">
      <c r="A5890" s="39">
        <f>A5889</f>
        <v>46048</v>
      </c>
      <c r="B5890" s="40"/>
      <c r="C5890" s="40"/>
      <c r="D5890" s="41"/>
      <c r="E5890" s="43">
        <f>C5890</f>
        <v>0</v>
      </c>
      <c r="F5890" s="42"/>
    </row>
    <row r="5891" spans="1:6">
      <c r="A5891" s="39">
        <f>A5890</f>
        <v>46048</v>
      </c>
      <c r="B5891" s="40"/>
      <c r="C5891" s="40"/>
      <c r="D5891" s="41"/>
      <c r="E5891" s="43">
        <f>C5891</f>
        <v>0</v>
      </c>
      <c r="F5891" s="42"/>
    </row>
    <row r="5892" spans="1:6">
      <c r="A5892" s="39">
        <f>A5891</f>
        <v>46048</v>
      </c>
      <c r="B5892" s="40"/>
      <c r="C5892" s="40"/>
      <c r="D5892" s="41"/>
      <c r="E5892" s="43">
        <f>C5892</f>
        <v>0</v>
      </c>
      <c r="F5892" s="42"/>
    </row>
    <row r="5893" spans="1:6">
      <c r="A5893" s="39">
        <f>A5892</f>
        <v>46048</v>
      </c>
      <c r="B5893" s="40"/>
      <c r="C5893" s="40"/>
      <c r="D5893" s="41"/>
      <c r="E5893" s="43">
        <f>C5893</f>
        <v>0</v>
      </c>
      <c r="F5893" s="42"/>
    </row>
    <row r="5894" spans="1:6">
      <c r="A5894" s="39">
        <f>A5893</f>
        <v>46048</v>
      </c>
      <c r="B5894" s="40"/>
      <c r="C5894" s="40"/>
      <c r="D5894" s="41"/>
      <c r="E5894" s="43">
        <f>C5894</f>
        <v>0</v>
      </c>
      <c r="F5894" s="42"/>
    </row>
    <row r="5895" spans="1:6">
      <c r="A5895" s="39">
        <f>A5894</f>
        <v>46048</v>
      </c>
      <c r="B5895" s="40"/>
      <c r="C5895" s="40"/>
      <c r="D5895" s="41"/>
      <c r="E5895" s="43">
        <f>C5895</f>
        <v>0</v>
      </c>
      <c r="F5895" s="42"/>
    </row>
    <row r="5896" spans="1:6">
      <c r="A5896" s="39">
        <f>A5895</f>
        <v>46048</v>
      </c>
      <c r="B5896" s="40"/>
      <c r="C5896" s="40"/>
      <c r="D5896" s="41"/>
      <c r="E5896" s="43">
        <f>C5896</f>
        <v>0</v>
      </c>
      <c r="F5896" s="42"/>
    </row>
    <row r="5897" spans="1:6">
      <c r="A5897" s="39">
        <f>A5896</f>
        <v>46048</v>
      </c>
      <c r="B5897" s="40"/>
      <c r="C5897" s="40"/>
      <c r="D5897" s="41"/>
      <c r="E5897" s="43">
        <f>C5897</f>
        <v>0</v>
      </c>
      <c r="F5897" s="42"/>
    </row>
    <row r="5898" spans="1:6">
      <c r="A5898" s="39">
        <f>A5897</f>
        <v>46048</v>
      </c>
      <c r="B5898" s="40"/>
      <c r="C5898" s="40"/>
      <c r="D5898" s="41"/>
      <c r="E5898" s="43">
        <f>C5898</f>
        <v>0</v>
      </c>
      <c r="F5898" s="42"/>
    </row>
    <row r="5899" spans="1:6">
      <c r="A5899" s="39">
        <f>A5898</f>
        <v>46048</v>
      </c>
      <c r="B5899" s="40"/>
      <c r="C5899" s="40"/>
      <c r="D5899" s="41"/>
      <c r="E5899" s="43">
        <f>C5899</f>
        <v>0</v>
      </c>
      <c r="F5899" s="42"/>
    </row>
    <row r="5900" spans="1:6">
      <c r="A5900" s="39">
        <f>A5899</f>
        <v>46048</v>
      </c>
      <c r="B5900" s="40"/>
      <c r="C5900" s="40"/>
      <c r="D5900" s="41"/>
      <c r="E5900" s="43">
        <f>C5900</f>
        <v>0</v>
      </c>
      <c r="F5900" s="42"/>
    </row>
    <row r="5901" spans="1:6">
      <c r="A5901" s="39">
        <f>A5900</f>
        <v>46048</v>
      </c>
      <c r="B5901" s="40"/>
      <c r="C5901" s="40"/>
      <c r="D5901" s="41"/>
      <c r="E5901" s="43">
        <f>C5901</f>
        <v>0</v>
      </c>
      <c r="F5901" s="42"/>
    </row>
    <row r="5902" spans="1:6">
      <c r="A5902" s="39">
        <f>A5901</f>
        <v>46048</v>
      </c>
      <c r="B5902" s="40"/>
      <c r="C5902" s="40"/>
      <c r="D5902" s="41"/>
      <c r="E5902" s="43">
        <f>C5902</f>
        <v>0</v>
      </c>
      <c r="F5902" s="42"/>
    </row>
    <row r="5903" spans="1:6">
      <c r="A5903" s="39">
        <f>A5902</f>
        <v>46048</v>
      </c>
      <c r="B5903" s="40"/>
      <c r="C5903" s="40"/>
      <c r="D5903" s="41"/>
      <c r="E5903" s="43">
        <f>C5903</f>
        <v>0</v>
      </c>
      <c r="F5903" s="42"/>
    </row>
    <row r="5904" spans="1:6">
      <c r="A5904" s="39">
        <f>A5903</f>
        <v>46048</v>
      </c>
      <c r="B5904" s="40"/>
      <c r="C5904" s="40"/>
      <c r="D5904" s="41"/>
      <c r="E5904" s="43">
        <f>C5904</f>
        <v>0</v>
      </c>
      <c r="F5904" s="42"/>
    </row>
    <row r="5905" spans="1:6">
      <c r="A5905" s="39">
        <f>A5904</f>
        <v>46048</v>
      </c>
      <c r="B5905" s="40"/>
      <c r="C5905" s="40"/>
      <c r="D5905" s="41"/>
      <c r="E5905" s="43">
        <f>C5905</f>
        <v>0</v>
      </c>
      <c r="F5905" s="42"/>
    </row>
    <row r="5906" spans="1:6">
      <c r="A5906" s="39">
        <f>A5905</f>
        <v>46048</v>
      </c>
      <c r="B5906" s="40"/>
      <c r="C5906" s="40"/>
      <c r="D5906" s="41"/>
      <c r="E5906" s="43">
        <f>C5906</f>
        <v>0</v>
      </c>
      <c r="F5906" s="42"/>
    </row>
    <row r="5907" spans="1:6">
      <c r="A5907" s="39">
        <f>A5906</f>
        <v>46048</v>
      </c>
      <c r="B5907" s="40"/>
      <c r="C5907" s="40"/>
      <c r="D5907" s="41"/>
      <c r="E5907" s="43">
        <f>C5907</f>
        <v>0</v>
      </c>
      <c r="F5907" s="42"/>
    </row>
    <row r="5908" spans="1:6">
      <c r="A5908" s="39">
        <f>A5907</f>
        <v>46048</v>
      </c>
      <c r="B5908" s="40"/>
      <c r="C5908" s="40"/>
      <c r="D5908" s="41"/>
      <c r="E5908" s="43">
        <f>C5908</f>
        <v>0</v>
      </c>
      <c r="F5908" s="42"/>
    </row>
    <row r="5909" spans="1:6">
      <c r="A5909" s="39">
        <f>A5908</f>
        <v>46048</v>
      </c>
      <c r="B5909" s="40"/>
      <c r="C5909" s="40"/>
      <c r="D5909" s="41"/>
      <c r="E5909" s="43">
        <f>C5909</f>
        <v>0</v>
      </c>
      <c r="F5909" s="42"/>
    </row>
    <row r="5910" spans="1:6">
      <c r="A5910" s="39">
        <f>A5909</f>
        <v>46048</v>
      </c>
      <c r="B5910" s="40"/>
      <c r="C5910" s="40"/>
      <c r="D5910" s="41"/>
      <c r="E5910" s="43">
        <f>C5910</f>
        <v>0</v>
      </c>
      <c r="F5910" s="42"/>
    </row>
    <row r="5911" spans="1:6">
      <c r="A5911" s="39">
        <f>A5910</f>
        <v>46048</v>
      </c>
      <c r="B5911" s="40"/>
      <c r="C5911" s="40"/>
      <c r="D5911" s="41"/>
      <c r="E5911" s="43">
        <f>C5911</f>
        <v>0</v>
      </c>
      <c r="F5911" s="42"/>
    </row>
    <row r="5912" spans="1:6">
      <c r="A5912" s="39">
        <f>A5911</f>
        <v>46048</v>
      </c>
      <c r="B5912" s="40"/>
      <c r="C5912" s="40"/>
      <c r="D5912" s="41"/>
      <c r="E5912" s="43">
        <f>C5912</f>
        <v>0</v>
      </c>
      <c r="F5912" s="42"/>
    </row>
    <row r="5913" spans="1:6">
      <c r="A5913" s="39">
        <f>A5912</f>
        <v>46048</v>
      </c>
      <c r="B5913" s="40"/>
      <c r="C5913" s="40"/>
      <c r="D5913" s="41"/>
      <c r="E5913" s="43">
        <f>C5913</f>
        <v>0</v>
      </c>
      <c r="F5913" s="42"/>
    </row>
    <row r="5914" spans="1:6">
      <c r="A5914" s="39">
        <f>A5913</f>
        <v>46048</v>
      </c>
      <c r="B5914" s="40"/>
      <c r="C5914" s="40"/>
      <c r="D5914" s="41"/>
      <c r="E5914" s="43">
        <f>C5914</f>
        <v>0</v>
      </c>
      <c r="F5914" s="42"/>
    </row>
    <row r="5915" spans="1:6">
      <c r="A5915" s="39">
        <f>A5914</f>
        <v>46048</v>
      </c>
      <c r="B5915" s="40"/>
      <c r="C5915" s="40"/>
      <c r="D5915" s="41"/>
      <c r="E5915" s="43">
        <f>C5915</f>
        <v>0</v>
      </c>
      <c r="F5915" s="42"/>
    </row>
    <row r="5916" spans="1:6">
      <c r="A5916" s="39">
        <f>A5915</f>
        <v>46048</v>
      </c>
      <c r="B5916" s="40"/>
      <c r="C5916" s="40"/>
      <c r="D5916" s="41"/>
      <c r="E5916" s="43">
        <f>C5916</f>
        <v>0</v>
      </c>
      <c r="F5916" s="42"/>
    </row>
    <row r="5917" spans="1:6">
      <c r="A5917" s="39">
        <f>A5916</f>
        <v>46048</v>
      </c>
      <c r="B5917" s="40"/>
      <c r="C5917" s="40"/>
      <c r="D5917" s="41"/>
      <c r="E5917" s="43">
        <f>C5917</f>
        <v>0</v>
      </c>
      <c r="F5917" s="42"/>
    </row>
    <row r="5918" spans="1:6">
      <c r="A5918" s="39">
        <f>A5917</f>
        <v>46048</v>
      </c>
      <c r="B5918" s="40"/>
      <c r="C5918" s="40"/>
      <c r="D5918" s="41"/>
      <c r="E5918" s="43">
        <f>C5918</f>
        <v>0</v>
      </c>
      <c r="F5918" s="42"/>
    </row>
    <row r="5919" spans="1:6">
      <c r="A5919" s="39">
        <f>A5918</f>
        <v>46048</v>
      </c>
      <c r="B5919" s="40"/>
      <c r="C5919" s="40"/>
      <c r="D5919" s="41"/>
      <c r="E5919" s="43">
        <f>C5919</f>
        <v>0</v>
      </c>
      <c r="F5919" s="42"/>
    </row>
    <row r="5920" spans="1:6">
      <c r="A5920" s="39">
        <f>A5919</f>
        <v>46048</v>
      </c>
      <c r="B5920" s="40"/>
      <c r="C5920" s="40"/>
      <c r="D5920" s="41"/>
      <c r="E5920" s="43">
        <f>C5920</f>
        <v>0</v>
      </c>
      <c r="F5920" s="42"/>
    </row>
    <row r="5921" spans="1:6">
      <c r="A5921" s="39">
        <f>A5920</f>
        <v>46048</v>
      </c>
      <c r="B5921" s="40"/>
      <c r="C5921" s="40"/>
      <c r="D5921" s="41"/>
      <c r="E5921" s="43">
        <f>C5921</f>
        <v>0</v>
      </c>
      <c r="F5921" s="42"/>
    </row>
    <row r="5922" spans="1:6">
      <c r="A5922" s="39">
        <f>A5921</f>
        <v>46048</v>
      </c>
      <c r="B5922" s="40"/>
      <c r="C5922" s="40"/>
      <c r="D5922" s="41"/>
      <c r="E5922" s="43">
        <f>C5922</f>
        <v>0</v>
      </c>
      <c r="F5922" s="42"/>
    </row>
    <row r="5923" spans="1:6">
      <c r="A5923" s="39">
        <f>A5922</f>
        <v>46048</v>
      </c>
      <c r="B5923" s="40"/>
      <c r="C5923" s="40"/>
      <c r="D5923" s="41"/>
      <c r="E5923" s="43">
        <f>C5923</f>
        <v>0</v>
      </c>
      <c r="F5923" s="42"/>
    </row>
    <row r="5924" spans="1:6">
      <c r="A5924" s="39">
        <f>A5923</f>
        <v>46048</v>
      </c>
      <c r="B5924" s="40"/>
      <c r="C5924" s="40"/>
      <c r="D5924" s="41"/>
      <c r="E5924" s="43">
        <f>C5924</f>
        <v>0</v>
      </c>
      <c r="F5924" s="42"/>
    </row>
    <row r="5925" spans="1:6">
      <c r="A5925" s="39">
        <f>A5924</f>
        <v>46048</v>
      </c>
      <c r="B5925" s="40"/>
      <c r="C5925" s="40"/>
      <c r="D5925" s="41"/>
      <c r="E5925" s="43">
        <f>C5925</f>
        <v>0</v>
      </c>
      <c r="F5925" s="42"/>
    </row>
    <row r="5926" spans="1:6">
      <c r="A5926" s="39">
        <f>A5925</f>
        <v>46048</v>
      </c>
      <c r="B5926" s="40"/>
      <c r="C5926" s="40"/>
      <c r="D5926" s="41"/>
      <c r="E5926" s="43">
        <f>C5926</f>
        <v>0</v>
      </c>
      <c r="F5926" s="42"/>
    </row>
    <row r="5927" spans="1:6">
      <c r="A5927" s="39">
        <f>A5926</f>
        <v>46048</v>
      </c>
      <c r="B5927" s="40"/>
      <c r="C5927" s="40"/>
      <c r="D5927" s="41"/>
      <c r="E5927" s="43">
        <f>C5927</f>
        <v>0</v>
      </c>
      <c r="F5927" s="42"/>
    </row>
    <row r="5928" spans="1:6">
      <c r="A5928" s="39">
        <f>A5927</f>
        <v>46048</v>
      </c>
      <c r="B5928" s="40"/>
      <c r="C5928" s="40"/>
      <c r="D5928" s="41"/>
      <c r="E5928" s="43">
        <f>C5928</f>
        <v>0</v>
      </c>
      <c r="F5928" s="42"/>
    </row>
    <row r="5929" spans="1:6">
      <c r="A5929" s="39">
        <f>A5928</f>
        <v>46048</v>
      </c>
      <c r="B5929" s="40"/>
      <c r="C5929" s="40"/>
      <c r="D5929" s="41"/>
      <c r="E5929" s="43">
        <f>C5929</f>
        <v>0</v>
      </c>
      <c r="F5929" s="42"/>
    </row>
    <row r="5930" spans="1:6">
      <c r="A5930" s="39">
        <f>A5929</f>
        <v>46048</v>
      </c>
      <c r="B5930" s="40"/>
      <c r="C5930" s="40"/>
      <c r="D5930" s="41"/>
      <c r="E5930" s="43">
        <f>C5930</f>
        <v>0</v>
      </c>
      <c r="F5930" s="42"/>
    </row>
    <row r="5931" spans="1:6">
      <c r="A5931" s="39">
        <f>A5930</f>
        <v>46048</v>
      </c>
      <c r="B5931" s="40"/>
      <c r="C5931" s="40"/>
      <c r="D5931" s="41"/>
      <c r="E5931" s="43">
        <f>C5931</f>
        <v>0</v>
      </c>
      <c r="F5931" s="42"/>
    </row>
    <row r="5932" spans="1:6">
      <c r="A5932" s="39">
        <f>A5931</f>
        <v>46048</v>
      </c>
      <c r="B5932" s="40"/>
      <c r="C5932" s="40"/>
      <c r="D5932" s="41"/>
      <c r="E5932" s="43">
        <f>C5932</f>
        <v>0</v>
      </c>
      <c r="F5932" s="42"/>
    </row>
    <row r="5933" spans="1:6">
      <c r="A5933" s="39">
        <f>A5932</f>
        <v>46048</v>
      </c>
      <c r="B5933" s="40"/>
      <c r="C5933" s="40"/>
      <c r="D5933" s="41"/>
      <c r="E5933" s="43">
        <f>C5933</f>
        <v>0</v>
      </c>
      <c r="F5933" s="42"/>
    </row>
    <row r="5934" spans="1:6">
      <c r="A5934" s="39">
        <f>A5933</f>
        <v>46048</v>
      </c>
      <c r="B5934" s="40"/>
      <c r="C5934" s="40"/>
      <c r="D5934" s="41"/>
      <c r="E5934" s="43">
        <f>C5934</f>
        <v>0</v>
      </c>
      <c r="F5934" s="42"/>
    </row>
    <row r="5935" spans="1:6">
      <c r="A5935" s="39">
        <f>A5934</f>
        <v>46048</v>
      </c>
      <c r="B5935" s="40"/>
      <c r="C5935" s="40"/>
      <c r="D5935" s="41"/>
      <c r="E5935" s="43">
        <f>C5935</f>
        <v>0</v>
      </c>
      <c r="F5935" s="42"/>
    </row>
    <row r="5936" spans="1:6">
      <c r="A5936" s="39">
        <f>A5935</f>
        <v>46048</v>
      </c>
      <c r="B5936" s="40"/>
      <c r="C5936" s="40"/>
      <c r="D5936" s="41"/>
      <c r="E5936" s="43">
        <f>C5936</f>
        <v>0</v>
      </c>
      <c r="F5936" s="42"/>
    </row>
    <row r="5937" spans="1:6">
      <c r="A5937" s="39">
        <f>A5936</f>
        <v>46048</v>
      </c>
      <c r="B5937" s="40"/>
      <c r="C5937" s="40"/>
      <c r="D5937" s="41"/>
      <c r="E5937" s="43">
        <f>C5937</f>
        <v>0</v>
      </c>
      <c r="F5937" s="42"/>
    </row>
    <row r="5938" spans="1:6">
      <c r="A5938" s="39">
        <f>A5937</f>
        <v>46048</v>
      </c>
      <c r="B5938" s="40"/>
      <c r="C5938" s="40"/>
      <c r="D5938" s="41"/>
      <c r="E5938" s="43">
        <f>C5938</f>
        <v>0</v>
      </c>
      <c r="F5938" s="42"/>
    </row>
    <row r="5939" spans="1:6">
      <c r="A5939" s="39">
        <f>A5938</f>
        <v>46048</v>
      </c>
      <c r="B5939" s="40"/>
      <c r="C5939" s="40"/>
      <c r="D5939" s="41"/>
      <c r="E5939" s="43">
        <f>C5939</f>
        <v>0</v>
      </c>
      <c r="F5939" s="42"/>
    </row>
    <row r="5940" spans="1:6">
      <c r="A5940" s="39">
        <f>A5939</f>
        <v>46048</v>
      </c>
      <c r="B5940" s="40"/>
      <c r="C5940" s="40"/>
      <c r="D5940" s="41"/>
      <c r="E5940" s="43">
        <f>C5940</f>
        <v>0</v>
      </c>
      <c r="F5940" s="42"/>
    </row>
    <row r="5941" spans="1:6">
      <c r="A5941" s="39">
        <f>A5940</f>
        <v>46048</v>
      </c>
      <c r="B5941" s="40"/>
      <c r="C5941" s="40"/>
      <c r="D5941" s="41"/>
      <c r="E5941" s="43">
        <f>C5941</f>
        <v>0</v>
      </c>
      <c r="F5941" s="42"/>
    </row>
    <row r="5942" spans="1:6">
      <c r="A5942" s="39">
        <f>A5941</f>
        <v>46048</v>
      </c>
      <c r="B5942" s="40"/>
      <c r="C5942" s="40"/>
      <c r="D5942" s="41"/>
      <c r="E5942" s="43">
        <f>C5942</f>
        <v>0</v>
      </c>
      <c r="F5942" s="42"/>
    </row>
    <row r="5943" spans="1:6">
      <c r="A5943" s="39">
        <f>A5942</f>
        <v>46048</v>
      </c>
      <c r="B5943" s="40"/>
      <c r="C5943" s="40"/>
      <c r="D5943" s="41"/>
      <c r="E5943" s="43">
        <f>C5943</f>
        <v>0</v>
      </c>
      <c r="F5943" s="42"/>
    </row>
    <row r="5944" spans="1:6">
      <c r="A5944" s="39">
        <f>A5943</f>
        <v>46048</v>
      </c>
      <c r="B5944" s="40"/>
      <c r="C5944" s="40"/>
      <c r="D5944" s="41"/>
      <c r="E5944" s="43">
        <f>C5944</f>
        <v>0</v>
      </c>
      <c r="F5944" s="42"/>
    </row>
    <row r="5945" spans="1:6">
      <c r="A5945" s="39">
        <f>A5944</f>
        <v>46048</v>
      </c>
      <c r="B5945" s="40"/>
      <c r="C5945" s="40"/>
      <c r="D5945" s="41"/>
      <c r="E5945" s="43">
        <f>C5945</f>
        <v>0</v>
      </c>
      <c r="F5945" s="42"/>
    </row>
    <row r="5946" spans="1:6">
      <c r="A5946" s="39">
        <f>A5945</f>
        <v>46048</v>
      </c>
      <c r="B5946" s="40"/>
      <c r="C5946" s="40"/>
      <c r="D5946" s="41"/>
      <c r="E5946" s="43">
        <f>C5946</f>
        <v>0</v>
      </c>
      <c r="F5946" s="42"/>
    </row>
    <row r="5947" spans="1:6">
      <c r="A5947" s="39">
        <f>A5946</f>
        <v>46048</v>
      </c>
      <c r="B5947" s="40"/>
      <c r="C5947" s="40"/>
      <c r="D5947" s="41"/>
      <c r="E5947" s="43">
        <f>C5947</f>
        <v>0</v>
      </c>
      <c r="F5947" s="42"/>
    </row>
    <row r="5948" spans="1:6">
      <c r="A5948" s="39">
        <f>A5947</f>
        <v>46048</v>
      </c>
      <c r="B5948" s="40"/>
      <c r="C5948" s="40"/>
      <c r="D5948" s="41"/>
      <c r="E5948" s="43">
        <f>C5948</f>
        <v>0</v>
      </c>
      <c r="F5948" s="42"/>
    </row>
    <row r="5949" spans="1:6">
      <c r="A5949" s="39">
        <f>A5948</f>
        <v>46048</v>
      </c>
      <c r="B5949" s="40"/>
      <c r="C5949" s="40"/>
      <c r="D5949" s="41"/>
      <c r="E5949" s="43">
        <f>C5949</f>
        <v>0</v>
      </c>
      <c r="F5949" s="42"/>
    </row>
    <row r="5950" spans="1:6">
      <c r="A5950" s="39">
        <f>A5949</f>
        <v>46048</v>
      </c>
      <c r="B5950" s="40"/>
      <c r="C5950" s="40"/>
      <c r="D5950" s="41"/>
      <c r="E5950" s="43">
        <f>C5950</f>
        <v>0</v>
      </c>
      <c r="F5950" s="42"/>
    </row>
    <row r="5951" spans="1:6">
      <c r="A5951" s="39">
        <f>A5950</f>
        <v>46048</v>
      </c>
      <c r="B5951" s="40"/>
      <c r="C5951" s="40"/>
      <c r="D5951" s="41"/>
      <c r="E5951" s="43">
        <f>C5951</f>
        <v>0</v>
      </c>
      <c r="F5951" s="42"/>
    </row>
    <row r="5952" spans="1:6">
      <c r="A5952" s="39">
        <f>A5951</f>
        <v>46048</v>
      </c>
      <c r="B5952" s="40"/>
      <c r="C5952" s="40"/>
      <c r="D5952" s="41"/>
      <c r="E5952" s="43">
        <f>C5952</f>
        <v>0</v>
      </c>
      <c r="F5952" s="42"/>
    </row>
    <row r="5953" spans="1:6">
      <c r="A5953" s="39">
        <f>A5952</f>
        <v>46048</v>
      </c>
      <c r="B5953" s="40"/>
      <c r="C5953" s="40"/>
      <c r="D5953" s="41"/>
      <c r="E5953" s="43">
        <f>C5953</f>
        <v>0</v>
      </c>
      <c r="F5953" s="42"/>
    </row>
    <row r="5954" spans="1:6">
      <c r="A5954" s="39">
        <f>A5953</f>
        <v>46048</v>
      </c>
      <c r="B5954" s="40"/>
      <c r="C5954" s="40"/>
      <c r="D5954" s="41"/>
      <c r="E5954" s="43">
        <f>C5954</f>
        <v>0</v>
      </c>
      <c r="F5954" s="42"/>
    </row>
    <row r="5955" spans="1:6">
      <c r="A5955" s="39">
        <f>A5954</f>
        <v>46048</v>
      </c>
      <c r="B5955" s="40"/>
      <c r="C5955" s="40"/>
      <c r="D5955" s="41"/>
      <c r="E5955" s="43">
        <f>C5955</f>
        <v>0</v>
      </c>
      <c r="F5955" s="42"/>
    </row>
    <row r="5956" spans="1:6">
      <c r="A5956" s="39">
        <f>A5955</f>
        <v>46048</v>
      </c>
      <c r="B5956" s="40"/>
      <c r="C5956" s="40"/>
      <c r="D5956" s="41"/>
      <c r="E5956" s="43">
        <f>C5956</f>
        <v>0</v>
      </c>
      <c r="F5956" s="42"/>
    </row>
    <row r="5957" spans="1:6">
      <c r="A5957" s="39">
        <f>A5956</f>
        <v>46048</v>
      </c>
      <c r="B5957" s="40"/>
      <c r="C5957" s="40"/>
      <c r="D5957" s="41"/>
      <c r="E5957" s="43">
        <f>C5957</f>
        <v>0</v>
      </c>
      <c r="F5957" s="42"/>
    </row>
    <row r="5958" spans="1:6">
      <c r="A5958" s="39">
        <f>A5957</f>
        <v>46048</v>
      </c>
      <c r="B5958" s="40"/>
      <c r="C5958" s="40"/>
      <c r="D5958" s="41"/>
      <c r="E5958" s="43">
        <f>C5958</f>
        <v>0</v>
      </c>
      <c r="F5958" s="42"/>
    </row>
    <row r="5959" spans="1:6">
      <c r="A5959" s="39">
        <f>A5958</f>
        <v>46048</v>
      </c>
      <c r="B5959" s="40"/>
      <c r="C5959" s="40"/>
      <c r="D5959" s="41"/>
      <c r="E5959" s="43">
        <f>C5959</f>
        <v>0</v>
      </c>
      <c r="F5959" s="42"/>
    </row>
    <row r="5960" spans="1:6">
      <c r="A5960" s="39">
        <f>A5959</f>
        <v>46048</v>
      </c>
      <c r="B5960" s="40"/>
      <c r="C5960" s="40"/>
      <c r="D5960" s="41"/>
      <c r="E5960" s="43">
        <f>C5960</f>
        <v>0</v>
      </c>
      <c r="F5960" s="42"/>
    </row>
    <row r="5961" spans="1:6">
      <c r="A5961" s="39">
        <f>A5960</f>
        <v>46048</v>
      </c>
      <c r="B5961" s="40"/>
      <c r="C5961" s="40"/>
      <c r="D5961" s="41"/>
      <c r="E5961" s="43">
        <f>C5961</f>
        <v>0</v>
      </c>
      <c r="F5961" s="42"/>
    </row>
    <row r="5962" spans="1:6">
      <c r="A5962" s="39">
        <f>A5961</f>
        <v>46048</v>
      </c>
      <c r="B5962" s="40"/>
      <c r="C5962" s="40"/>
      <c r="D5962" s="41"/>
      <c r="E5962" s="43">
        <f>C5962</f>
        <v>0</v>
      </c>
      <c r="F5962" s="42"/>
    </row>
    <row r="5963" spans="1:6">
      <c r="A5963" s="39">
        <f>A5962</f>
        <v>46048</v>
      </c>
      <c r="B5963" s="40"/>
      <c r="C5963" s="40"/>
      <c r="D5963" s="41"/>
      <c r="E5963" s="43">
        <f>C5963</f>
        <v>0</v>
      </c>
      <c r="F5963" s="42"/>
    </row>
    <row r="5964" spans="1:6">
      <c r="A5964" s="39">
        <f>A5963</f>
        <v>46048</v>
      </c>
      <c r="B5964" s="40"/>
      <c r="C5964" s="40"/>
      <c r="D5964" s="41"/>
      <c r="E5964" s="43">
        <f>C5964</f>
        <v>0</v>
      </c>
      <c r="F5964" s="42"/>
    </row>
    <row r="5965" spans="1:6">
      <c r="A5965" s="39">
        <f>A5964</f>
        <v>46048</v>
      </c>
      <c r="B5965" s="40"/>
      <c r="C5965" s="40"/>
      <c r="D5965" s="41"/>
      <c r="E5965" s="43">
        <f>C5965</f>
        <v>0</v>
      </c>
      <c r="F5965" s="42"/>
    </row>
    <row r="5966" spans="1:6">
      <c r="A5966" s="39">
        <f>A5965</f>
        <v>46048</v>
      </c>
      <c r="B5966" s="40"/>
      <c r="C5966" s="40"/>
      <c r="D5966" s="41"/>
      <c r="E5966" s="43">
        <f>C5966</f>
        <v>0</v>
      </c>
      <c r="F5966" s="42"/>
    </row>
    <row r="5967" spans="1:6">
      <c r="A5967" s="39">
        <f>A5966</f>
        <v>46048</v>
      </c>
      <c r="B5967" s="40"/>
      <c r="C5967" s="40"/>
      <c r="D5967" s="41"/>
      <c r="E5967" s="43">
        <f>C5967</f>
        <v>0</v>
      </c>
      <c r="F5967" s="42"/>
    </row>
    <row r="5968" spans="1:6">
      <c r="A5968" s="39">
        <f>A5967</f>
        <v>46048</v>
      </c>
      <c r="B5968" s="40"/>
      <c r="C5968" s="40"/>
      <c r="D5968" s="41"/>
      <c r="E5968" s="43">
        <f>C5968</f>
        <v>0</v>
      </c>
      <c r="F5968" s="42"/>
    </row>
    <row r="5969" spans="1:6">
      <c r="A5969" s="39">
        <f>A5968</f>
        <v>46048</v>
      </c>
      <c r="B5969" s="40"/>
      <c r="C5969" s="40"/>
      <c r="D5969" s="41"/>
      <c r="E5969" s="43">
        <f>C5969</f>
        <v>0</v>
      </c>
      <c r="F5969" s="42"/>
    </row>
    <row r="5970" spans="1:6">
      <c r="A5970" s="39">
        <f>A5969</f>
        <v>46048</v>
      </c>
      <c r="B5970" s="40"/>
      <c r="C5970" s="40"/>
      <c r="D5970" s="41"/>
      <c r="E5970" s="43">
        <f>C5970</f>
        <v>0</v>
      </c>
      <c r="F5970" s="42"/>
    </row>
    <row r="5971" spans="1:6">
      <c r="A5971" s="39">
        <f>A5970</f>
        <v>46048</v>
      </c>
      <c r="B5971" s="40"/>
      <c r="C5971" s="40"/>
      <c r="D5971" s="41"/>
      <c r="E5971" s="43">
        <f>C5971</f>
        <v>0</v>
      </c>
      <c r="F5971" s="42"/>
    </row>
    <row r="5972" spans="1:6">
      <c r="A5972" s="39">
        <f>A5971</f>
        <v>46048</v>
      </c>
      <c r="B5972" s="40"/>
      <c r="C5972" s="40"/>
      <c r="D5972" s="41"/>
      <c r="E5972" s="43">
        <f>C5972</f>
        <v>0</v>
      </c>
      <c r="F5972" s="42"/>
    </row>
    <row r="5973" spans="1:6">
      <c r="A5973" s="39">
        <f>A5972</f>
        <v>46048</v>
      </c>
      <c r="B5973" s="40"/>
      <c r="C5973" s="40"/>
      <c r="D5973" s="41"/>
      <c r="E5973" s="43">
        <f>C5973</f>
        <v>0</v>
      </c>
      <c r="F5973" s="42"/>
    </row>
    <row r="5974" spans="1:6">
      <c r="A5974" s="39">
        <f>A5973</f>
        <v>46048</v>
      </c>
      <c r="B5974" s="40"/>
      <c r="C5974" s="40"/>
      <c r="D5974" s="41"/>
      <c r="E5974" s="43">
        <f>C5974</f>
        <v>0</v>
      </c>
      <c r="F5974" s="42"/>
    </row>
    <row r="5975" spans="1:6">
      <c r="A5975" s="39">
        <f>A5974</f>
        <v>46048</v>
      </c>
      <c r="B5975" s="40"/>
      <c r="C5975" s="40"/>
      <c r="D5975" s="41"/>
      <c r="E5975" s="43">
        <f>C5975</f>
        <v>0</v>
      </c>
      <c r="F5975" s="42"/>
    </row>
    <row r="5976" spans="1:6">
      <c r="A5976" s="39">
        <f>A5975</f>
        <v>46048</v>
      </c>
      <c r="B5976" s="40"/>
      <c r="C5976" s="40"/>
      <c r="D5976" s="41"/>
      <c r="E5976" s="43">
        <f>C5976</f>
        <v>0</v>
      </c>
      <c r="F5976" s="42"/>
    </row>
    <row r="5977" spans="1:6">
      <c r="A5977" s="39">
        <f>A5976</f>
        <v>46048</v>
      </c>
      <c r="B5977" s="40"/>
      <c r="C5977" s="40"/>
      <c r="D5977" s="41"/>
      <c r="E5977" s="43">
        <f>C5977</f>
        <v>0</v>
      </c>
      <c r="F5977" s="42"/>
    </row>
    <row r="5978" spans="1:6">
      <c r="A5978" s="39">
        <f>A5977</f>
        <v>46048</v>
      </c>
      <c r="B5978" s="40"/>
      <c r="C5978" s="40"/>
      <c r="D5978" s="41"/>
      <c r="E5978" s="43">
        <f>C5978</f>
        <v>0</v>
      </c>
      <c r="F5978" s="42"/>
    </row>
    <row r="5979" spans="1:6">
      <c r="A5979" s="39">
        <f>A5978</f>
        <v>46048</v>
      </c>
      <c r="B5979" s="40"/>
      <c r="C5979" s="40"/>
      <c r="D5979" s="41"/>
      <c r="E5979" s="43">
        <f>C5979</f>
        <v>0</v>
      </c>
      <c r="F5979" s="42"/>
    </row>
    <row r="5980" spans="1:6">
      <c r="A5980" s="39">
        <f>A5979</f>
        <v>46048</v>
      </c>
      <c r="B5980" s="40"/>
      <c r="C5980" s="40"/>
      <c r="D5980" s="41"/>
      <c r="E5980" s="43">
        <f>C5980</f>
        <v>0</v>
      </c>
      <c r="F5980" s="42"/>
    </row>
    <row r="5981" spans="1:6">
      <c r="A5981" s="39">
        <f>A5980</f>
        <v>46048</v>
      </c>
      <c r="B5981" s="40"/>
      <c r="C5981" s="40"/>
      <c r="D5981" s="41"/>
      <c r="E5981" s="43">
        <f>C5981</f>
        <v>0</v>
      </c>
      <c r="F5981" s="42"/>
    </row>
    <row r="5982" spans="1:6">
      <c r="A5982" s="39">
        <f>A5981</f>
        <v>46048</v>
      </c>
      <c r="B5982" s="40"/>
      <c r="C5982" s="40"/>
      <c r="D5982" s="41"/>
      <c r="E5982" s="43">
        <f>C5982</f>
        <v>0</v>
      </c>
      <c r="F5982" s="42"/>
    </row>
    <row r="5983" spans="1:6">
      <c r="A5983" s="39">
        <f>A5982</f>
        <v>46048</v>
      </c>
      <c r="B5983" s="40"/>
      <c r="C5983" s="40"/>
      <c r="D5983" s="41"/>
      <c r="E5983" s="43">
        <f>C5983</f>
        <v>0</v>
      </c>
      <c r="F5983" s="42"/>
    </row>
    <row r="5984" spans="1:6">
      <c r="A5984" s="39">
        <f>A5983</f>
        <v>46048</v>
      </c>
      <c r="B5984" s="40"/>
      <c r="C5984" s="40"/>
      <c r="D5984" s="41"/>
      <c r="E5984" s="43">
        <f>C5984</f>
        <v>0</v>
      </c>
      <c r="F5984" s="42"/>
    </row>
    <row r="5985" spans="1:6">
      <c r="A5985" s="39">
        <f>A5984</f>
        <v>46048</v>
      </c>
      <c r="B5985" s="40"/>
      <c r="C5985" s="40"/>
      <c r="D5985" s="41"/>
      <c r="E5985" s="43">
        <f>C5985</f>
        <v>0</v>
      </c>
      <c r="F5985" s="42"/>
    </row>
    <row r="5986" spans="1:6">
      <c r="A5986" s="39">
        <f>A5985</f>
        <v>46048</v>
      </c>
      <c r="B5986" s="40"/>
      <c r="C5986" s="40"/>
      <c r="D5986" s="41"/>
      <c r="E5986" s="43">
        <f>C5986</f>
        <v>0</v>
      </c>
      <c r="F5986" s="42"/>
    </row>
    <row r="5987" spans="1:6">
      <c r="A5987" s="39">
        <f>A5986</f>
        <v>46048</v>
      </c>
      <c r="B5987" s="40"/>
      <c r="C5987" s="40"/>
      <c r="D5987" s="41"/>
      <c r="E5987" s="43">
        <f>C5987</f>
        <v>0</v>
      </c>
      <c r="F5987" s="42"/>
    </row>
    <row r="5988" spans="1:6">
      <c r="A5988" s="39">
        <f>A5987</f>
        <v>46048</v>
      </c>
      <c r="B5988" s="40"/>
      <c r="C5988" s="40"/>
      <c r="D5988" s="41"/>
      <c r="E5988" s="43">
        <f>C5988</f>
        <v>0</v>
      </c>
      <c r="F5988" s="42"/>
    </row>
    <row r="5989" spans="1:6">
      <c r="A5989" s="39">
        <f>A5988</f>
        <v>46048</v>
      </c>
      <c r="B5989" s="40"/>
      <c r="C5989" s="40"/>
      <c r="D5989" s="41"/>
      <c r="E5989" s="43">
        <f>C5989</f>
        <v>0</v>
      </c>
      <c r="F5989" s="42"/>
    </row>
    <row r="5990" spans="1:6">
      <c r="A5990" s="39">
        <f>A5989</f>
        <v>46048</v>
      </c>
      <c r="B5990" s="40"/>
      <c r="C5990" s="40"/>
      <c r="D5990" s="41"/>
      <c r="E5990" s="43">
        <f>C5990</f>
        <v>0</v>
      </c>
      <c r="F5990" s="42"/>
    </row>
    <row r="5991" spans="1:6">
      <c r="A5991" s="39">
        <f>A5990</f>
        <v>46048</v>
      </c>
      <c r="B5991" s="40"/>
      <c r="C5991" s="40"/>
      <c r="D5991" s="41"/>
      <c r="E5991" s="43">
        <f>C5991</f>
        <v>0</v>
      </c>
      <c r="F5991" s="42"/>
    </row>
    <row r="5992" spans="1:6">
      <c r="A5992" s="39">
        <f>A5991</f>
        <v>46048</v>
      </c>
      <c r="B5992" s="40"/>
      <c r="C5992" s="40"/>
      <c r="D5992" s="41"/>
      <c r="E5992" s="43">
        <f>C5992</f>
        <v>0</v>
      </c>
      <c r="F5992" s="42"/>
    </row>
    <row r="5993" spans="1:6">
      <c r="A5993" s="39">
        <f>A5992</f>
        <v>46048</v>
      </c>
      <c r="B5993" s="40"/>
      <c r="C5993" s="40"/>
      <c r="D5993" s="41"/>
      <c r="E5993" s="43">
        <f>C5993</f>
        <v>0</v>
      </c>
      <c r="F5993" s="42"/>
    </row>
    <row r="5994" spans="1:6">
      <c r="A5994" s="39">
        <f>A5993</f>
        <v>46048</v>
      </c>
      <c r="B5994" s="40"/>
      <c r="C5994" s="40"/>
      <c r="D5994" s="41"/>
      <c r="E5994" s="43">
        <f>C5994</f>
        <v>0</v>
      </c>
      <c r="F5994" s="42"/>
    </row>
    <row r="5995" spans="1:6">
      <c r="A5995" s="39">
        <f>A5994</f>
        <v>46048</v>
      </c>
      <c r="B5995" s="40"/>
      <c r="C5995" s="40"/>
      <c r="D5995" s="41"/>
      <c r="E5995" s="43">
        <f>C5995</f>
        <v>0</v>
      </c>
      <c r="F5995" s="42"/>
    </row>
    <row r="5996" spans="1:6">
      <c r="A5996" s="39">
        <f>A5995</f>
        <v>46048</v>
      </c>
      <c r="B5996" s="40"/>
      <c r="C5996" s="40"/>
      <c r="D5996" s="41"/>
      <c r="E5996" s="43">
        <f>C5996</f>
        <v>0</v>
      </c>
      <c r="F5996" s="42"/>
    </row>
    <row r="5997" spans="1:6">
      <c r="A5997" s="39">
        <f>A5996</f>
        <v>46048</v>
      </c>
      <c r="B5997" s="40"/>
      <c r="C5997" s="40"/>
      <c r="D5997" s="41"/>
      <c r="E5997" s="43">
        <f>C5997</f>
        <v>0</v>
      </c>
      <c r="F5997" s="42"/>
    </row>
    <row r="5998" spans="1:6">
      <c r="A5998" s="39">
        <f>A5997</f>
        <v>46048</v>
      </c>
      <c r="B5998" s="40"/>
      <c r="C5998" s="40"/>
      <c r="D5998" s="41"/>
      <c r="E5998" s="43">
        <f>C5998</f>
        <v>0</v>
      </c>
      <c r="F5998" s="42"/>
    </row>
    <row r="5999" spans="1:6">
      <c r="A5999" s="39">
        <f>A5998</f>
        <v>46048</v>
      </c>
      <c r="B5999" s="40"/>
      <c r="C5999" s="40"/>
      <c r="D5999" s="41"/>
      <c r="E5999" s="43">
        <f>C5999</f>
        <v>0</v>
      </c>
      <c r="F5999" s="42"/>
    </row>
    <row r="6000" spans="1:6">
      <c r="A6000" s="39">
        <f>A5999</f>
        <v>46048</v>
      </c>
      <c r="B6000" s="40"/>
      <c r="C6000" s="40"/>
      <c r="D6000" s="41"/>
      <c r="E6000" s="43">
        <f>C6000</f>
        <v>0</v>
      </c>
      <c r="F6000" s="42"/>
    </row>
    <row r="6001" spans="1:6">
      <c r="A6001" s="39">
        <f>A6000</f>
        <v>46048</v>
      </c>
      <c r="B6001" s="40"/>
      <c r="C6001" s="40"/>
      <c r="D6001" s="41"/>
      <c r="E6001" s="43">
        <f>C6001</f>
        <v>0</v>
      </c>
      <c r="F6001" s="42"/>
    </row>
    <row r="6002" spans="1:6">
      <c r="A6002" s="39">
        <f>A6001</f>
        <v>46048</v>
      </c>
      <c r="B6002" s="40"/>
      <c r="C6002" s="40"/>
      <c r="D6002" s="41"/>
      <c r="E6002" s="43">
        <f>C6002</f>
        <v>0</v>
      </c>
      <c r="F6002" s="42"/>
    </row>
    <row r="6003" spans="1:6">
      <c r="A6003" s="39">
        <f>A6002</f>
        <v>46048</v>
      </c>
      <c r="B6003" s="40"/>
      <c r="C6003" s="40"/>
      <c r="D6003" s="41"/>
      <c r="E6003" s="43">
        <f>C6003</f>
        <v>0</v>
      </c>
      <c r="F6003" s="42"/>
    </row>
    <row r="6004" spans="1:6">
      <c r="A6004" s="39">
        <f>A6003</f>
        <v>46048</v>
      </c>
      <c r="B6004" s="40"/>
      <c r="C6004" s="40"/>
      <c r="D6004" s="41"/>
      <c r="E6004" s="43">
        <f>C6004</f>
        <v>0</v>
      </c>
      <c r="F6004" s="42"/>
    </row>
    <row r="6005" spans="1:6">
      <c r="A6005" s="39">
        <f>A6004</f>
        <v>46048</v>
      </c>
      <c r="B6005" s="40"/>
      <c r="C6005" s="40"/>
      <c r="D6005" s="41"/>
      <c r="E6005" s="43">
        <f>C6005</f>
        <v>0</v>
      </c>
      <c r="F6005" s="42"/>
    </row>
    <row r="6006" spans="1:6">
      <c r="A6006" s="39">
        <f>A6005</f>
        <v>46048</v>
      </c>
      <c r="B6006" s="40"/>
      <c r="C6006" s="40"/>
      <c r="D6006" s="41"/>
      <c r="E6006" s="43">
        <f>C6006</f>
        <v>0</v>
      </c>
      <c r="F6006" s="42"/>
    </row>
    <row r="6007" spans="1:6">
      <c r="A6007" s="39">
        <f>A6006</f>
        <v>46048</v>
      </c>
      <c r="B6007" s="40"/>
      <c r="C6007" s="40"/>
      <c r="D6007" s="41"/>
      <c r="E6007" s="43">
        <f>C6007</f>
        <v>0</v>
      </c>
      <c r="F6007" s="42"/>
    </row>
    <row r="6008" spans="1:6">
      <c r="A6008" s="39">
        <f>A6007</f>
        <v>46048</v>
      </c>
      <c r="B6008" s="40"/>
      <c r="C6008" s="40"/>
      <c r="D6008" s="41"/>
      <c r="E6008" s="43">
        <f>C6008</f>
        <v>0</v>
      </c>
      <c r="F6008" s="42"/>
    </row>
    <row r="6009" spans="1:6">
      <c r="A6009" s="39">
        <f>A6008</f>
        <v>46048</v>
      </c>
      <c r="B6009" s="40"/>
      <c r="C6009" s="40"/>
      <c r="D6009" s="41"/>
      <c r="E6009" s="43">
        <f>C6009</f>
        <v>0</v>
      </c>
      <c r="F6009" s="42"/>
    </row>
    <row r="6010" spans="1:6">
      <c r="A6010" s="39">
        <f>A6009</f>
        <v>46048</v>
      </c>
      <c r="B6010" s="40"/>
      <c r="C6010" s="40"/>
      <c r="D6010" s="41"/>
      <c r="E6010" s="43">
        <f>C6010</f>
        <v>0</v>
      </c>
      <c r="F6010" s="42"/>
    </row>
    <row r="6011" spans="1:6">
      <c r="A6011" s="39">
        <f>A6010</f>
        <v>46048</v>
      </c>
      <c r="B6011" s="40"/>
      <c r="C6011" s="40"/>
      <c r="D6011" s="41"/>
      <c r="E6011" s="43">
        <f>C6011</f>
        <v>0</v>
      </c>
      <c r="F6011" s="42"/>
    </row>
    <row r="6012" spans="1:6">
      <c r="A6012" s="39">
        <f>A6011</f>
        <v>46048</v>
      </c>
      <c r="B6012" s="40"/>
      <c r="C6012" s="40"/>
      <c r="D6012" s="41"/>
      <c r="E6012" s="43">
        <f>C6012</f>
        <v>0</v>
      </c>
      <c r="F6012" s="42"/>
    </row>
    <row r="6013" spans="1:6">
      <c r="A6013" s="39">
        <f>A6012</f>
        <v>46048</v>
      </c>
      <c r="B6013" s="40"/>
      <c r="C6013" s="40"/>
      <c r="D6013" s="41"/>
      <c r="E6013" s="43">
        <f>C6013</f>
        <v>0</v>
      </c>
      <c r="F6013" s="42"/>
    </row>
    <row r="6014" spans="1:6">
      <c r="A6014" s="39">
        <f>A6013</f>
        <v>46048</v>
      </c>
      <c r="B6014" s="40"/>
      <c r="C6014" s="40"/>
      <c r="D6014" s="41"/>
      <c r="E6014" s="43">
        <f>C6014</f>
        <v>0</v>
      </c>
      <c r="F6014" s="42"/>
    </row>
    <row r="6015" spans="1:6">
      <c r="A6015" s="39">
        <f>A6014</f>
        <v>46048</v>
      </c>
      <c r="B6015" s="40"/>
      <c r="C6015" s="40"/>
      <c r="D6015" s="41"/>
      <c r="E6015" s="43">
        <f>C6015</f>
        <v>0</v>
      </c>
      <c r="F6015" s="42"/>
    </row>
    <row r="6016" spans="1:6">
      <c r="A6016" s="39">
        <f>A6015</f>
        <v>46048</v>
      </c>
      <c r="B6016" s="40"/>
      <c r="C6016" s="40"/>
      <c r="D6016" s="41"/>
      <c r="E6016" s="43">
        <f>C6016</f>
        <v>0</v>
      </c>
      <c r="F6016" s="42"/>
    </row>
    <row r="6017" spans="1:6">
      <c r="A6017" s="39">
        <f>A6016</f>
        <v>46048</v>
      </c>
      <c r="B6017" s="40"/>
      <c r="C6017" s="40"/>
      <c r="D6017" s="41"/>
      <c r="E6017" s="43">
        <f>C6017</f>
        <v>0</v>
      </c>
      <c r="F6017" s="42"/>
    </row>
    <row r="6018" spans="1:6">
      <c r="A6018" s="39">
        <f>A6017</f>
        <v>46048</v>
      </c>
      <c r="B6018" s="40"/>
      <c r="C6018" s="40"/>
      <c r="D6018" s="41"/>
      <c r="E6018" s="43">
        <f>C6018</f>
        <v>0</v>
      </c>
      <c r="F6018" s="42"/>
    </row>
    <row r="6019" spans="1:6">
      <c r="A6019" s="39">
        <f>A6018</f>
        <v>46048</v>
      </c>
      <c r="B6019" s="40"/>
      <c r="C6019" s="40"/>
      <c r="D6019" s="41"/>
      <c r="E6019" s="43">
        <f>C6019</f>
        <v>0</v>
      </c>
      <c r="F6019" s="42"/>
    </row>
    <row r="6020" spans="1:6">
      <c r="A6020" s="39">
        <f>A6019</f>
        <v>46048</v>
      </c>
      <c r="B6020" s="40"/>
      <c r="C6020" s="40"/>
      <c r="D6020" s="41"/>
      <c r="E6020" s="43">
        <f>C6020</f>
        <v>0</v>
      </c>
      <c r="F6020" s="42"/>
    </row>
    <row r="6021" spans="1:6">
      <c r="A6021" s="39">
        <f>A6020</f>
        <v>46048</v>
      </c>
      <c r="B6021" s="40"/>
      <c r="C6021" s="40"/>
      <c r="D6021" s="41"/>
      <c r="E6021" s="43">
        <f>C6021</f>
        <v>0</v>
      </c>
      <c r="F6021" s="42"/>
    </row>
    <row r="6022" spans="1:6">
      <c r="A6022" s="39">
        <f>A6021</f>
        <v>46048</v>
      </c>
      <c r="B6022" s="40"/>
      <c r="C6022" s="40"/>
      <c r="D6022" s="41"/>
      <c r="E6022" s="43">
        <f>C6022</f>
        <v>0</v>
      </c>
      <c r="F6022" s="42"/>
    </row>
    <row r="6023" spans="1:6">
      <c r="A6023" s="39">
        <f>A6022</f>
        <v>46048</v>
      </c>
      <c r="B6023" s="40"/>
      <c r="C6023" s="40"/>
      <c r="D6023" s="41"/>
      <c r="E6023" s="43">
        <f>C6023</f>
        <v>0</v>
      </c>
      <c r="F6023" s="42"/>
    </row>
    <row r="6024" spans="1:6">
      <c r="A6024" s="39">
        <f>A6023</f>
        <v>46048</v>
      </c>
      <c r="B6024" s="40"/>
      <c r="C6024" s="40"/>
      <c r="D6024" s="41"/>
      <c r="E6024" s="43">
        <f>C6024</f>
        <v>0</v>
      </c>
      <c r="F6024" s="42"/>
    </row>
    <row r="6025" spans="1:6">
      <c r="A6025" s="39">
        <f>A6024</f>
        <v>46048</v>
      </c>
      <c r="B6025" s="40"/>
      <c r="C6025" s="40"/>
      <c r="D6025" s="41"/>
      <c r="E6025" s="43">
        <f>C6025</f>
        <v>0</v>
      </c>
      <c r="F6025" s="42"/>
    </row>
    <row r="6026" spans="1:6">
      <c r="A6026" s="39">
        <f>A6025</f>
        <v>46048</v>
      </c>
      <c r="B6026" s="40"/>
      <c r="C6026" s="40"/>
      <c r="D6026" s="41"/>
      <c r="E6026" s="43">
        <f>C6026</f>
        <v>0</v>
      </c>
      <c r="F6026" s="42"/>
    </row>
    <row r="6027" spans="1:6">
      <c r="A6027" s="39">
        <f>A6026</f>
        <v>46048</v>
      </c>
      <c r="B6027" s="40"/>
      <c r="C6027" s="40"/>
      <c r="D6027" s="41"/>
      <c r="E6027" s="43">
        <f>C6027</f>
        <v>0</v>
      </c>
      <c r="F6027" s="42"/>
    </row>
    <row r="6028" spans="1:6">
      <c r="A6028" s="39">
        <f>A6027</f>
        <v>46048</v>
      </c>
      <c r="B6028" s="40"/>
      <c r="C6028" s="40"/>
      <c r="D6028" s="41"/>
      <c r="E6028" s="43">
        <f>C6028</f>
        <v>0</v>
      </c>
      <c r="F6028" s="42"/>
    </row>
    <row r="6029" spans="1:6">
      <c r="A6029" s="39">
        <f>A6028</f>
        <v>46048</v>
      </c>
      <c r="B6029" s="40"/>
      <c r="C6029" s="40"/>
      <c r="D6029" s="41"/>
      <c r="E6029" s="43">
        <f>C6029</f>
        <v>0</v>
      </c>
      <c r="F6029" s="42"/>
    </row>
    <row r="6030" spans="1:6">
      <c r="A6030" s="39">
        <f>A6029</f>
        <v>46048</v>
      </c>
      <c r="B6030" s="40"/>
      <c r="C6030" s="40"/>
      <c r="D6030" s="41"/>
      <c r="E6030" s="43">
        <f>C6030</f>
        <v>0</v>
      </c>
      <c r="F6030" s="42"/>
    </row>
    <row r="6031" spans="1:6">
      <c r="A6031" s="39">
        <f>A6030</f>
        <v>46048</v>
      </c>
      <c r="B6031" s="40"/>
      <c r="C6031" s="40"/>
      <c r="D6031" s="41"/>
      <c r="E6031" s="43">
        <f>C6031</f>
        <v>0</v>
      </c>
      <c r="F6031" s="42"/>
    </row>
    <row r="6032" spans="1:6">
      <c r="A6032" s="39">
        <f>A6031</f>
        <v>46048</v>
      </c>
      <c r="B6032" s="40"/>
      <c r="C6032" s="40"/>
      <c r="D6032" s="41"/>
      <c r="E6032" s="43">
        <f>C6032</f>
        <v>0</v>
      </c>
      <c r="F6032" s="42"/>
    </row>
    <row r="6033" spans="1:6">
      <c r="A6033" s="39">
        <f>A6032</f>
        <v>46048</v>
      </c>
      <c r="B6033" s="40"/>
      <c r="C6033" s="40"/>
      <c r="D6033" s="41"/>
      <c r="E6033" s="43">
        <f>C6033</f>
        <v>0</v>
      </c>
      <c r="F6033" s="42"/>
    </row>
    <row r="6034" spans="1:6">
      <c r="A6034" s="39">
        <f>A6033</f>
        <v>46048</v>
      </c>
      <c r="B6034" s="40"/>
      <c r="C6034" s="40"/>
      <c r="D6034" s="41"/>
      <c r="E6034" s="43">
        <f>C6034</f>
        <v>0</v>
      </c>
      <c r="F6034" s="42"/>
    </row>
    <row r="6035" spans="1:6">
      <c r="A6035" s="39">
        <f>A6034</f>
        <v>46048</v>
      </c>
      <c r="B6035" s="40"/>
      <c r="C6035" s="40"/>
      <c r="D6035" s="41"/>
      <c r="E6035" s="43">
        <f>C6035</f>
        <v>0</v>
      </c>
      <c r="F6035" s="42"/>
    </row>
    <row r="6036" spans="1:6">
      <c r="A6036" s="39">
        <f>A6035</f>
        <v>46048</v>
      </c>
      <c r="B6036" s="40"/>
      <c r="C6036" s="40"/>
      <c r="D6036" s="41"/>
      <c r="E6036" s="43">
        <f>C6036</f>
        <v>0</v>
      </c>
      <c r="F6036" s="42"/>
    </row>
    <row r="6037" spans="1:6">
      <c r="A6037" s="39">
        <f>A6036</f>
        <v>46048</v>
      </c>
      <c r="B6037" s="40"/>
      <c r="C6037" s="40"/>
      <c r="D6037" s="41"/>
      <c r="E6037" s="43">
        <f>C6037</f>
        <v>0</v>
      </c>
      <c r="F6037" s="42"/>
    </row>
    <row r="6038" spans="1:6">
      <c r="A6038" s="39">
        <f>A6037</f>
        <v>46048</v>
      </c>
      <c r="B6038" s="40"/>
      <c r="C6038" s="40"/>
      <c r="D6038" s="41"/>
      <c r="E6038" s="43">
        <f>C6038</f>
        <v>0</v>
      </c>
      <c r="F6038" s="42"/>
    </row>
    <row r="6039" spans="1:6">
      <c r="A6039" s="39">
        <f>A6038</f>
        <v>46048</v>
      </c>
      <c r="B6039" s="40"/>
      <c r="C6039" s="40"/>
      <c r="D6039" s="41"/>
      <c r="E6039" s="43">
        <f>C6039</f>
        <v>0</v>
      </c>
      <c r="F6039" s="42"/>
    </row>
    <row r="6040" spans="1:6">
      <c r="A6040" s="39">
        <f>A6039</f>
        <v>46048</v>
      </c>
      <c r="B6040" s="40"/>
      <c r="C6040" s="40"/>
      <c r="D6040" s="41"/>
      <c r="E6040" s="43">
        <f>C6040</f>
        <v>0</v>
      </c>
      <c r="F6040" s="42"/>
    </row>
    <row r="6041" spans="1:6">
      <c r="A6041" s="39">
        <f>A6040</f>
        <v>46048</v>
      </c>
      <c r="B6041" s="40"/>
      <c r="C6041" s="40"/>
      <c r="D6041" s="41"/>
      <c r="E6041" s="43">
        <f>C6041</f>
        <v>0</v>
      </c>
      <c r="F6041" s="42"/>
    </row>
    <row r="6042" spans="1:6">
      <c r="A6042" s="39">
        <f>A6041</f>
        <v>46048</v>
      </c>
      <c r="B6042" s="40"/>
      <c r="C6042" s="40"/>
      <c r="D6042" s="41"/>
      <c r="E6042" s="43">
        <f>C6042</f>
        <v>0</v>
      </c>
      <c r="F6042" s="42"/>
    </row>
    <row r="6043" spans="1:6">
      <c r="A6043" s="39">
        <f>A6042</f>
        <v>46048</v>
      </c>
      <c r="B6043" s="40"/>
      <c r="C6043" s="40"/>
      <c r="D6043" s="41"/>
      <c r="E6043" s="43">
        <f>C6043</f>
        <v>0</v>
      </c>
      <c r="F6043" s="42"/>
    </row>
    <row r="6044" spans="1:6">
      <c r="A6044" s="39">
        <f>A6043</f>
        <v>46048</v>
      </c>
      <c r="B6044" s="40"/>
      <c r="C6044" s="40"/>
      <c r="D6044" s="41"/>
      <c r="E6044" s="43">
        <f>C6044</f>
        <v>0</v>
      </c>
      <c r="F6044" s="42"/>
    </row>
    <row r="6045" spans="1:6">
      <c r="A6045" s="39">
        <f>A6044</f>
        <v>46048</v>
      </c>
      <c r="B6045" s="40"/>
      <c r="C6045" s="40"/>
      <c r="D6045" s="41"/>
      <c r="E6045" s="43">
        <f>C6045</f>
        <v>0</v>
      </c>
      <c r="F6045" s="42"/>
    </row>
    <row r="6046" spans="1:6">
      <c r="A6046" s="39">
        <f>A6045</f>
        <v>46048</v>
      </c>
      <c r="B6046" s="40"/>
      <c r="C6046" s="40"/>
      <c r="D6046" s="41"/>
      <c r="E6046" s="43">
        <f>C6046</f>
        <v>0</v>
      </c>
      <c r="F6046" s="42"/>
    </row>
    <row r="6047" spans="1:6">
      <c r="A6047" s="39">
        <f>A6046</f>
        <v>46048</v>
      </c>
      <c r="B6047" s="40"/>
      <c r="C6047" s="40"/>
      <c r="D6047" s="41"/>
      <c r="E6047" s="43">
        <f>C6047</f>
        <v>0</v>
      </c>
      <c r="F6047" s="42"/>
    </row>
    <row r="6048" spans="1:6">
      <c r="A6048" s="39">
        <f>A6047</f>
        <v>46048</v>
      </c>
      <c r="B6048" s="40"/>
      <c r="C6048" s="40"/>
      <c r="D6048" s="41"/>
      <c r="E6048" s="43">
        <f>C6048</f>
        <v>0</v>
      </c>
      <c r="F6048" s="42"/>
    </row>
    <row r="6049" spans="1:6">
      <c r="A6049" s="39">
        <f>A6048</f>
        <v>46048</v>
      </c>
      <c r="B6049" s="40"/>
      <c r="C6049" s="40"/>
      <c r="D6049" s="41"/>
      <c r="E6049" s="43">
        <f>C6049</f>
        <v>0</v>
      </c>
      <c r="F6049" s="42"/>
    </row>
    <row r="6050" spans="1:6">
      <c r="A6050" s="39">
        <f>A6049</f>
        <v>46048</v>
      </c>
      <c r="B6050" s="40"/>
      <c r="C6050" s="40"/>
      <c r="D6050" s="41"/>
      <c r="E6050" s="43">
        <f>C6050</f>
        <v>0</v>
      </c>
      <c r="F6050" s="42"/>
    </row>
    <row r="6051" spans="1:6">
      <c r="A6051" s="39">
        <f>A6050</f>
        <v>46048</v>
      </c>
      <c r="B6051" s="40"/>
      <c r="C6051" s="40"/>
      <c r="D6051" s="41"/>
      <c r="E6051" s="43">
        <f>C6051</f>
        <v>0</v>
      </c>
      <c r="F6051" s="42"/>
    </row>
    <row r="6052" spans="1:6">
      <c r="A6052" s="39">
        <f>A6051</f>
        <v>46048</v>
      </c>
      <c r="B6052" s="40"/>
      <c r="C6052" s="40"/>
      <c r="D6052" s="41"/>
      <c r="E6052" s="43">
        <f>C6052</f>
        <v>0</v>
      </c>
      <c r="F6052" s="42"/>
    </row>
    <row r="6053" spans="1:6">
      <c r="A6053" s="39">
        <f>A6052</f>
        <v>46048</v>
      </c>
      <c r="B6053" s="40"/>
      <c r="C6053" s="40"/>
      <c r="D6053" s="41"/>
      <c r="E6053" s="43">
        <f>C6053</f>
        <v>0</v>
      </c>
      <c r="F6053" s="42"/>
    </row>
    <row r="6054" spans="1:6">
      <c r="A6054" s="39">
        <f>A6053</f>
        <v>46048</v>
      </c>
      <c r="B6054" s="40"/>
      <c r="C6054" s="40"/>
      <c r="D6054" s="41"/>
      <c r="E6054" s="43">
        <f>C6054</f>
        <v>0</v>
      </c>
      <c r="F6054" s="42"/>
    </row>
    <row r="6055" spans="1:6">
      <c r="A6055" s="39">
        <f>A6054</f>
        <v>46048</v>
      </c>
      <c r="B6055" s="40"/>
      <c r="C6055" s="40"/>
      <c r="D6055" s="41"/>
      <c r="E6055" s="43">
        <f>C6055</f>
        <v>0</v>
      </c>
      <c r="F6055" s="42"/>
    </row>
    <row r="6056" spans="1:6">
      <c r="A6056" s="39">
        <f>A6055</f>
        <v>46048</v>
      </c>
      <c r="B6056" s="40"/>
      <c r="C6056" s="40"/>
      <c r="D6056" s="41"/>
      <c r="E6056" s="43">
        <f>C6056</f>
        <v>0</v>
      </c>
      <c r="F6056" s="42"/>
    </row>
    <row r="6057" spans="1:6">
      <c r="A6057" s="39">
        <f>A6056</f>
        <v>46048</v>
      </c>
      <c r="B6057" s="40"/>
      <c r="C6057" s="40"/>
      <c r="D6057" s="41"/>
      <c r="E6057" s="43">
        <f>C6057</f>
        <v>0</v>
      </c>
      <c r="F6057" s="42"/>
    </row>
    <row r="6058" spans="1:6">
      <c r="A6058" s="39">
        <f>A6057</f>
        <v>46048</v>
      </c>
      <c r="B6058" s="40"/>
      <c r="C6058" s="40"/>
      <c r="D6058" s="41"/>
      <c r="E6058" s="43">
        <f>C6058</f>
        <v>0</v>
      </c>
      <c r="F6058" s="42"/>
    </row>
    <row r="6059" spans="1:6">
      <c r="A6059" s="39">
        <f>A6058</f>
        <v>46048</v>
      </c>
      <c r="B6059" s="40"/>
      <c r="C6059" s="40"/>
      <c r="D6059" s="41"/>
      <c r="E6059" s="43">
        <f>C6059</f>
        <v>0</v>
      </c>
      <c r="F6059" s="42"/>
    </row>
    <row r="6060" spans="1:6">
      <c r="A6060" s="39">
        <f>A6059</f>
        <v>46048</v>
      </c>
      <c r="B6060" s="40"/>
      <c r="C6060" s="40"/>
      <c r="D6060" s="41"/>
      <c r="E6060" s="43">
        <f>C6060</f>
        <v>0</v>
      </c>
      <c r="F6060" s="42"/>
    </row>
    <row r="6061" spans="1:6">
      <c r="A6061" s="39">
        <f>A6060</f>
        <v>46048</v>
      </c>
      <c r="B6061" s="40"/>
      <c r="C6061" s="40"/>
      <c r="D6061" s="41"/>
      <c r="E6061" s="43">
        <f>C6061</f>
        <v>0</v>
      </c>
      <c r="F6061" s="42"/>
    </row>
    <row r="6062" spans="1:6">
      <c r="A6062" s="39">
        <f>A6061</f>
        <v>46048</v>
      </c>
      <c r="B6062" s="40"/>
      <c r="C6062" s="40"/>
      <c r="D6062" s="41"/>
      <c r="E6062" s="43">
        <f>C6062</f>
        <v>0</v>
      </c>
      <c r="F6062" s="42"/>
    </row>
    <row r="6063" spans="1:6">
      <c r="A6063" s="39">
        <f>A6062</f>
        <v>46048</v>
      </c>
      <c r="B6063" s="40"/>
      <c r="C6063" s="40"/>
      <c r="D6063" s="41"/>
      <c r="E6063" s="43">
        <f>C6063</f>
        <v>0</v>
      </c>
      <c r="F6063" s="42"/>
    </row>
    <row r="6064" spans="1:6">
      <c r="A6064" s="39">
        <f>A6063</f>
        <v>46048</v>
      </c>
      <c r="B6064" s="40"/>
      <c r="C6064" s="40"/>
      <c r="D6064" s="41"/>
      <c r="E6064" s="43">
        <f>C6064</f>
        <v>0</v>
      </c>
      <c r="F6064" s="42"/>
    </row>
    <row r="6065" spans="1:6">
      <c r="A6065" s="39">
        <f>A6064</f>
        <v>46048</v>
      </c>
      <c r="B6065" s="40"/>
      <c r="C6065" s="40"/>
      <c r="D6065" s="41"/>
      <c r="E6065" s="43">
        <f>C6065</f>
        <v>0</v>
      </c>
      <c r="F6065" s="42"/>
    </row>
    <row r="6066" spans="1:6">
      <c r="A6066" s="39">
        <f>A6065</f>
        <v>46048</v>
      </c>
      <c r="B6066" s="40"/>
      <c r="C6066" s="40"/>
      <c r="D6066" s="41"/>
      <c r="E6066" s="43">
        <f>C6066</f>
        <v>0</v>
      </c>
      <c r="F6066" s="42"/>
    </row>
    <row r="6067" spans="1:6">
      <c r="A6067" s="39">
        <f>A6066</f>
        <v>46048</v>
      </c>
      <c r="B6067" s="40"/>
      <c r="C6067" s="40"/>
      <c r="D6067" s="41"/>
      <c r="E6067" s="43">
        <f>C6067</f>
        <v>0</v>
      </c>
      <c r="F6067" s="42"/>
    </row>
    <row r="6068" spans="1:6">
      <c r="A6068" s="39">
        <f>A6067</f>
        <v>46048</v>
      </c>
      <c r="B6068" s="40"/>
      <c r="C6068" s="40"/>
      <c r="D6068" s="41"/>
      <c r="E6068" s="43">
        <f>C6068</f>
        <v>0</v>
      </c>
      <c r="F6068" s="42"/>
    </row>
    <row r="6069" spans="1:6">
      <c r="A6069" s="39">
        <f>A6068</f>
        <v>46048</v>
      </c>
      <c r="B6069" s="40"/>
      <c r="C6069" s="40"/>
      <c r="D6069" s="41"/>
      <c r="E6069" s="43">
        <f>C6069</f>
        <v>0</v>
      </c>
      <c r="F6069" s="42"/>
    </row>
    <row r="6070" spans="1:6">
      <c r="A6070" s="39">
        <f>A6069</f>
        <v>46048</v>
      </c>
      <c r="B6070" s="40"/>
      <c r="C6070" s="40"/>
      <c r="D6070" s="41"/>
      <c r="E6070" s="43">
        <f>C6070</f>
        <v>0</v>
      </c>
      <c r="F6070" s="42"/>
    </row>
    <row r="6071" spans="1:6">
      <c r="A6071" s="39">
        <f>A6070</f>
        <v>46048</v>
      </c>
      <c r="B6071" s="40"/>
      <c r="C6071" s="40"/>
      <c r="D6071" s="41"/>
      <c r="E6071" s="43">
        <f>C6071</f>
        <v>0</v>
      </c>
      <c r="F6071" s="42"/>
    </row>
    <row r="6072" spans="1:6">
      <c r="A6072" s="39">
        <f>A6071</f>
        <v>46048</v>
      </c>
      <c r="B6072" s="40"/>
      <c r="C6072" s="40"/>
      <c r="D6072" s="41"/>
      <c r="E6072" s="43">
        <f>C6072</f>
        <v>0</v>
      </c>
      <c r="F6072" s="42"/>
    </row>
    <row r="6073" spans="1:6">
      <c r="A6073" s="39">
        <f>A6072</f>
        <v>46048</v>
      </c>
      <c r="B6073" s="40"/>
      <c r="C6073" s="40"/>
      <c r="D6073" s="41"/>
      <c r="E6073" s="43">
        <f>C6073</f>
        <v>0</v>
      </c>
      <c r="F6073" s="42"/>
    </row>
    <row r="6074" spans="1:6">
      <c r="A6074" s="39">
        <f>A6073</f>
        <v>46048</v>
      </c>
      <c r="B6074" s="40"/>
      <c r="C6074" s="40"/>
      <c r="D6074" s="41"/>
      <c r="E6074" s="43">
        <f>C6074</f>
        <v>0</v>
      </c>
      <c r="F6074" s="42"/>
    </row>
    <row r="6075" spans="1:6">
      <c r="A6075" s="39">
        <f>A6074</f>
        <v>46048</v>
      </c>
      <c r="B6075" s="40"/>
      <c r="C6075" s="40"/>
      <c r="D6075" s="41"/>
      <c r="E6075" s="43">
        <f>C6075</f>
        <v>0</v>
      </c>
      <c r="F6075" s="42"/>
    </row>
    <row r="6076" spans="1:6">
      <c r="A6076" s="39">
        <f>A6075</f>
        <v>46048</v>
      </c>
      <c r="B6076" s="40"/>
      <c r="C6076" s="40"/>
      <c r="D6076" s="41"/>
      <c r="E6076" s="43">
        <f>C6076</f>
        <v>0</v>
      </c>
      <c r="F6076" s="42"/>
    </row>
    <row r="6077" spans="1:6">
      <c r="A6077" s="39">
        <f>A6076</f>
        <v>46048</v>
      </c>
      <c r="B6077" s="40"/>
      <c r="C6077" s="40"/>
      <c r="D6077" s="41"/>
      <c r="E6077" s="43">
        <f>C6077</f>
        <v>0</v>
      </c>
      <c r="F6077" s="42"/>
    </row>
    <row r="6078" spans="1:6">
      <c r="A6078" s="39">
        <f>A6077</f>
        <v>46048</v>
      </c>
      <c r="B6078" s="40"/>
      <c r="C6078" s="40"/>
      <c r="D6078" s="41"/>
      <c r="E6078" s="43">
        <f>C6078</f>
        <v>0</v>
      </c>
      <c r="F6078" s="42"/>
    </row>
    <row r="6079" spans="1:6">
      <c r="A6079" s="39">
        <f>A6078</f>
        <v>46048</v>
      </c>
      <c r="B6079" s="40"/>
      <c r="C6079" s="40"/>
      <c r="D6079" s="41"/>
      <c r="E6079" s="43">
        <f>C6079</f>
        <v>0</v>
      </c>
      <c r="F6079" s="42"/>
    </row>
    <row r="6080" spans="1:6">
      <c r="A6080" s="39">
        <f>A6079</f>
        <v>46048</v>
      </c>
      <c r="B6080" s="40"/>
      <c r="C6080" s="40"/>
      <c r="D6080" s="41"/>
      <c r="E6080" s="43">
        <f>C6080</f>
        <v>0</v>
      </c>
      <c r="F6080" s="42"/>
    </row>
    <row r="6081" spans="1:6">
      <c r="A6081" s="39">
        <f>A6080</f>
        <v>46048</v>
      </c>
      <c r="B6081" s="40"/>
      <c r="C6081" s="40"/>
      <c r="D6081" s="41"/>
      <c r="E6081" s="43">
        <f>C6081</f>
        <v>0</v>
      </c>
      <c r="F6081" s="42"/>
    </row>
    <row r="6082" spans="1:6">
      <c r="A6082" s="39">
        <f>A6081</f>
        <v>46048</v>
      </c>
      <c r="B6082" s="40"/>
      <c r="C6082" s="40"/>
      <c r="D6082" s="41"/>
      <c r="E6082" s="43">
        <f>C6082</f>
        <v>0</v>
      </c>
      <c r="F6082" s="42"/>
    </row>
    <row r="6083" spans="1:6">
      <c r="A6083" s="39">
        <f>A6082</f>
        <v>46048</v>
      </c>
      <c r="B6083" s="40"/>
      <c r="C6083" s="40"/>
      <c r="D6083" s="41"/>
      <c r="E6083" s="43">
        <f>C6083</f>
        <v>0</v>
      </c>
      <c r="F6083" s="42"/>
    </row>
    <row r="6084" spans="1:6">
      <c r="A6084" s="39">
        <f>A6083</f>
        <v>46048</v>
      </c>
      <c r="B6084" s="40"/>
      <c r="C6084" s="40"/>
      <c r="D6084" s="41"/>
      <c r="E6084" s="43">
        <f>C6084</f>
        <v>0</v>
      </c>
      <c r="F6084" s="42"/>
    </row>
    <row r="6085" spans="1:6">
      <c r="A6085" s="39">
        <f>A6084</f>
        <v>46048</v>
      </c>
      <c r="B6085" s="40"/>
      <c r="C6085" s="40"/>
      <c r="D6085" s="41"/>
      <c r="E6085" s="43">
        <f>C6085</f>
        <v>0</v>
      </c>
      <c r="F6085" s="42"/>
    </row>
    <row r="6086" spans="1:6">
      <c r="A6086" s="39">
        <f>A6085</f>
        <v>46048</v>
      </c>
      <c r="B6086" s="40"/>
      <c r="C6086" s="40"/>
      <c r="D6086" s="41"/>
      <c r="E6086" s="43">
        <f>C6086</f>
        <v>0</v>
      </c>
      <c r="F6086" s="42"/>
    </row>
    <row r="6087" spans="1:6">
      <c r="A6087" s="39">
        <f>A6086</f>
        <v>46048</v>
      </c>
      <c r="B6087" s="40"/>
      <c r="C6087" s="40"/>
      <c r="D6087" s="41"/>
      <c r="E6087" s="43">
        <f>C6087</f>
        <v>0</v>
      </c>
      <c r="F6087" s="42"/>
    </row>
    <row r="6088" spans="1:6">
      <c r="A6088" s="39">
        <f>A6087</f>
        <v>46048</v>
      </c>
      <c r="B6088" s="40"/>
      <c r="C6088" s="40"/>
      <c r="D6088" s="41"/>
      <c r="E6088" s="43">
        <f>C6088</f>
        <v>0</v>
      </c>
      <c r="F6088" s="42"/>
    </row>
    <row r="6089" spans="1:6">
      <c r="A6089" s="39">
        <f>A6088</f>
        <v>46048</v>
      </c>
      <c r="B6089" s="40"/>
      <c r="C6089" s="40"/>
      <c r="D6089" s="41"/>
      <c r="E6089" s="43">
        <f>C6089</f>
        <v>0</v>
      </c>
      <c r="F6089" s="42"/>
    </row>
    <row r="6090" spans="1:6">
      <c r="A6090" s="39">
        <f>A6089</f>
        <v>46048</v>
      </c>
      <c r="B6090" s="40"/>
      <c r="C6090" s="40"/>
      <c r="D6090" s="41"/>
      <c r="E6090" s="43">
        <f>C6090</f>
        <v>0</v>
      </c>
      <c r="F6090" s="42"/>
    </row>
    <row r="6091" spans="1:6">
      <c r="A6091" s="39">
        <f>A6090</f>
        <v>46048</v>
      </c>
      <c r="B6091" s="40"/>
      <c r="C6091" s="40"/>
      <c r="D6091" s="41"/>
      <c r="E6091" s="43">
        <f>C6091</f>
        <v>0</v>
      </c>
      <c r="F6091" s="42"/>
    </row>
    <row r="6092" spans="1:6">
      <c r="A6092" s="39">
        <f>A6091</f>
        <v>46048</v>
      </c>
      <c r="B6092" s="40"/>
      <c r="C6092" s="40"/>
      <c r="D6092" s="41"/>
      <c r="E6092" s="43">
        <f>C6092</f>
        <v>0</v>
      </c>
      <c r="F6092" s="42"/>
    </row>
    <row r="6093" spans="1:6">
      <c r="A6093" s="39">
        <f>A6092</f>
        <v>46048</v>
      </c>
      <c r="B6093" s="40"/>
      <c r="C6093" s="40"/>
      <c r="D6093" s="41"/>
      <c r="E6093" s="43">
        <f>C6093</f>
        <v>0</v>
      </c>
      <c r="F6093" s="42"/>
    </row>
    <row r="6094" spans="1:6">
      <c r="A6094" s="39">
        <f>A6093</f>
        <v>46048</v>
      </c>
      <c r="B6094" s="40"/>
      <c r="C6094" s="40"/>
      <c r="D6094" s="41"/>
      <c r="E6094" s="43">
        <f>C6094</f>
        <v>0</v>
      </c>
      <c r="F6094" s="42"/>
    </row>
    <row r="6095" spans="1:6">
      <c r="A6095" s="39">
        <f>A6094</f>
        <v>46048</v>
      </c>
      <c r="B6095" s="40"/>
      <c r="C6095" s="40"/>
      <c r="D6095" s="41"/>
      <c r="E6095" s="43">
        <f>C6095</f>
        <v>0</v>
      </c>
      <c r="F6095" s="42"/>
    </row>
    <row r="6096" spans="1:6">
      <c r="A6096" s="39">
        <f>A6095</f>
        <v>46048</v>
      </c>
      <c r="B6096" s="40"/>
      <c r="C6096" s="40"/>
      <c r="D6096" s="41"/>
      <c r="E6096" s="43">
        <f>C6096</f>
        <v>0</v>
      </c>
      <c r="F6096" s="42"/>
    </row>
    <row r="6097" spans="1:6">
      <c r="A6097" s="39">
        <f>A6096</f>
        <v>46048</v>
      </c>
      <c r="B6097" s="40"/>
      <c r="C6097" s="40"/>
      <c r="D6097" s="41"/>
      <c r="E6097" s="43">
        <f>C6097</f>
        <v>0</v>
      </c>
      <c r="F6097" s="42"/>
    </row>
    <row r="6098" spans="1:6">
      <c r="A6098" s="39">
        <f>A6097</f>
        <v>46048</v>
      </c>
      <c r="B6098" s="40"/>
      <c r="C6098" s="40"/>
      <c r="D6098" s="41"/>
      <c r="E6098" s="43">
        <f>C6098</f>
        <v>0</v>
      </c>
      <c r="F6098" s="42"/>
    </row>
    <row r="6099" spans="1:6">
      <c r="A6099" s="39">
        <f>A6098</f>
        <v>46048</v>
      </c>
      <c r="B6099" s="40"/>
      <c r="C6099" s="40"/>
      <c r="D6099" s="41"/>
      <c r="E6099" s="43">
        <f>C6099</f>
        <v>0</v>
      </c>
      <c r="F6099" s="42"/>
    </row>
    <row r="6100" spans="1:6">
      <c r="A6100" s="39">
        <f>A6099</f>
        <v>46048</v>
      </c>
      <c r="B6100" s="40"/>
      <c r="C6100" s="40"/>
      <c r="D6100" s="41"/>
      <c r="E6100" s="43">
        <f>C6100</f>
        <v>0</v>
      </c>
      <c r="F6100" s="42"/>
    </row>
    <row r="6101" spans="1:6">
      <c r="A6101" s="39">
        <f>A6100</f>
        <v>46048</v>
      </c>
      <c r="B6101" s="40"/>
      <c r="C6101" s="40"/>
      <c r="D6101" s="41"/>
      <c r="E6101" s="43">
        <f>C6101</f>
        <v>0</v>
      </c>
      <c r="F6101" s="42"/>
    </row>
    <row r="6102" spans="1:6">
      <c r="A6102" s="39">
        <f>A6101</f>
        <v>46048</v>
      </c>
      <c r="B6102" s="40"/>
      <c r="C6102" s="40"/>
      <c r="D6102" s="41"/>
      <c r="E6102" s="43">
        <f>C6102</f>
        <v>0</v>
      </c>
      <c r="F6102" s="42"/>
    </row>
    <row r="6103" spans="1:6">
      <c r="A6103" s="39">
        <f>A6102</f>
        <v>46048</v>
      </c>
      <c r="B6103" s="40"/>
      <c r="C6103" s="40"/>
      <c r="D6103" s="41"/>
      <c r="E6103" s="43">
        <f>C6103</f>
        <v>0</v>
      </c>
      <c r="F6103" s="42"/>
    </row>
    <row r="6104" spans="1:6">
      <c r="A6104" s="39">
        <f>A6103</f>
        <v>46048</v>
      </c>
      <c r="B6104" s="40"/>
      <c r="C6104" s="40"/>
      <c r="D6104" s="41"/>
      <c r="E6104" s="43">
        <f>C6104</f>
        <v>0</v>
      </c>
      <c r="F6104" s="42"/>
    </row>
    <row r="6105" spans="1:6">
      <c r="A6105" s="39">
        <f>A6104</f>
        <v>46048</v>
      </c>
      <c r="B6105" s="40"/>
      <c r="C6105" s="40"/>
      <c r="D6105" s="41"/>
      <c r="E6105" s="43">
        <f>C6105</f>
        <v>0</v>
      </c>
      <c r="F6105" s="42"/>
    </row>
    <row r="6106" spans="1:6">
      <c r="A6106" s="39">
        <f>A6105</f>
        <v>46048</v>
      </c>
      <c r="B6106" s="40"/>
      <c r="C6106" s="40"/>
      <c r="D6106" s="41"/>
      <c r="E6106" s="43">
        <f>C6106</f>
        <v>0</v>
      </c>
      <c r="F6106" s="42"/>
    </row>
    <row r="6107" spans="1:6">
      <c r="A6107" s="39">
        <f>A6106</f>
        <v>46048</v>
      </c>
      <c r="B6107" s="40"/>
      <c r="C6107" s="40"/>
      <c r="D6107" s="41"/>
      <c r="E6107" s="43">
        <f>C6107</f>
        <v>0</v>
      </c>
      <c r="F6107" s="42"/>
    </row>
    <row r="6108" spans="1:6">
      <c r="A6108" s="39">
        <f>A6107</f>
        <v>46048</v>
      </c>
      <c r="B6108" s="40"/>
      <c r="C6108" s="40"/>
      <c r="D6108" s="41"/>
      <c r="E6108" s="43">
        <f>C6108</f>
        <v>0</v>
      </c>
      <c r="F6108" s="42"/>
    </row>
    <row r="6109" spans="1:6">
      <c r="A6109" s="39">
        <f>A6108</f>
        <v>46048</v>
      </c>
      <c r="B6109" s="40"/>
      <c r="C6109" s="40"/>
      <c r="D6109" s="41"/>
      <c r="E6109" s="43">
        <f>C6109</f>
        <v>0</v>
      </c>
      <c r="F6109" s="42"/>
    </row>
    <row r="6110" spans="1:6">
      <c r="A6110" s="39">
        <f>A6109</f>
        <v>46048</v>
      </c>
      <c r="B6110" s="40"/>
      <c r="C6110" s="40"/>
      <c r="D6110" s="41"/>
      <c r="E6110" s="43">
        <f>C6110</f>
        <v>0</v>
      </c>
      <c r="F6110" s="42"/>
    </row>
    <row r="6111" spans="1:6">
      <c r="A6111" s="39">
        <f>A6110</f>
        <v>46048</v>
      </c>
      <c r="B6111" s="40"/>
      <c r="C6111" s="40"/>
      <c r="D6111" s="41"/>
      <c r="E6111" s="43">
        <f>C6111</f>
        <v>0</v>
      </c>
      <c r="F6111" s="42"/>
    </row>
    <row r="6112" spans="1:6">
      <c r="A6112" s="39">
        <f>A6111</f>
        <v>46048</v>
      </c>
      <c r="B6112" s="40"/>
      <c r="C6112" s="40"/>
      <c r="D6112" s="41"/>
      <c r="E6112" s="43">
        <f>C6112</f>
        <v>0</v>
      </c>
      <c r="F6112" s="42"/>
    </row>
    <row r="6113" spans="1:6">
      <c r="A6113" s="39">
        <f>A6112</f>
        <v>46048</v>
      </c>
      <c r="B6113" s="40"/>
      <c r="C6113" s="40"/>
      <c r="D6113" s="41"/>
      <c r="E6113" s="43">
        <f>C6113</f>
        <v>0</v>
      </c>
      <c r="F6113" s="42"/>
    </row>
    <row r="6114" spans="1:6">
      <c r="A6114" s="39">
        <f>A6113</f>
        <v>46048</v>
      </c>
      <c r="B6114" s="40"/>
      <c r="C6114" s="40"/>
      <c r="D6114" s="41"/>
      <c r="E6114" s="43">
        <f>C6114</f>
        <v>0</v>
      </c>
      <c r="F6114" s="42"/>
    </row>
    <row r="6115" spans="1:6">
      <c r="A6115" s="39">
        <f>A6114</f>
        <v>46048</v>
      </c>
      <c r="B6115" s="40"/>
      <c r="C6115" s="40"/>
      <c r="D6115" s="41"/>
      <c r="E6115" s="43">
        <f>C6115</f>
        <v>0</v>
      </c>
      <c r="F6115" s="42"/>
    </row>
    <row r="6116" spans="1:6">
      <c r="A6116" s="39">
        <f>A6115</f>
        <v>46048</v>
      </c>
      <c r="B6116" s="40"/>
      <c r="C6116" s="40"/>
      <c r="D6116" s="41"/>
      <c r="E6116" s="43">
        <f>C6116</f>
        <v>0</v>
      </c>
      <c r="F6116" s="42"/>
    </row>
    <row r="6117" spans="1:6">
      <c r="A6117" s="39">
        <f>A6116</f>
        <v>46048</v>
      </c>
      <c r="B6117" s="40"/>
      <c r="C6117" s="40"/>
      <c r="D6117" s="41"/>
      <c r="E6117" s="43">
        <f>C6117</f>
        <v>0</v>
      </c>
      <c r="F6117" s="42"/>
    </row>
    <row r="6118" spans="1:6">
      <c r="A6118" s="39">
        <f>A6117</f>
        <v>46048</v>
      </c>
      <c r="B6118" s="40"/>
      <c r="C6118" s="40"/>
      <c r="D6118" s="41"/>
      <c r="E6118" s="43">
        <f>C6118</f>
        <v>0</v>
      </c>
      <c r="F6118" s="42"/>
    </row>
    <row r="6119" spans="1:6">
      <c r="A6119" s="39">
        <f>A6118</f>
        <v>46048</v>
      </c>
      <c r="B6119" s="40"/>
      <c r="C6119" s="40"/>
      <c r="D6119" s="41"/>
      <c r="E6119" s="43">
        <f>C6119</f>
        <v>0</v>
      </c>
      <c r="F6119" s="42"/>
    </row>
    <row r="6120" spans="1:6">
      <c r="A6120" s="39">
        <f>A6119</f>
        <v>46048</v>
      </c>
      <c r="B6120" s="40"/>
      <c r="C6120" s="40"/>
      <c r="D6120" s="41"/>
      <c r="E6120" s="43">
        <f>C6120</f>
        <v>0</v>
      </c>
      <c r="F6120" s="42"/>
    </row>
    <row r="6121" spans="1:6">
      <c r="A6121" s="39">
        <f>A6120</f>
        <v>46048</v>
      </c>
      <c r="B6121" s="40"/>
      <c r="C6121" s="40"/>
      <c r="D6121" s="41"/>
      <c r="E6121" s="43">
        <f>C6121</f>
        <v>0</v>
      </c>
      <c r="F6121" s="42"/>
    </row>
    <row r="6122" spans="1:6">
      <c r="A6122" s="39">
        <f>A6121</f>
        <v>46048</v>
      </c>
      <c r="B6122" s="40"/>
      <c r="C6122" s="40"/>
      <c r="D6122" s="41"/>
      <c r="E6122" s="43">
        <f>C6122</f>
        <v>0</v>
      </c>
      <c r="F6122" s="42"/>
    </row>
    <row r="6123" spans="1:6">
      <c r="A6123" s="39">
        <f>A6122</f>
        <v>46048</v>
      </c>
      <c r="B6123" s="40"/>
      <c r="C6123" s="40"/>
      <c r="D6123" s="41"/>
      <c r="E6123" s="43">
        <f>C6123</f>
        <v>0</v>
      </c>
      <c r="F6123" s="42"/>
    </row>
    <row r="6124" spans="1:6">
      <c r="A6124" s="39">
        <f>A6123</f>
        <v>46048</v>
      </c>
      <c r="B6124" s="40"/>
      <c r="C6124" s="40"/>
      <c r="D6124" s="41"/>
      <c r="E6124" s="43">
        <f>C6124</f>
        <v>0</v>
      </c>
      <c r="F6124" s="42"/>
    </row>
    <row r="6125" spans="1:6">
      <c r="A6125" s="39">
        <f>A6124</f>
        <v>46048</v>
      </c>
      <c r="B6125" s="40"/>
      <c r="C6125" s="40"/>
      <c r="D6125" s="41"/>
      <c r="E6125" s="43">
        <f>C6125</f>
        <v>0</v>
      </c>
      <c r="F6125" s="42"/>
    </row>
    <row r="6126" spans="1:6">
      <c r="A6126" s="39">
        <f>A6125</f>
        <v>46048</v>
      </c>
      <c r="B6126" s="40"/>
      <c r="C6126" s="40"/>
      <c r="D6126" s="41"/>
      <c r="E6126" s="43">
        <f>C6126</f>
        <v>0</v>
      </c>
      <c r="F6126" s="42"/>
    </row>
    <row r="6127" spans="1:6">
      <c r="A6127" s="39">
        <f>A6126</f>
        <v>46048</v>
      </c>
      <c r="B6127" s="40"/>
      <c r="C6127" s="40"/>
      <c r="D6127" s="41"/>
      <c r="E6127" s="43">
        <f>C6127</f>
        <v>0</v>
      </c>
      <c r="F6127" s="42"/>
    </row>
    <row r="6128" spans="1:6">
      <c r="A6128" s="39">
        <f>A6127</f>
        <v>46048</v>
      </c>
      <c r="B6128" s="40"/>
      <c r="C6128" s="40"/>
      <c r="D6128" s="41"/>
      <c r="E6128" s="43">
        <f>C6128</f>
        <v>0</v>
      </c>
      <c r="F6128" s="42"/>
    </row>
    <row r="6129" spans="1:6">
      <c r="A6129" s="39">
        <f>A6128</f>
        <v>46048</v>
      </c>
      <c r="B6129" s="40"/>
      <c r="C6129" s="40"/>
      <c r="D6129" s="41"/>
      <c r="E6129" s="43">
        <f>C6129</f>
        <v>0</v>
      </c>
      <c r="F6129" s="42"/>
    </row>
    <row r="6130" spans="1:6">
      <c r="A6130" s="39">
        <f>A6129</f>
        <v>46048</v>
      </c>
      <c r="B6130" s="40"/>
      <c r="C6130" s="40"/>
      <c r="D6130" s="41"/>
      <c r="E6130" s="43">
        <f>C6130</f>
        <v>0</v>
      </c>
      <c r="F6130" s="42"/>
    </row>
    <row r="6131" spans="1:6">
      <c r="A6131" s="39">
        <f>A6130</f>
        <v>46048</v>
      </c>
      <c r="B6131" s="40"/>
      <c r="C6131" s="40"/>
      <c r="D6131" s="41"/>
      <c r="E6131" s="43">
        <f>C6131</f>
        <v>0</v>
      </c>
      <c r="F6131" s="42"/>
    </row>
    <row r="6132" spans="1:6">
      <c r="A6132" s="39">
        <f>A6131</f>
        <v>46048</v>
      </c>
      <c r="B6132" s="40"/>
      <c r="C6132" s="40"/>
      <c r="D6132" s="41"/>
      <c r="E6132" s="43">
        <f>C6132</f>
        <v>0</v>
      </c>
      <c r="F6132" s="42"/>
    </row>
    <row r="6133" spans="1:6">
      <c r="A6133" s="39">
        <f>A6132</f>
        <v>46048</v>
      </c>
      <c r="B6133" s="40"/>
      <c r="C6133" s="40"/>
      <c r="D6133" s="41"/>
      <c r="E6133" s="43">
        <f>C6133</f>
        <v>0</v>
      </c>
      <c r="F6133" s="42"/>
    </row>
    <row r="6134" spans="1:6">
      <c r="A6134" s="39">
        <f>A6133</f>
        <v>46048</v>
      </c>
      <c r="B6134" s="40"/>
      <c r="C6134" s="40"/>
      <c r="D6134" s="41"/>
      <c r="E6134" s="43">
        <f>C6134</f>
        <v>0</v>
      </c>
      <c r="F6134" s="42"/>
    </row>
    <row r="6135" spans="1:6">
      <c r="A6135" s="39">
        <f>A6134</f>
        <v>46048</v>
      </c>
      <c r="B6135" s="40"/>
      <c r="C6135" s="40"/>
      <c r="D6135" s="41"/>
      <c r="E6135" s="43">
        <f>C6135</f>
        <v>0</v>
      </c>
      <c r="F6135" s="42"/>
    </row>
    <row r="6136" spans="1:6">
      <c r="A6136" s="39">
        <f>A6135</f>
        <v>46048</v>
      </c>
      <c r="B6136" s="40"/>
      <c r="C6136" s="40"/>
      <c r="D6136" s="41"/>
      <c r="E6136" s="43">
        <f>C6136</f>
        <v>0</v>
      </c>
      <c r="F6136" s="42"/>
    </row>
    <row r="6137" spans="1:6">
      <c r="A6137" s="39">
        <f>A6136</f>
        <v>46048</v>
      </c>
      <c r="B6137" s="40"/>
      <c r="C6137" s="40"/>
      <c r="D6137" s="41"/>
      <c r="E6137" s="43">
        <f>C6137</f>
        <v>0</v>
      </c>
      <c r="F6137" s="42"/>
    </row>
    <row r="6138" spans="1:6">
      <c r="A6138" s="39">
        <f>A6137</f>
        <v>46048</v>
      </c>
      <c r="B6138" s="40"/>
      <c r="C6138" s="40"/>
      <c r="D6138" s="41"/>
      <c r="E6138" s="43">
        <f>C6138</f>
        <v>0</v>
      </c>
      <c r="F6138" s="42"/>
    </row>
    <row r="6139" spans="1:6">
      <c r="A6139" s="39">
        <f>A6138</f>
        <v>46048</v>
      </c>
      <c r="B6139" s="40"/>
      <c r="C6139" s="40"/>
      <c r="D6139" s="41"/>
      <c r="E6139" s="43">
        <f>C6139</f>
        <v>0</v>
      </c>
      <c r="F6139" s="42"/>
    </row>
    <row r="6140" spans="1:6">
      <c r="A6140" s="39">
        <f>A6139</f>
        <v>46048</v>
      </c>
      <c r="B6140" s="40"/>
      <c r="C6140" s="40"/>
      <c r="D6140" s="41"/>
      <c r="E6140" s="43">
        <f>C6140</f>
        <v>0</v>
      </c>
      <c r="F6140" s="42"/>
    </row>
    <row r="6141" spans="1:6">
      <c r="A6141" s="39">
        <f>A6140</f>
        <v>46048</v>
      </c>
      <c r="B6141" s="40"/>
      <c r="C6141" s="40"/>
      <c r="D6141" s="41"/>
      <c r="E6141" s="43">
        <f>C6141</f>
        <v>0</v>
      </c>
      <c r="F6141" s="42"/>
    </row>
    <row r="6142" spans="1:6">
      <c r="A6142" s="39">
        <f>A6141</f>
        <v>46048</v>
      </c>
      <c r="B6142" s="40"/>
      <c r="C6142" s="40"/>
      <c r="D6142" s="41"/>
      <c r="E6142" s="43">
        <f>C6142</f>
        <v>0</v>
      </c>
      <c r="F6142" s="42"/>
    </row>
    <row r="6143" spans="1:6">
      <c r="A6143" s="39">
        <f>A6142</f>
        <v>46048</v>
      </c>
      <c r="B6143" s="40"/>
      <c r="C6143" s="40"/>
      <c r="D6143" s="41"/>
      <c r="E6143" s="43">
        <f>C6143</f>
        <v>0</v>
      </c>
      <c r="F6143" s="42"/>
    </row>
    <row r="6144" spans="1:6">
      <c r="A6144" s="39">
        <f>A6143</f>
        <v>46048</v>
      </c>
      <c r="B6144" s="40"/>
      <c r="C6144" s="40"/>
      <c r="D6144" s="41"/>
      <c r="E6144" s="43">
        <f>C6144</f>
        <v>0</v>
      </c>
      <c r="F6144" s="42"/>
    </row>
    <row r="6145" spans="1:6">
      <c r="A6145" s="39">
        <f>A6144</f>
        <v>46048</v>
      </c>
      <c r="B6145" s="40"/>
      <c r="C6145" s="40"/>
      <c r="D6145" s="41"/>
      <c r="E6145" s="43">
        <f>C6145</f>
        <v>0</v>
      </c>
      <c r="F6145" s="42"/>
    </row>
    <row r="6146" spans="1:6">
      <c r="A6146" s="39">
        <f>A6145</f>
        <v>46048</v>
      </c>
      <c r="B6146" s="40"/>
      <c r="C6146" s="40"/>
      <c r="D6146" s="41"/>
      <c r="E6146" s="43">
        <f>C6146</f>
        <v>0</v>
      </c>
      <c r="F6146" s="42"/>
    </row>
    <row r="6147" spans="1:6">
      <c r="A6147" s="39">
        <f>A6146</f>
        <v>46048</v>
      </c>
      <c r="B6147" s="40"/>
      <c r="C6147" s="40"/>
      <c r="D6147" s="41"/>
      <c r="E6147" s="43">
        <f>C6147</f>
        <v>0</v>
      </c>
      <c r="F6147" s="42"/>
    </row>
    <row r="6148" spans="1:6">
      <c r="A6148" s="39">
        <f>A6147</f>
        <v>46048</v>
      </c>
      <c r="B6148" s="40"/>
      <c r="C6148" s="40"/>
      <c r="D6148" s="41"/>
      <c r="E6148" s="43">
        <f>C6148</f>
        <v>0</v>
      </c>
      <c r="F6148" s="42"/>
    </row>
    <row r="6149" spans="1:6">
      <c r="A6149" s="39">
        <f>A6148</f>
        <v>46048</v>
      </c>
      <c r="B6149" s="40"/>
      <c r="C6149" s="40"/>
      <c r="D6149" s="41"/>
      <c r="E6149" s="43">
        <f>C6149</f>
        <v>0</v>
      </c>
      <c r="F6149" s="42"/>
    </row>
    <row r="6150" spans="1:6">
      <c r="A6150" s="39">
        <f>A6149</f>
        <v>46048</v>
      </c>
      <c r="B6150" s="40"/>
      <c r="C6150" s="40"/>
      <c r="D6150" s="41"/>
      <c r="E6150" s="43">
        <f>C6150</f>
        <v>0</v>
      </c>
      <c r="F6150" s="42"/>
    </row>
    <row r="6151" spans="1:6">
      <c r="A6151" s="39">
        <f>A6150</f>
        <v>46048</v>
      </c>
      <c r="B6151" s="40"/>
      <c r="C6151" s="40"/>
      <c r="D6151" s="41"/>
      <c r="E6151" s="43">
        <f>C6151</f>
        <v>0</v>
      </c>
      <c r="F6151" s="42"/>
    </row>
    <row r="6152" spans="1:6">
      <c r="A6152" s="39">
        <f>A6151</f>
        <v>46048</v>
      </c>
      <c r="B6152" s="40"/>
      <c r="C6152" s="40"/>
      <c r="D6152" s="41"/>
      <c r="E6152" s="43">
        <f>C6152</f>
        <v>0</v>
      </c>
      <c r="F6152" s="42"/>
    </row>
    <row r="6153" spans="1:6">
      <c r="A6153" s="39">
        <f>A6152</f>
        <v>46048</v>
      </c>
      <c r="B6153" s="40"/>
      <c r="C6153" s="40"/>
      <c r="D6153" s="41"/>
      <c r="E6153" s="43">
        <f>C6153</f>
        <v>0</v>
      </c>
      <c r="F6153" s="42"/>
    </row>
    <row r="6154" spans="1:6">
      <c r="A6154" s="39">
        <f>A6153</f>
        <v>46048</v>
      </c>
      <c r="B6154" s="40"/>
      <c r="C6154" s="40"/>
      <c r="D6154" s="41"/>
      <c r="E6154" s="43">
        <f>C6154</f>
        <v>0</v>
      </c>
      <c r="F6154" s="42"/>
    </row>
    <row r="6155" spans="1:6">
      <c r="A6155" s="39">
        <f>A6154</f>
        <v>46048</v>
      </c>
      <c r="B6155" s="40"/>
      <c r="C6155" s="40"/>
      <c r="D6155" s="41"/>
      <c r="E6155" s="43">
        <f>C6155</f>
        <v>0</v>
      </c>
      <c r="F6155" s="42"/>
    </row>
    <row r="6156" spans="1:6">
      <c r="A6156" s="39">
        <f>A6155</f>
        <v>46048</v>
      </c>
      <c r="B6156" s="40"/>
      <c r="C6156" s="40"/>
      <c r="D6156" s="41"/>
      <c r="E6156" s="43">
        <f>C6156</f>
        <v>0</v>
      </c>
      <c r="F6156" s="42"/>
    </row>
    <row r="6157" spans="1:6">
      <c r="A6157" s="39">
        <f>A6156</f>
        <v>46048</v>
      </c>
      <c r="B6157" s="40"/>
      <c r="C6157" s="40"/>
      <c r="D6157" s="41"/>
      <c r="E6157" s="43">
        <f>C6157</f>
        <v>0</v>
      </c>
      <c r="F6157" s="42"/>
    </row>
    <row r="6158" spans="1:6">
      <c r="A6158" s="39">
        <f>A6157</f>
        <v>46048</v>
      </c>
      <c r="B6158" s="40"/>
      <c r="C6158" s="40"/>
      <c r="D6158" s="41"/>
      <c r="E6158" s="43">
        <f>C6158</f>
        <v>0</v>
      </c>
      <c r="F6158" s="42"/>
    </row>
    <row r="6159" spans="1:6">
      <c r="A6159" s="39">
        <f>A6158</f>
        <v>46048</v>
      </c>
      <c r="B6159" s="40"/>
      <c r="C6159" s="40"/>
      <c r="D6159" s="41"/>
      <c r="E6159" s="43">
        <f>C6159</f>
        <v>0</v>
      </c>
      <c r="F6159" s="42"/>
    </row>
    <row r="6160" spans="1:6">
      <c r="A6160" s="39">
        <f>A6159</f>
        <v>46048</v>
      </c>
      <c r="B6160" s="40"/>
      <c r="C6160" s="40"/>
      <c r="D6160" s="41"/>
      <c r="E6160" s="43">
        <f>C6160</f>
        <v>0</v>
      </c>
      <c r="F6160" s="42"/>
    </row>
    <row r="6161" spans="1:6">
      <c r="A6161" s="39">
        <f>A6160</f>
        <v>46048</v>
      </c>
      <c r="B6161" s="40"/>
      <c r="C6161" s="40"/>
      <c r="D6161" s="41"/>
      <c r="E6161" s="43">
        <f>C6161</f>
        <v>0</v>
      </c>
      <c r="F6161" s="42"/>
    </row>
    <row r="6162" spans="1:6">
      <c r="A6162" s="39">
        <f>A6161</f>
        <v>46048</v>
      </c>
      <c r="B6162" s="40"/>
      <c r="C6162" s="40"/>
      <c r="D6162" s="41"/>
      <c r="E6162" s="43">
        <f>C6162</f>
        <v>0</v>
      </c>
      <c r="F6162" s="42"/>
    </row>
    <row r="6163" spans="1:6">
      <c r="A6163" s="39">
        <f>A6162</f>
        <v>46048</v>
      </c>
      <c r="B6163" s="40"/>
      <c r="C6163" s="40"/>
      <c r="D6163" s="41"/>
      <c r="E6163" s="43">
        <f>C6163</f>
        <v>0</v>
      </c>
      <c r="F6163" s="42"/>
    </row>
    <row r="6164" spans="1:6">
      <c r="A6164" s="39">
        <f>A6163</f>
        <v>46048</v>
      </c>
      <c r="B6164" s="40"/>
      <c r="C6164" s="40"/>
      <c r="D6164" s="41"/>
      <c r="E6164" s="43">
        <f>C6164</f>
        <v>0</v>
      </c>
      <c r="F6164" s="42"/>
    </row>
    <row r="6165" spans="1:6">
      <c r="A6165" s="39">
        <f>A6164</f>
        <v>46048</v>
      </c>
      <c r="B6165" s="40"/>
      <c r="C6165" s="40"/>
      <c r="D6165" s="41"/>
      <c r="E6165" s="43">
        <f>C6165</f>
        <v>0</v>
      </c>
      <c r="F6165" s="42"/>
    </row>
    <row r="6166" spans="1:6">
      <c r="A6166" s="39">
        <f>A6165</f>
        <v>46048</v>
      </c>
      <c r="B6166" s="40"/>
      <c r="C6166" s="40"/>
      <c r="D6166" s="41"/>
      <c r="E6166" s="43">
        <f>C6166</f>
        <v>0</v>
      </c>
      <c r="F6166" s="42"/>
    </row>
    <row r="6167" spans="1:6">
      <c r="A6167" s="39">
        <f>A6166</f>
        <v>46048</v>
      </c>
      <c r="B6167" s="40"/>
      <c r="C6167" s="40"/>
      <c r="D6167" s="41"/>
      <c r="E6167" s="43">
        <f>C6167</f>
        <v>0</v>
      </c>
      <c r="F6167" s="42"/>
    </row>
    <row r="6168" spans="1:6">
      <c r="A6168" s="39">
        <f>A6167</f>
        <v>46048</v>
      </c>
      <c r="B6168" s="40"/>
      <c r="C6168" s="40"/>
      <c r="D6168" s="41"/>
      <c r="E6168" s="43">
        <f>C6168</f>
        <v>0</v>
      </c>
      <c r="F6168" s="42"/>
    </row>
    <row r="6169" spans="1:6">
      <c r="A6169" s="39">
        <f>A6168</f>
        <v>46048</v>
      </c>
      <c r="B6169" s="40"/>
      <c r="C6169" s="40"/>
      <c r="D6169" s="41"/>
      <c r="E6169" s="43">
        <f>C6169</f>
        <v>0</v>
      </c>
      <c r="F6169" s="42"/>
    </row>
    <row r="6170" spans="1:6">
      <c r="A6170" s="39">
        <f>A6169</f>
        <v>46048</v>
      </c>
      <c r="B6170" s="40"/>
      <c r="C6170" s="40"/>
      <c r="D6170" s="41"/>
      <c r="E6170" s="43">
        <f>C6170</f>
        <v>0</v>
      </c>
      <c r="F6170" s="42"/>
    </row>
    <row r="6171" spans="1:6">
      <c r="A6171" s="39">
        <f>A6170</f>
        <v>46048</v>
      </c>
      <c r="B6171" s="40"/>
      <c r="C6171" s="40"/>
      <c r="D6171" s="41"/>
      <c r="E6171" s="43">
        <f>C6171</f>
        <v>0</v>
      </c>
      <c r="F6171" s="42"/>
    </row>
    <row r="6172" spans="1:6">
      <c r="A6172" s="39">
        <f>A6171</f>
        <v>46048</v>
      </c>
      <c r="B6172" s="40"/>
      <c r="C6172" s="40"/>
      <c r="D6172" s="41"/>
      <c r="E6172" s="43">
        <f>C6172</f>
        <v>0</v>
      </c>
      <c r="F6172" s="42"/>
    </row>
    <row r="6173" spans="1:6">
      <c r="A6173" s="39">
        <f>A6172</f>
        <v>46048</v>
      </c>
      <c r="B6173" s="40"/>
      <c r="C6173" s="40"/>
      <c r="D6173" s="41"/>
      <c r="E6173" s="43">
        <f>C6173</f>
        <v>0</v>
      </c>
      <c r="F6173" s="42"/>
    </row>
    <row r="6174" spans="1:6">
      <c r="A6174" s="39">
        <f>A6173</f>
        <v>46048</v>
      </c>
      <c r="B6174" s="40"/>
      <c r="C6174" s="40"/>
      <c r="D6174" s="41"/>
      <c r="E6174" s="43">
        <f>C6174</f>
        <v>0</v>
      </c>
      <c r="F6174" s="42"/>
    </row>
    <row r="6175" spans="1:6">
      <c r="A6175" s="39">
        <f>A6174</f>
        <v>46048</v>
      </c>
      <c r="B6175" s="40"/>
      <c r="C6175" s="40"/>
      <c r="D6175" s="41"/>
      <c r="E6175" s="43">
        <f>C6175</f>
        <v>0</v>
      </c>
      <c r="F6175" s="42"/>
    </row>
    <row r="6176" spans="1:6">
      <c r="A6176" s="39">
        <f>A6175</f>
        <v>46048</v>
      </c>
      <c r="B6176" s="40"/>
      <c r="C6176" s="40"/>
      <c r="D6176" s="41"/>
      <c r="E6176" s="43">
        <f>C6176</f>
        <v>0</v>
      </c>
      <c r="F6176" s="42"/>
    </row>
    <row r="6177" spans="1:6">
      <c r="A6177" s="39">
        <f>A6176</f>
        <v>46048</v>
      </c>
      <c r="B6177" s="40"/>
      <c r="C6177" s="40"/>
      <c r="D6177" s="41"/>
      <c r="E6177" s="43">
        <f>C6177</f>
        <v>0</v>
      </c>
      <c r="F6177" s="42"/>
    </row>
    <row r="6178" spans="1:6">
      <c r="A6178" s="39">
        <f>A6177</f>
        <v>46048</v>
      </c>
      <c r="B6178" s="40"/>
      <c r="C6178" s="40"/>
      <c r="D6178" s="41"/>
      <c r="E6178" s="43">
        <f>C6178</f>
        <v>0</v>
      </c>
      <c r="F6178" s="42"/>
    </row>
    <row r="6179" spans="1:6">
      <c r="A6179" s="39">
        <f>A6178</f>
        <v>46048</v>
      </c>
      <c r="B6179" s="40"/>
      <c r="C6179" s="40"/>
      <c r="D6179" s="41"/>
      <c r="E6179" s="43">
        <f>C6179</f>
        <v>0</v>
      </c>
      <c r="F6179" s="42"/>
    </row>
    <row r="6180" spans="1:6">
      <c r="A6180" s="39">
        <f>A6179</f>
        <v>46048</v>
      </c>
      <c r="B6180" s="40"/>
      <c r="C6180" s="40"/>
      <c r="D6180" s="41"/>
      <c r="E6180" s="43">
        <f>C6180</f>
        <v>0</v>
      </c>
      <c r="F6180" s="42"/>
    </row>
    <row r="6181" spans="1:6">
      <c r="A6181" s="39">
        <f>A6180</f>
        <v>46048</v>
      </c>
      <c r="B6181" s="40"/>
      <c r="C6181" s="40"/>
      <c r="D6181" s="41"/>
      <c r="E6181" s="43">
        <f>C6181</f>
        <v>0</v>
      </c>
      <c r="F6181" s="42"/>
    </row>
    <row r="6182" spans="1:6">
      <c r="A6182" s="39">
        <f>A6181</f>
        <v>46048</v>
      </c>
      <c r="B6182" s="40"/>
      <c r="C6182" s="40"/>
      <c r="D6182" s="41"/>
      <c r="E6182" s="43">
        <f>C6182</f>
        <v>0</v>
      </c>
      <c r="F6182" s="42"/>
    </row>
    <row r="6183" spans="1:6">
      <c r="A6183" s="39">
        <f>A6182</f>
        <v>46048</v>
      </c>
      <c r="B6183" s="40"/>
      <c r="C6183" s="40"/>
      <c r="D6183" s="41"/>
      <c r="E6183" s="43">
        <f>C6183</f>
        <v>0</v>
      </c>
      <c r="F6183" s="42"/>
    </row>
    <row r="6184" spans="1:6">
      <c r="A6184" s="39">
        <f>A6183</f>
        <v>46048</v>
      </c>
      <c r="B6184" s="40"/>
      <c r="C6184" s="40"/>
      <c r="D6184" s="41"/>
      <c r="E6184" s="43">
        <f>C6184</f>
        <v>0</v>
      </c>
      <c r="F6184" s="42"/>
    </row>
    <row r="6185" spans="1:6">
      <c r="A6185" s="39">
        <f>A6184</f>
        <v>46048</v>
      </c>
      <c r="B6185" s="40"/>
      <c r="C6185" s="40"/>
      <c r="D6185" s="41"/>
      <c r="E6185" s="43">
        <f>C6185</f>
        <v>0</v>
      </c>
      <c r="F6185" s="42"/>
    </row>
    <row r="6186" spans="1:6">
      <c r="A6186" s="39">
        <f>A6185</f>
        <v>46048</v>
      </c>
      <c r="B6186" s="40"/>
      <c r="C6186" s="40"/>
      <c r="D6186" s="41"/>
      <c r="E6186" s="43">
        <f>C6186</f>
        <v>0</v>
      </c>
      <c r="F6186" s="42"/>
    </row>
    <row r="6187" spans="1:6">
      <c r="A6187" s="39">
        <f>A6186</f>
        <v>46048</v>
      </c>
      <c r="B6187" s="40"/>
      <c r="C6187" s="40"/>
      <c r="D6187" s="41"/>
      <c r="E6187" s="43">
        <f>C6187</f>
        <v>0</v>
      </c>
      <c r="F6187" s="42"/>
    </row>
    <row r="6188" spans="1:6">
      <c r="A6188" s="39">
        <f>A6187</f>
        <v>46048</v>
      </c>
      <c r="B6188" s="40"/>
      <c r="C6188" s="40"/>
      <c r="D6188" s="41"/>
      <c r="E6188" s="43">
        <f>C6188</f>
        <v>0</v>
      </c>
      <c r="F6188" s="42"/>
    </row>
    <row r="6189" spans="1:6">
      <c r="A6189" s="39">
        <f>A6188</f>
        <v>46048</v>
      </c>
      <c r="B6189" s="40"/>
      <c r="C6189" s="40"/>
      <c r="D6189" s="41"/>
      <c r="E6189" s="43">
        <f>C6189</f>
        <v>0</v>
      </c>
      <c r="F6189" s="42"/>
    </row>
    <row r="6190" spans="1:6">
      <c r="A6190" s="39">
        <f>A6189</f>
        <v>46048</v>
      </c>
      <c r="B6190" s="40"/>
      <c r="C6190" s="40"/>
      <c r="D6190" s="41"/>
      <c r="E6190" s="43">
        <f>C6190</f>
        <v>0</v>
      </c>
      <c r="F6190" s="42"/>
    </row>
    <row r="6191" spans="1:6">
      <c r="A6191" s="39">
        <f>A6190</f>
        <v>46048</v>
      </c>
      <c r="B6191" s="40"/>
      <c r="C6191" s="40"/>
      <c r="D6191" s="41"/>
      <c r="E6191" s="43">
        <f>C6191</f>
        <v>0</v>
      </c>
      <c r="F6191" s="42"/>
    </row>
    <row r="6192" spans="1:6">
      <c r="A6192" s="39">
        <f>A6191</f>
        <v>46048</v>
      </c>
      <c r="B6192" s="40"/>
      <c r="C6192" s="40"/>
      <c r="D6192" s="41"/>
      <c r="E6192" s="43">
        <f>C6192</f>
        <v>0</v>
      </c>
      <c r="F6192" s="42"/>
    </row>
    <row r="6193" spans="1:6">
      <c r="A6193" s="39">
        <f>A6192</f>
        <v>46048</v>
      </c>
      <c r="B6193" s="40"/>
      <c r="C6193" s="40"/>
      <c r="D6193" s="41"/>
      <c r="E6193" s="43">
        <f>C6193</f>
        <v>0</v>
      </c>
      <c r="F6193" s="42"/>
    </row>
    <row r="6194" spans="1:6">
      <c r="A6194" s="39">
        <f>A6193</f>
        <v>46048</v>
      </c>
      <c r="B6194" s="40"/>
      <c r="C6194" s="40"/>
      <c r="D6194" s="41"/>
      <c r="E6194" s="43">
        <f>C6194</f>
        <v>0</v>
      </c>
      <c r="F6194" s="42"/>
    </row>
    <row r="6195" spans="1:6">
      <c r="A6195" s="39">
        <f>A6194</f>
        <v>46048</v>
      </c>
      <c r="B6195" s="40"/>
      <c r="C6195" s="40"/>
      <c r="D6195" s="41"/>
      <c r="E6195" s="43">
        <f>C6195</f>
        <v>0</v>
      </c>
      <c r="F6195" s="42"/>
    </row>
    <row r="6196" spans="1:6">
      <c r="A6196" s="39">
        <f>A6195</f>
        <v>46048</v>
      </c>
      <c r="B6196" s="40"/>
      <c r="C6196" s="40"/>
      <c r="D6196" s="41"/>
      <c r="E6196" s="43">
        <f>C6196</f>
        <v>0</v>
      </c>
      <c r="F6196" s="42"/>
    </row>
    <row r="6197" spans="1:6">
      <c r="A6197" s="39">
        <f>A6196</f>
        <v>46048</v>
      </c>
      <c r="B6197" s="40"/>
      <c r="C6197" s="40"/>
      <c r="D6197" s="41"/>
      <c r="E6197" s="43">
        <f>C6197</f>
        <v>0</v>
      </c>
      <c r="F6197" s="42"/>
    </row>
    <row r="6198" spans="1:6">
      <c r="A6198" s="39">
        <f>A6197</f>
        <v>46048</v>
      </c>
      <c r="B6198" s="40"/>
      <c r="C6198" s="40"/>
      <c r="D6198" s="41"/>
      <c r="E6198" s="43">
        <f>C6198</f>
        <v>0</v>
      </c>
      <c r="F6198" s="42"/>
    </row>
    <row r="6199" spans="1:6">
      <c r="A6199" s="39">
        <f>A6198</f>
        <v>46048</v>
      </c>
      <c r="B6199" s="40"/>
      <c r="C6199" s="40"/>
      <c r="D6199" s="41"/>
      <c r="E6199" s="43">
        <f>C6199</f>
        <v>0</v>
      </c>
      <c r="F6199" s="42"/>
    </row>
    <row r="6200" spans="1:6">
      <c r="A6200" s="39">
        <f>A6199</f>
        <v>46048</v>
      </c>
      <c r="B6200" s="40"/>
      <c r="C6200" s="40"/>
      <c r="D6200" s="41"/>
      <c r="E6200" s="43">
        <f>C6200</f>
        <v>0</v>
      </c>
      <c r="F6200" s="42"/>
    </row>
    <row r="6201" spans="1:6">
      <c r="A6201" s="39">
        <f>A6200</f>
        <v>46048</v>
      </c>
      <c r="B6201" s="40"/>
      <c r="C6201" s="40"/>
      <c r="D6201" s="41"/>
      <c r="E6201" s="43">
        <f>C6201</f>
        <v>0</v>
      </c>
      <c r="F6201" s="42"/>
    </row>
    <row r="6202" spans="1:6">
      <c r="A6202" s="39">
        <f>A6201</f>
        <v>46048</v>
      </c>
      <c r="B6202" s="40"/>
      <c r="C6202" s="40"/>
      <c r="D6202" s="41"/>
      <c r="E6202" s="43">
        <f>C6202</f>
        <v>0</v>
      </c>
      <c r="F6202" s="42"/>
    </row>
    <row r="6203" spans="1:6">
      <c r="A6203" s="39">
        <f>A6202</f>
        <v>46048</v>
      </c>
      <c r="B6203" s="40"/>
      <c r="C6203" s="40"/>
      <c r="D6203" s="41"/>
      <c r="E6203" s="43">
        <f>C6203</f>
        <v>0</v>
      </c>
      <c r="F6203" s="42"/>
    </row>
    <row r="6204" spans="1:6">
      <c r="A6204" s="39">
        <f>A6203</f>
        <v>46048</v>
      </c>
      <c r="B6204" s="40"/>
      <c r="C6204" s="40"/>
      <c r="D6204" s="41"/>
      <c r="E6204" s="43">
        <f>C6204</f>
        <v>0</v>
      </c>
      <c r="F6204" s="42"/>
    </row>
    <row r="6205" spans="1:6">
      <c r="A6205" s="39">
        <f>A6204</f>
        <v>46048</v>
      </c>
      <c r="B6205" s="40"/>
      <c r="C6205" s="40"/>
      <c r="D6205" s="41"/>
      <c r="E6205" s="43">
        <f>C6205</f>
        <v>0</v>
      </c>
      <c r="F6205" s="42"/>
    </row>
    <row r="6206" spans="1:6">
      <c r="A6206" s="39">
        <f>A6205</f>
        <v>46048</v>
      </c>
      <c r="B6206" s="40"/>
      <c r="C6206" s="40"/>
      <c r="D6206" s="41"/>
      <c r="E6206" s="43">
        <f>C6206</f>
        <v>0</v>
      </c>
      <c r="F6206" s="42"/>
    </row>
    <row r="6207" spans="1:6">
      <c r="A6207" s="39">
        <f>A6206</f>
        <v>46048</v>
      </c>
      <c r="B6207" s="40"/>
      <c r="C6207" s="40"/>
      <c r="D6207" s="41"/>
      <c r="E6207" s="43">
        <f>C6207</f>
        <v>0</v>
      </c>
      <c r="F6207" s="42"/>
    </row>
    <row r="6208" spans="1:6">
      <c r="A6208" s="39">
        <f>A6207</f>
        <v>46048</v>
      </c>
      <c r="B6208" s="40"/>
      <c r="C6208" s="40"/>
      <c r="D6208" s="41"/>
      <c r="E6208" s="43">
        <f>C6208</f>
        <v>0</v>
      </c>
      <c r="F6208" s="42"/>
    </row>
    <row r="6209" spans="1:6">
      <c r="A6209" s="39">
        <f>A6208</f>
        <v>46048</v>
      </c>
      <c r="B6209" s="40"/>
      <c r="C6209" s="40"/>
      <c r="D6209" s="41"/>
      <c r="E6209" s="43">
        <f>C6209</f>
        <v>0</v>
      </c>
      <c r="F6209" s="42"/>
    </row>
    <row r="6210" spans="1:6">
      <c r="A6210" s="39">
        <f>A6209</f>
        <v>46048</v>
      </c>
      <c r="B6210" s="40"/>
      <c r="C6210" s="40"/>
      <c r="D6210" s="41"/>
      <c r="E6210" s="43">
        <f>C6210</f>
        <v>0</v>
      </c>
      <c r="F6210" s="42"/>
    </row>
    <row r="6211" spans="1:6">
      <c r="A6211" s="39">
        <f>A6210</f>
        <v>46048</v>
      </c>
      <c r="B6211" s="40"/>
      <c r="C6211" s="40"/>
      <c r="D6211" s="41"/>
      <c r="E6211" s="43">
        <f>C6211</f>
        <v>0</v>
      </c>
      <c r="F6211" s="42"/>
    </row>
    <row r="6212" spans="1:6">
      <c r="A6212" s="39">
        <f>A6211</f>
        <v>46048</v>
      </c>
      <c r="B6212" s="40"/>
      <c r="C6212" s="40"/>
      <c r="D6212" s="41"/>
      <c r="E6212" s="43">
        <f>C6212</f>
        <v>0</v>
      </c>
      <c r="F6212" s="42"/>
    </row>
    <row r="6213" spans="1:6">
      <c r="A6213" s="39">
        <f>A6212</f>
        <v>46048</v>
      </c>
      <c r="B6213" s="40"/>
      <c r="C6213" s="40"/>
      <c r="D6213" s="41"/>
      <c r="E6213" s="43">
        <f>C6213</f>
        <v>0</v>
      </c>
      <c r="F6213" s="42"/>
    </row>
    <row r="6214" spans="1:6">
      <c r="A6214" s="39">
        <f>A6213</f>
        <v>46048</v>
      </c>
      <c r="B6214" s="40"/>
      <c r="C6214" s="40"/>
      <c r="D6214" s="41"/>
      <c r="E6214" s="43">
        <f>C6214</f>
        <v>0</v>
      </c>
      <c r="F6214" s="42"/>
    </row>
    <row r="6215" spans="1:6">
      <c r="A6215" s="39">
        <f>A6214</f>
        <v>46048</v>
      </c>
      <c r="B6215" s="40"/>
      <c r="C6215" s="40"/>
      <c r="D6215" s="41"/>
      <c r="E6215" s="43">
        <f>C6215</f>
        <v>0</v>
      </c>
      <c r="F6215" s="42"/>
    </row>
    <row r="6216" spans="1:6">
      <c r="A6216" s="39">
        <f>A6215</f>
        <v>46048</v>
      </c>
      <c r="B6216" s="40"/>
      <c r="C6216" s="40"/>
      <c r="D6216" s="41"/>
      <c r="E6216" s="43">
        <f>C6216</f>
        <v>0</v>
      </c>
      <c r="F6216" s="42"/>
    </row>
    <row r="6217" spans="1:6">
      <c r="A6217" s="39">
        <f>A6216</f>
        <v>46048</v>
      </c>
      <c r="B6217" s="40"/>
      <c r="C6217" s="40"/>
      <c r="D6217" s="41"/>
      <c r="E6217" s="43">
        <f>C6217</f>
        <v>0</v>
      </c>
      <c r="F6217" s="42"/>
    </row>
    <row r="6218" spans="1:6">
      <c r="A6218" s="39">
        <f>A6217</f>
        <v>46048</v>
      </c>
      <c r="B6218" s="40"/>
      <c r="C6218" s="40"/>
      <c r="D6218" s="41"/>
      <c r="E6218" s="43">
        <f>C6218</f>
        <v>0</v>
      </c>
      <c r="F6218" s="42"/>
    </row>
    <row r="6219" spans="1:6">
      <c r="A6219" s="39">
        <f>A6218</f>
        <v>46048</v>
      </c>
      <c r="B6219" s="40"/>
      <c r="C6219" s="40"/>
      <c r="D6219" s="41"/>
      <c r="E6219" s="43">
        <f>C6219</f>
        <v>0</v>
      </c>
      <c r="F6219" s="42"/>
    </row>
    <row r="6220" spans="1:6">
      <c r="A6220" s="39">
        <f>A6219</f>
        <v>46048</v>
      </c>
      <c r="B6220" s="40"/>
      <c r="C6220" s="40"/>
      <c r="D6220" s="41"/>
      <c r="E6220" s="43">
        <f>C6220</f>
        <v>0</v>
      </c>
      <c r="F6220" s="42"/>
    </row>
    <row r="6221" spans="1:6">
      <c r="A6221" s="39">
        <f>A6220</f>
        <v>46048</v>
      </c>
      <c r="B6221" s="40"/>
      <c r="C6221" s="40"/>
      <c r="D6221" s="41"/>
      <c r="E6221" s="43">
        <f>C6221</f>
        <v>0</v>
      </c>
      <c r="F6221" s="42"/>
    </row>
    <row r="6222" spans="1:6">
      <c r="A6222" s="39">
        <f>A6221</f>
        <v>46048</v>
      </c>
      <c r="B6222" s="40"/>
      <c r="C6222" s="40"/>
      <c r="D6222" s="41"/>
      <c r="E6222" s="43">
        <f>C6222</f>
        <v>0</v>
      </c>
      <c r="F6222" s="42"/>
    </row>
    <row r="6223" spans="1:6">
      <c r="A6223" s="39">
        <f>A6222</f>
        <v>46048</v>
      </c>
      <c r="B6223" s="40"/>
      <c r="C6223" s="40"/>
      <c r="D6223" s="41"/>
      <c r="E6223" s="43">
        <f>C6223</f>
        <v>0</v>
      </c>
      <c r="F6223" s="42"/>
    </row>
    <row r="6224" spans="1:6">
      <c r="A6224" s="39">
        <f>A6223</f>
        <v>46048</v>
      </c>
      <c r="B6224" s="40"/>
      <c r="C6224" s="40"/>
      <c r="D6224" s="41"/>
      <c r="E6224" s="43">
        <f>C6224</f>
        <v>0</v>
      </c>
      <c r="F6224" s="42"/>
    </row>
    <row r="6225" spans="1:6">
      <c r="A6225" s="39">
        <f>A6224</f>
        <v>46048</v>
      </c>
      <c r="B6225" s="40"/>
      <c r="C6225" s="40"/>
      <c r="D6225" s="41"/>
      <c r="E6225" s="43">
        <f>C6225</f>
        <v>0</v>
      </c>
      <c r="F6225" s="42"/>
    </row>
    <row r="6226" spans="1:6">
      <c r="A6226" s="39">
        <f>A6225</f>
        <v>46048</v>
      </c>
      <c r="B6226" s="40"/>
      <c r="C6226" s="40"/>
      <c r="D6226" s="41"/>
      <c r="E6226" s="43">
        <f>C6226</f>
        <v>0</v>
      </c>
      <c r="F6226" s="42"/>
    </row>
    <row r="6227" spans="1:6">
      <c r="A6227" s="39">
        <f>A6226</f>
        <v>46048</v>
      </c>
      <c r="B6227" s="40"/>
      <c r="C6227" s="40"/>
      <c r="D6227" s="41"/>
      <c r="E6227" s="43">
        <f>C6227</f>
        <v>0</v>
      </c>
      <c r="F6227" s="42"/>
    </row>
    <row r="6228" spans="1:6">
      <c r="A6228" s="39">
        <f>A6227</f>
        <v>46048</v>
      </c>
      <c r="B6228" s="40"/>
      <c r="C6228" s="40"/>
      <c r="D6228" s="41"/>
      <c r="E6228" s="43">
        <f>C6228</f>
        <v>0</v>
      </c>
      <c r="F6228" s="42"/>
    </row>
    <row r="6229" spans="1:6">
      <c r="A6229" s="39">
        <f>A6228</f>
        <v>46048</v>
      </c>
      <c r="B6229" s="40"/>
      <c r="C6229" s="40"/>
      <c r="D6229" s="41"/>
      <c r="E6229" s="43">
        <f>C6229</f>
        <v>0</v>
      </c>
      <c r="F6229" s="42"/>
    </row>
    <row r="6230" spans="1:6">
      <c r="A6230" s="39">
        <f>A6229</f>
        <v>46048</v>
      </c>
      <c r="B6230" s="40"/>
      <c r="C6230" s="40"/>
      <c r="D6230" s="41"/>
      <c r="E6230" s="43">
        <f>C6230</f>
        <v>0</v>
      </c>
      <c r="F6230" s="42"/>
    </row>
    <row r="6231" spans="1:6">
      <c r="A6231" s="39">
        <f>A6230</f>
        <v>46048</v>
      </c>
      <c r="B6231" s="40"/>
      <c r="C6231" s="40"/>
      <c r="D6231" s="41"/>
      <c r="E6231" s="43">
        <f>C6231</f>
        <v>0</v>
      </c>
      <c r="F6231" s="42"/>
    </row>
    <row r="6232" spans="1:6">
      <c r="A6232" s="39">
        <f>A6231</f>
        <v>46048</v>
      </c>
      <c r="B6232" s="40"/>
      <c r="C6232" s="40"/>
      <c r="D6232" s="41"/>
      <c r="E6232" s="43">
        <f>C6232</f>
        <v>0</v>
      </c>
      <c r="F6232" s="42"/>
    </row>
    <row r="6233" spans="1:6">
      <c r="A6233" s="39">
        <f>A6232</f>
        <v>46048</v>
      </c>
      <c r="B6233" s="40"/>
      <c r="C6233" s="40"/>
      <c r="D6233" s="41"/>
      <c r="E6233" s="43">
        <f>C6233</f>
        <v>0</v>
      </c>
      <c r="F6233" s="42"/>
    </row>
    <row r="6234" spans="1:6">
      <c r="A6234" s="39">
        <f>A6233</f>
        <v>46048</v>
      </c>
      <c r="B6234" s="40"/>
      <c r="C6234" s="40"/>
      <c r="D6234" s="41"/>
      <c r="E6234" s="43">
        <f>C6234</f>
        <v>0</v>
      </c>
      <c r="F6234" s="42"/>
    </row>
    <row r="6235" spans="1:6">
      <c r="A6235" s="39">
        <f>A6234</f>
        <v>46048</v>
      </c>
      <c r="B6235" s="40"/>
      <c r="C6235" s="40"/>
      <c r="D6235" s="41"/>
      <c r="E6235" s="43">
        <f>C6235</f>
        <v>0</v>
      </c>
      <c r="F6235" s="42"/>
    </row>
    <row r="6236" spans="1:6">
      <c r="A6236" s="39">
        <f>A6235</f>
        <v>46048</v>
      </c>
      <c r="B6236" s="40"/>
      <c r="C6236" s="40"/>
      <c r="D6236" s="41"/>
      <c r="E6236" s="43">
        <f>C6236</f>
        <v>0</v>
      </c>
      <c r="F6236" s="42"/>
    </row>
    <row r="6237" spans="1:6">
      <c r="A6237" s="39">
        <f>A6236</f>
        <v>46048</v>
      </c>
      <c r="B6237" s="40"/>
      <c r="C6237" s="40"/>
      <c r="D6237" s="41"/>
      <c r="E6237" s="43">
        <f>C6237</f>
        <v>0</v>
      </c>
      <c r="F6237" s="42"/>
    </row>
    <row r="6238" spans="1:6">
      <c r="A6238" s="39">
        <f>A6237</f>
        <v>46048</v>
      </c>
      <c r="B6238" s="40"/>
      <c r="C6238" s="40"/>
      <c r="D6238" s="41"/>
      <c r="E6238" s="43">
        <f>C6238</f>
        <v>0</v>
      </c>
      <c r="F6238" s="42"/>
    </row>
    <row r="6239" spans="1:6">
      <c r="A6239" s="39">
        <f>A6238</f>
        <v>46048</v>
      </c>
      <c r="B6239" s="40"/>
      <c r="C6239" s="40"/>
      <c r="D6239" s="41"/>
      <c r="E6239" s="43">
        <f>C6239</f>
        <v>0</v>
      </c>
      <c r="F6239" s="42"/>
    </row>
    <row r="6240" spans="1:6">
      <c r="A6240" s="39">
        <f>A6239</f>
        <v>46048</v>
      </c>
      <c r="B6240" s="40"/>
      <c r="C6240" s="40"/>
      <c r="D6240" s="41"/>
      <c r="E6240" s="43">
        <f>C6240</f>
        <v>0</v>
      </c>
      <c r="F6240" s="42"/>
    </row>
    <row r="6241" spans="1:6">
      <c r="A6241" s="39">
        <f>A6240</f>
        <v>46048</v>
      </c>
      <c r="B6241" s="40"/>
      <c r="C6241" s="40"/>
      <c r="D6241" s="41"/>
      <c r="E6241" s="43">
        <f>C6241</f>
        <v>0</v>
      </c>
      <c r="F6241" s="42"/>
    </row>
    <row r="6242" spans="1:6">
      <c r="A6242" s="39">
        <f>A6241</f>
        <v>46048</v>
      </c>
      <c r="B6242" s="40"/>
      <c r="C6242" s="40"/>
      <c r="D6242" s="41"/>
      <c r="E6242" s="43">
        <f>C6242</f>
        <v>0</v>
      </c>
      <c r="F6242" s="42"/>
    </row>
    <row r="6243" spans="1:6">
      <c r="A6243" s="39">
        <f>A6242</f>
        <v>46048</v>
      </c>
      <c r="B6243" s="40"/>
      <c r="C6243" s="40"/>
      <c r="D6243" s="41"/>
      <c r="E6243" s="43">
        <f>C6243</f>
        <v>0</v>
      </c>
      <c r="F6243" s="42"/>
    </row>
    <row r="6244" spans="1:6">
      <c r="A6244" s="39">
        <f>A6243</f>
        <v>46048</v>
      </c>
      <c r="B6244" s="40"/>
      <c r="C6244" s="40"/>
      <c r="D6244" s="41"/>
      <c r="E6244" s="43">
        <f>C6244</f>
        <v>0</v>
      </c>
      <c r="F6244" s="42"/>
    </row>
    <row r="6245" spans="1:6">
      <c r="A6245" s="39">
        <f>A6244</f>
        <v>46048</v>
      </c>
      <c r="B6245" s="40"/>
      <c r="C6245" s="40"/>
      <c r="D6245" s="41"/>
      <c r="E6245" s="43">
        <f>C6245</f>
        <v>0</v>
      </c>
      <c r="F6245" s="42"/>
    </row>
    <row r="6246" spans="1:6">
      <c r="A6246" s="39">
        <f>A6245</f>
        <v>46048</v>
      </c>
      <c r="B6246" s="40"/>
      <c r="C6246" s="40"/>
      <c r="D6246" s="41"/>
      <c r="E6246" s="43">
        <f>C6246</f>
        <v>0</v>
      </c>
      <c r="F6246" s="42"/>
    </row>
    <row r="6247" spans="1:6">
      <c r="A6247" s="39">
        <f>A6246</f>
        <v>46048</v>
      </c>
      <c r="B6247" s="40"/>
      <c r="C6247" s="40"/>
      <c r="D6247" s="41"/>
      <c r="E6247" s="43">
        <f>C6247</f>
        <v>0</v>
      </c>
      <c r="F6247" s="42"/>
    </row>
    <row r="6248" spans="1:6">
      <c r="A6248" s="39">
        <f>A6247</f>
        <v>46048</v>
      </c>
      <c r="B6248" s="40"/>
      <c r="C6248" s="40"/>
      <c r="D6248" s="41"/>
      <c r="E6248" s="43">
        <f>C6248</f>
        <v>0</v>
      </c>
      <c r="F6248" s="42"/>
    </row>
    <row r="6249" spans="1:6">
      <c r="A6249" s="39">
        <f>A6248</f>
        <v>46048</v>
      </c>
      <c r="B6249" s="40"/>
      <c r="C6249" s="40"/>
      <c r="D6249" s="41"/>
      <c r="E6249" s="43">
        <f>C6249</f>
        <v>0</v>
      </c>
      <c r="F6249" s="42"/>
    </row>
    <row r="6250" spans="1:6">
      <c r="A6250" s="39">
        <f>A6249</f>
        <v>46048</v>
      </c>
      <c r="B6250" s="40"/>
      <c r="C6250" s="40"/>
      <c r="D6250" s="41"/>
      <c r="E6250" s="43">
        <f>C6250</f>
        <v>0</v>
      </c>
      <c r="F6250" s="42"/>
    </row>
    <row r="6251" spans="1:6">
      <c r="A6251" s="39">
        <f>A6250</f>
        <v>46048</v>
      </c>
      <c r="B6251" s="40"/>
      <c r="C6251" s="40"/>
      <c r="D6251" s="41"/>
      <c r="E6251" s="43">
        <f>C6251</f>
        <v>0</v>
      </c>
      <c r="F6251" s="42"/>
    </row>
    <row r="6252" spans="1:6">
      <c r="A6252" s="39">
        <f>A6251</f>
        <v>46048</v>
      </c>
      <c r="B6252" s="40"/>
      <c r="C6252" s="40"/>
      <c r="D6252" s="41"/>
      <c r="E6252" s="43">
        <f>C6252</f>
        <v>0</v>
      </c>
      <c r="F6252" s="42"/>
    </row>
    <row r="6253" spans="1:6">
      <c r="A6253" s="39">
        <f>A6252</f>
        <v>46048</v>
      </c>
      <c r="B6253" s="40"/>
      <c r="C6253" s="40"/>
      <c r="D6253" s="41"/>
      <c r="E6253" s="43">
        <f>C6253</f>
        <v>0</v>
      </c>
      <c r="F6253" s="42"/>
    </row>
    <row r="6254" spans="1:6">
      <c r="A6254" s="39">
        <f>A6253</f>
        <v>46048</v>
      </c>
      <c r="B6254" s="40"/>
      <c r="C6254" s="40"/>
      <c r="D6254" s="41"/>
      <c r="E6254" s="43">
        <f>C6254</f>
        <v>0</v>
      </c>
      <c r="F6254" s="42"/>
    </row>
    <row r="6255" spans="1:6">
      <c r="A6255" s="39">
        <f>A6254</f>
        <v>46048</v>
      </c>
      <c r="B6255" s="40"/>
      <c r="C6255" s="40"/>
      <c r="D6255" s="41"/>
      <c r="E6255" s="43">
        <f>C6255</f>
        <v>0</v>
      </c>
      <c r="F6255" s="42"/>
    </row>
    <row r="6256" spans="1:6">
      <c r="A6256" s="39">
        <f>A6255</f>
        <v>46048</v>
      </c>
      <c r="B6256" s="40"/>
      <c r="C6256" s="40"/>
      <c r="D6256" s="41"/>
      <c r="E6256" s="43">
        <f>C6256</f>
        <v>0</v>
      </c>
      <c r="F6256" s="42"/>
    </row>
    <row r="6257" spans="1:6">
      <c r="A6257" s="39">
        <f>A6256</f>
        <v>46048</v>
      </c>
      <c r="B6257" s="40"/>
      <c r="C6257" s="40"/>
      <c r="D6257" s="41"/>
      <c r="E6257" s="43">
        <f>C6257</f>
        <v>0</v>
      </c>
      <c r="F6257" s="42"/>
    </row>
    <row r="6258" spans="1:6">
      <c r="A6258" s="39">
        <f>A6257</f>
        <v>46048</v>
      </c>
      <c r="B6258" s="40"/>
      <c r="C6258" s="40"/>
      <c r="D6258" s="41"/>
      <c r="E6258" s="43">
        <f>C6258</f>
        <v>0</v>
      </c>
      <c r="F6258" s="42"/>
    </row>
    <row r="6259" spans="1:6">
      <c r="A6259" s="39">
        <f>A6258</f>
        <v>46048</v>
      </c>
      <c r="B6259" s="40"/>
      <c r="C6259" s="40"/>
      <c r="D6259" s="41"/>
      <c r="E6259" s="43">
        <f>C6259</f>
        <v>0</v>
      </c>
      <c r="F6259" s="42"/>
    </row>
    <row r="6260" spans="1:6">
      <c r="A6260" s="39">
        <f>A6259</f>
        <v>46048</v>
      </c>
      <c r="B6260" s="40"/>
      <c r="C6260" s="40"/>
      <c r="D6260" s="41"/>
      <c r="E6260" s="43">
        <f>C6260</f>
        <v>0</v>
      </c>
      <c r="F6260" s="42"/>
    </row>
    <row r="6261" spans="1:6">
      <c r="A6261" s="39">
        <f>A6260</f>
        <v>46048</v>
      </c>
      <c r="B6261" s="40"/>
      <c r="C6261" s="40"/>
      <c r="D6261" s="41"/>
      <c r="E6261" s="43">
        <f>C6261</f>
        <v>0</v>
      </c>
      <c r="F6261" s="42"/>
    </row>
    <row r="6262" spans="1:6">
      <c r="A6262" s="39">
        <f>A6261</f>
        <v>46048</v>
      </c>
      <c r="B6262" s="40"/>
      <c r="C6262" s="40"/>
      <c r="D6262" s="41"/>
      <c r="E6262" s="43">
        <f>C6262</f>
        <v>0</v>
      </c>
      <c r="F6262" s="42"/>
    </row>
    <row r="6263" spans="1:6">
      <c r="A6263" s="39">
        <f>A6262</f>
        <v>46048</v>
      </c>
      <c r="B6263" s="40"/>
      <c r="C6263" s="40"/>
      <c r="D6263" s="41"/>
      <c r="E6263" s="43">
        <f>C6263</f>
        <v>0</v>
      </c>
      <c r="F6263" s="42"/>
    </row>
    <row r="6264" spans="1:6">
      <c r="A6264" s="39">
        <f>A6263</f>
        <v>46048</v>
      </c>
      <c r="B6264" s="40"/>
      <c r="C6264" s="40"/>
      <c r="D6264" s="41"/>
      <c r="E6264" s="43">
        <f>C6264</f>
        <v>0</v>
      </c>
      <c r="F6264" s="42"/>
    </row>
    <row r="6265" spans="1:6">
      <c r="A6265" s="39">
        <f>A6264</f>
        <v>46048</v>
      </c>
      <c r="B6265" s="40"/>
      <c r="C6265" s="40"/>
      <c r="D6265" s="41"/>
      <c r="E6265" s="43">
        <f>C6265</f>
        <v>0</v>
      </c>
      <c r="F6265" s="42"/>
    </row>
    <row r="6266" spans="1:6">
      <c r="A6266" s="39">
        <f>A6265</f>
        <v>46048</v>
      </c>
      <c r="B6266" s="40"/>
      <c r="C6266" s="40"/>
      <c r="D6266" s="41"/>
      <c r="E6266" s="43">
        <f>C6266</f>
        <v>0</v>
      </c>
      <c r="F6266" s="42"/>
    </row>
    <row r="6267" spans="1:6">
      <c r="A6267" s="39">
        <f>A6266</f>
        <v>46048</v>
      </c>
      <c r="B6267" s="40"/>
      <c r="C6267" s="40"/>
      <c r="D6267" s="41"/>
      <c r="E6267" s="43">
        <f>C6267</f>
        <v>0</v>
      </c>
      <c r="F6267" s="42"/>
    </row>
    <row r="6268" spans="1:6">
      <c r="A6268" s="39">
        <f>A6267</f>
        <v>46048</v>
      </c>
      <c r="B6268" s="40"/>
      <c r="C6268" s="40"/>
      <c r="D6268" s="41"/>
      <c r="E6268" s="43">
        <f>C6268</f>
        <v>0</v>
      </c>
      <c r="F6268" s="42"/>
    </row>
    <row r="6269" spans="1:6">
      <c r="A6269" s="39">
        <f>A6268</f>
        <v>46048</v>
      </c>
      <c r="B6269" s="40"/>
      <c r="C6269" s="40"/>
      <c r="D6269" s="41"/>
      <c r="E6269" s="43">
        <f>C6269</f>
        <v>0</v>
      </c>
      <c r="F6269" s="42"/>
    </row>
    <row r="6270" spans="1:6">
      <c r="A6270" s="39">
        <f>A6269</f>
        <v>46048</v>
      </c>
      <c r="B6270" s="40"/>
      <c r="C6270" s="40"/>
      <c r="D6270" s="41"/>
      <c r="E6270" s="43">
        <f>C6270</f>
        <v>0</v>
      </c>
      <c r="F6270" s="42"/>
    </row>
    <row r="6271" spans="1:6">
      <c r="A6271" s="39">
        <f>A6270</f>
        <v>46048</v>
      </c>
      <c r="B6271" s="40"/>
      <c r="C6271" s="40"/>
      <c r="D6271" s="41"/>
      <c r="E6271" s="43">
        <f>C6271</f>
        <v>0</v>
      </c>
      <c r="F6271" s="42"/>
    </row>
    <row r="6272" spans="1:6">
      <c r="A6272" s="39">
        <f>A6271</f>
        <v>46048</v>
      </c>
      <c r="B6272" s="40"/>
      <c r="C6272" s="40"/>
      <c r="D6272" s="41"/>
      <c r="E6272" s="43">
        <f>C6272</f>
        <v>0</v>
      </c>
      <c r="F6272" s="42"/>
    </row>
    <row r="6273" spans="1:6">
      <c r="A6273" s="39">
        <f>A6272</f>
        <v>46048</v>
      </c>
      <c r="B6273" s="40"/>
      <c r="C6273" s="40"/>
      <c r="D6273" s="41"/>
      <c r="E6273" s="43">
        <f>C6273</f>
        <v>0</v>
      </c>
      <c r="F6273" s="42"/>
    </row>
    <row r="6274" spans="1:6">
      <c r="A6274" s="39">
        <f>A6273</f>
        <v>46048</v>
      </c>
      <c r="B6274" s="40"/>
      <c r="C6274" s="40"/>
      <c r="D6274" s="41"/>
      <c r="E6274" s="43">
        <f>C6274</f>
        <v>0</v>
      </c>
      <c r="F6274" s="42"/>
    </row>
    <row r="6275" spans="1:6">
      <c r="A6275" s="39">
        <f>A6274</f>
        <v>46048</v>
      </c>
      <c r="B6275" s="40"/>
      <c r="C6275" s="40"/>
      <c r="D6275" s="41"/>
      <c r="E6275" s="43">
        <f>C6275</f>
        <v>0</v>
      </c>
      <c r="F6275" s="42"/>
    </row>
    <row r="6276" spans="1:6">
      <c r="A6276" s="39">
        <f>A6275</f>
        <v>46048</v>
      </c>
      <c r="B6276" s="40"/>
      <c r="C6276" s="40"/>
      <c r="D6276" s="41"/>
      <c r="E6276" s="43">
        <f>C6276</f>
        <v>0</v>
      </c>
      <c r="F6276" s="42"/>
    </row>
    <row r="6277" spans="1:6">
      <c r="A6277" s="39">
        <f>A6276</f>
        <v>46048</v>
      </c>
      <c r="B6277" s="40"/>
      <c r="C6277" s="40"/>
      <c r="D6277" s="41"/>
      <c r="E6277" s="43">
        <f>C6277</f>
        <v>0</v>
      </c>
      <c r="F6277" s="42"/>
    </row>
    <row r="6278" spans="1:6">
      <c r="A6278" s="39">
        <f>A6277</f>
        <v>46048</v>
      </c>
      <c r="B6278" s="40"/>
      <c r="C6278" s="40"/>
      <c r="D6278" s="41"/>
      <c r="E6278" s="43">
        <f>C6278</f>
        <v>0</v>
      </c>
      <c r="F6278" s="42"/>
    </row>
    <row r="6279" spans="1:6">
      <c r="A6279" s="39">
        <f>A6278</f>
        <v>46048</v>
      </c>
      <c r="B6279" s="40"/>
      <c r="C6279" s="40"/>
      <c r="D6279" s="41"/>
      <c r="E6279" s="43">
        <f>C6279</f>
        <v>0</v>
      </c>
      <c r="F6279" s="42"/>
    </row>
    <row r="6280" spans="1:6">
      <c r="A6280" s="39">
        <f>A6279</f>
        <v>46048</v>
      </c>
      <c r="B6280" s="40"/>
      <c r="C6280" s="40"/>
      <c r="D6280" s="41"/>
      <c r="E6280" s="43">
        <f>C6280</f>
        <v>0</v>
      </c>
      <c r="F6280" s="42"/>
    </row>
    <row r="6281" spans="1:6">
      <c r="A6281" s="39">
        <f>A6280</f>
        <v>46048</v>
      </c>
      <c r="B6281" s="40"/>
      <c r="C6281" s="40"/>
      <c r="D6281" s="41"/>
      <c r="E6281" s="43">
        <f>C6281</f>
        <v>0</v>
      </c>
      <c r="F6281" s="42"/>
    </row>
    <row r="6282" spans="1:6">
      <c r="A6282" s="39">
        <f>A6281</f>
        <v>46048</v>
      </c>
      <c r="B6282" s="40"/>
      <c r="C6282" s="40"/>
      <c r="D6282" s="41"/>
      <c r="E6282" s="43">
        <f>C6282</f>
        <v>0</v>
      </c>
      <c r="F6282" s="42"/>
    </row>
    <row r="6283" spans="1:6">
      <c r="A6283" s="39">
        <f>A6282</f>
        <v>46048</v>
      </c>
      <c r="B6283" s="40"/>
      <c r="C6283" s="40"/>
      <c r="D6283" s="41"/>
      <c r="E6283" s="43">
        <f>C6283</f>
        <v>0</v>
      </c>
      <c r="F6283" s="42"/>
    </row>
    <row r="6284" spans="1:6">
      <c r="A6284" s="39">
        <f>A6283</f>
        <v>46048</v>
      </c>
      <c r="B6284" s="40"/>
      <c r="C6284" s="40"/>
      <c r="D6284" s="41"/>
      <c r="E6284" s="43">
        <f>C6284</f>
        <v>0</v>
      </c>
      <c r="F6284" s="42"/>
    </row>
    <row r="6285" spans="1:6">
      <c r="A6285" s="39">
        <f>A6284</f>
        <v>46048</v>
      </c>
      <c r="B6285" s="40"/>
      <c r="C6285" s="40"/>
      <c r="D6285" s="41"/>
      <c r="E6285" s="43">
        <f>C6285</f>
        <v>0</v>
      </c>
      <c r="F6285" s="42"/>
    </row>
    <row r="6286" spans="1:6">
      <c r="A6286" s="39">
        <f>A6285</f>
        <v>46048</v>
      </c>
      <c r="B6286" s="40"/>
      <c r="C6286" s="40"/>
      <c r="D6286" s="41"/>
      <c r="E6286" s="43">
        <f>C6286</f>
        <v>0</v>
      </c>
      <c r="F6286" s="42"/>
    </row>
    <row r="6287" spans="1:6">
      <c r="A6287" s="39">
        <f>A6286</f>
        <v>46048</v>
      </c>
      <c r="B6287" s="40"/>
      <c r="C6287" s="40"/>
      <c r="D6287" s="41"/>
      <c r="E6287" s="43">
        <f>C6287</f>
        <v>0</v>
      </c>
      <c r="F6287" s="42"/>
    </row>
    <row r="6288" spans="1:6">
      <c r="A6288" s="39">
        <f>A6287</f>
        <v>46048</v>
      </c>
      <c r="B6288" s="40"/>
      <c r="C6288" s="40"/>
      <c r="D6288" s="41"/>
      <c r="E6288" s="43">
        <f>C6288</f>
        <v>0</v>
      </c>
      <c r="F6288" s="42"/>
    </row>
    <row r="6289" spans="1:6">
      <c r="A6289" s="39">
        <f>A6288</f>
        <v>46048</v>
      </c>
      <c r="B6289" s="40"/>
      <c r="C6289" s="40"/>
      <c r="D6289" s="41"/>
      <c r="E6289" s="43">
        <f>C6289</f>
        <v>0</v>
      </c>
      <c r="F6289" s="42"/>
    </row>
    <row r="6290" spans="1:6">
      <c r="A6290" s="39">
        <f>A6289</f>
        <v>46048</v>
      </c>
      <c r="B6290" s="40"/>
      <c r="C6290" s="40"/>
      <c r="D6290" s="41"/>
      <c r="E6290" s="43">
        <f>C6290</f>
        <v>0</v>
      </c>
      <c r="F6290" s="42"/>
    </row>
    <row r="6291" spans="1:6">
      <c r="A6291" s="39">
        <f>A6290</f>
        <v>46048</v>
      </c>
      <c r="B6291" s="40"/>
      <c r="C6291" s="40"/>
      <c r="D6291" s="41"/>
      <c r="E6291" s="43">
        <f>C6291</f>
        <v>0</v>
      </c>
      <c r="F6291" s="42"/>
    </row>
    <row r="6292" spans="1:6">
      <c r="A6292" s="39">
        <f>A6291</f>
        <v>46048</v>
      </c>
      <c r="B6292" s="40"/>
      <c r="C6292" s="40"/>
      <c r="D6292" s="41"/>
      <c r="E6292" s="43">
        <f>C6292</f>
        <v>0</v>
      </c>
      <c r="F6292" s="42"/>
    </row>
    <row r="6293" spans="1:6">
      <c r="A6293" s="39">
        <f>A6292</f>
        <v>46048</v>
      </c>
      <c r="B6293" s="40"/>
      <c r="C6293" s="40"/>
      <c r="D6293" s="41"/>
      <c r="E6293" s="43">
        <f>C6293</f>
        <v>0</v>
      </c>
      <c r="F6293" s="42"/>
    </row>
    <row r="6294" spans="1:6">
      <c r="A6294" s="39">
        <f>A6293</f>
        <v>46048</v>
      </c>
      <c r="B6294" s="40"/>
      <c r="C6294" s="40"/>
      <c r="D6294" s="41"/>
      <c r="E6294" s="43">
        <f>C6294</f>
        <v>0</v>
      </c>
      <c r="F6294" s="42"/>
    </row>
    <row r="6295" spans="1:6">
      <c r="A6295" s="39">
        <f>A6294</f>
        <v>46048</v>
      </c>
      <c r="B6295" s="40"/>
      <c r="C6295" s="40"/>
      <c r="D6295" s="41"/>
      <c r="E6295" s="43">
        <f>C6295</f>
        <v>0</v>
      </c>
      <c r="F6295" s="42"/>
    </row>
    <row r="6296" spans="1:6">
      <c r="A6296" s="39">
        <f>A6295</f>
        <v>46048</v>
      </c>
      <c r="B6296" s="40"/>
      <c r="C6296" s="40"/>
      <c r="D6296" s="41"/>
      <c r="E6296" s="43">
        <f>C6296</f>
        <v>0</v>
      </c>
      <c r="F6296" s="42"/>
    </row>
    <row r="6297" spans="1:6">
      <c r="A6297" s="39">
        <f>A6296</f>
        <v>46048</v>
      </c>
      <c r="B6297" s="40"/>
      <c r="C6297" s="40"/>
      <c r="D6297" s="41"/>
      <c r="E6297" s="43">
        <f>C6297</f>
        <v>0</v>
      </c>
      <c r="F6297" s="42"/>
    </row>
    <row r="6298" spans="1:6">
      <c r="A6298" s="39">
        <f>A6297</f>
        <v>46048</v>
      </c>
      <c r="B6298" s="40"/>
      <c r="C6298" s="40"/>
      <c r="D6298" s="41"/>
      <c r="E6298" s="43">
        <f>C6298</f>
        <v>0</v>
      </c>
      <c r="F6298" s="42"/>
    </row>
    <row r="6299" spans="1:6">
      <c r="A6299" s="39">
        <f>A6298</f>
        <v>46048</v>
      </c>
      <c r="B6299" s="40"/>
      <c r="C6299" s="40"/>
      <c r="D6299" s="41"/>
      <c r="E6299" s="43">
        <f>C6299</f>
        <v>0</v>
      </c>
      <c r="F6299" s="42"/>
    </row>
    <row r="6300" spans="1:6">
      <c r="A6300" s="39">
        <f>A6299</f>
        <v>46048</v>
      </c>
      <c r="B6300" s="40"/>
      <c r="C6300" s="40"/>
      <c r="D6300" s="41"/>
      <c r="E6300" s="43">
        <f>C6300</f>
        <v>0</v>
      </c>
      <c r="F6300" s="42"/>
    </row>
    <row r="6301" spans="1:6">
      <c r="A6301" s="39">
        <f>A6300</f>
        <v>46048</v>
      </c>
      <c r="B6301" s="40"/>
      <c r="C6301" s="40"/>
      <c r="D6301" s="41"/>
      <c r="E6301" s="43">
        <f>C6301</f>
        <v>0</v>
      </c>
      <c r="F6301" s="42"/>
    </row>
    <row r="6302" spans="1:6">
      <c r="A6302" s="39">
        <f>A6301</f>
        <v>46048</v>
      </c>
      <c r="B6302" s="40"/>
      <c r="C6302" s="40"/>
      <c r="D6302" s="41"/>
      <c r="E6302" s="43">
        <f>C6302</f>
        <v>0</v>
      </c>
      <c r="F6302" s="42"/>
    </row>
    <row r="6303" spans="1:6">
      <c r="A6303" s="39">
        <f>A6302</f>
        <v>46048</v>
      </c>
      <c r="B6303" s="40"/>
      <c r="C6303" s="40"/>
      <c r="D6303" s="41"/>
      <c r="E6303" s="43">
        <f>C6303</f>
        <v>0</v>
      </c>
      <c r="F6303" s="42"/>
    </row>
    <row r="6304" spans="1:6">
      <c r="A6304" s="39">
        <f>A6303</f>
        <v>46048</v>
      </c>
      <c r="B6304" s="40"/>
      <c r="C6304" s="40"/>
      <c r="D6304" s="41"/>
      <c r="E6304" s="43">
        <f>C6304</f>
        <v>0</v>
      </c>
      <c r="F6304" s="42"/>
    </row>
    <row r="6305" spans="1:6">
      <c r="A6305" s="39">
        <f>A6304</f>
        <v>46048</v>
      </c>
      <c r="B6305" s="40"/>
      <c r="C6305" s="40"/>
      <c r="D6305" s="41"/>
      <c r="E6305" s="43">
        <f>C6305</f>
        <v>0</v>
      </c>
      <c r="F6305" s="42"/>
    </row>
    <row r="6306" spans="1:6">
      <c r="A6306" s="39">
        <f>A6305</f>
        <v>46048</v>
      </c>
      <c r="B6306" s="40"/>
      <c r="C6306" s="40"/>
      <c r="D6306" s="41"/>
      <c r="E6306" s="43">
        <f>C6306</f>
        <v>0</v>
      </c>
      <c r="F6306" s="42"/>
    </row>
    <row r="6307" spans="1:6">
      <c r="A6307" s="39">
        <f>A6306</f>
        <v>46048</v>
      </c>
      <c r="B6307" s="40"/>
      <c r="C6307" s="40"/>
      <c r="D6307" s="41"/>
      <c r="E6307" s="43">
        <f>C6307</f>
        <v>0</v>
      </c>
      <c r="F6307" s="42"/>
    </row>
    <row r="6308" spans="1:6">
      <c r="A6308" s="39">
        <f>A6307</f>
        <v>46048</v>
      </c>
      <c r="B6308" s="40"/>
      <c r="C6308" s="40"/>
      <c r="D6308" s="41"/>
      <c r="E6308" s="43">
        <f>C6308</f>
        <v>0</v>
      </c>
      <c r="F6308" s="42"/>
    </row>
    <row r="6309" spans="1:6">
      <c r="A6309" s="39">
        <f>A6308</f>
        <v>46048</v>
      </c>
      <c r="B6309" s="40"/>
      <c r="C6309" s="40"/>
      <c r="D6309" s="41"/>
      <c r="E6309" s="43">
        <f>C6309</f>
        <v>0</v>
      </c>
      <c r="F6309" s="42"/>
    </row>
    <row r="6310" spans="1:6">
      <c r="A6310" s="39">
        <f>A6309</f>
        <v>46048</v>
      </c>
      <c r="B6310" s="40"/>
      <c r="C6310" s="40"/>
      <c r="D6310" s="41"/>
      <c r="E6310" s="43">
        <f>C6310</f>
        <v>0</v>
      </c>
      <c r="F6310" s="42"/>
    </row>
    <row r="6311" spans="1:6">
      <c r="A6311" s="39">
        <f>A6310</f>
        <v>46048</v>
      </c>
      <c r="B6311" s="40"/>
      <c r="C6311" s="40"/>
      <c r="D6311" s="41"/>
      <c r="E6311" s="43">
        <f>C6311</f>
        <v>0</v>
      </c>
      <c r="F6311" s="42"/>
    </row>
    <row r="6312" spans="1:6">
      <c r="A6312" s="39">
        <f>A6311</f>
        <v>46048</v>
      </c>
      <c r="B6312" s="40"/>
      <c r="C6312" s="40"/>
      <c r="D6312" s="41"/>
      <c r="E6312" s="43">
        <f>C6312</f>
        <v>0</v>
      </c>
      <c r="F6312" s="42"/>
    </row>
    <row r="6313" spans="1:6">
      <c r="A6313" s="39">
        <f>A6312</f>
        <v>46048</v>
      </c>
      <c r="B6313" s="40"/>
      <c r="C6313" s="40"/>
      <c r="D6313" s="41"/>
      <c r="E6313" s="43">
        <f>C6313</f>
        <v>0</v>
      </c>
      <c r="F6313" s="42"/>
    </row>
    <row r="6314" spans="1:6">
      <c r="A6314" s="39">
        <f>A6313</f>
        <v>46048</v>
      </c>
      <c r="B6314" s="40"/>
      <c r="C6314" s="40"/>
      <c r="D6314" s="41"/>
      <c r="E6314" s="43">
        <f>C6314</f>
        <v>0</v>
      </c>
      <c r="F6314" s="42"/>
    </row>
    <row r="6315" spans="1:6">
      <c r="A6315" s="39">
        <f>A6314</f>
        <v>46048</v>
      </c>
      <c r="B6315" s="40"/>
      <c r="C6315" s="40"/>
      <c r="D6315" s="41"/>
      <c r="E6315" s="43">
        <f>C6315</f>
        <v>0</v>
      </c>
      <c r="F6315" s="42"/>
    </row>
    <row r="6316" spans="1:6">
      <c r="A6316" s="39">
        <f>A6315</f>
        <v>46048</v>
      </c>
      <c r="B6316" s="40"/>
      <c r="C6316" s="40"/>
      <c r="D6316" s="41"/>
      <c r="E6316" s="43">
        <f>C6316</f>
        <v>0</v>
      </c>
      <c r="F6316" s="42"/>
    </row>
    <row r="6317" spans="1:6">
      <c r="A6317" s="39">
        <f>A6316</f>
        <v>46048</v>
      </c>
      <c r="B6317" s="40"/>
      <c r="C6317" s="40"/>
      <c r="D6317" s="41"/>
      <c r="E6317" s="43">
        <f>C6317</f>
        <v>0</v>
      </c>
      <c r="F6317" s="42"/>
    </row>
    <row r="6318" spans="1:6">
      <c r="A6318" s="39">
        <f>A6317</f>
        <v>46048</v>
      </c>
      <c r="B6318" s="40"/>
      <c r="C6318" s="40"/>
      <c r="D6318" s="41"/>
      <c r="E6318" s="43">
        <f>C6318</f>
        <v>0</v>
      </c>
      <c r="F6318" s="42"/>
    </row>
    <row r="6319" spans="1:6">
      <c r="A6319" s="39">
        <f>A6318</f>
        <v>46048</v>
      </c>
      <c r="B6319" s="40"/>
      <c r="C6319" s="40"/>
      <c r="D6319" s="41"/>
      <c r="E6319" s="43">
        <f>C6319</f>
        <v>0</v>
      </c>
      <c r="F6319" s="42"/>
    </row>
    <row r="6320" spans="1:6">
      <c r="A6320" s="39">
        <f>A6319</f>
        <v>46048</v>
      </c>
      <c r="B6320" s="40"/>
      <c r="C6320" s="40"/>
      <c r="D6320" s="41"/>
      <c r="E6320" s="43">
        <f>C6320</f>
        <v>0</v>
      </c>
      <c r="F6320" s="42"/>
    </row>
    <row r="6321" spans="1:6">
      <c r="A6321" s="39">
        <f>A6320</f>
        <v>46048</v>
      </c>
      <c r="B6321" s="40"/>
      <c r="C6321" s="40"/>
      <c r="D6321" s="41"/>
      <c r="E6321" s="43">
        <f>C6321</f>
        <v>0</v>
      </c>
      <c r="F6321" s="42"/>
    </row>
    <row r="6322" spans="1:6">
      <c r="A6322" s="39">
        <f>A6321</f>
        <v>46048</v>
      </c>
      <c r="B6322" s="40"/>
      <c r="C6322" s="40"/>
      <c r="D6322" s="41"/>
      <c r="E6322" s="43">
        <f>C6322</f>
        <v>0</v>
      </c>
      <c r="F6322" s="42"/>
    </row>
    <row r="6323" spans="1:6">
      <c r="A6323" s="39">
        <f>A6322</f>
        <v>46048</v>
      </c>
      <c r="B6323" s="40"/>
      <c r="C6323" s="40"/>
      <c r="D6323" s="41"/>
      <c r="E6323" s="43">
        <f>C6323</f>
        <v>0</v>
      </c>
      <c r="F6323" s="42"/>
    </row>
    <row r="6324" spans="1:6">
      <c r="A6324" s="39">
        <f>A6323</f>
        <v>46048</v>
      </c>
      <c r="B6324" s="40"/>
      <c r="C6324" s="40"/>
      <c r="D6324" s="41"/>
      <c r="E6324" s="43">
        <f>C6324</f>
        <v>0</v>
      </c>
      <c r="F6324" s="42"/>
    </row>
    <row r="6325" spans="1:6">
      <c r="A6325" s="39">
        <f>A6324</f>
        <v>46048</v>
      </c>
      <c r="B6325" s="40"/>
      <c r="C6325" s="40"/>
      <c r="D6325" s="41"/>
      <c r="E6325" s="43">
        <f>C6325</f>
        <v>0</v>
      </c>
      <c r="F6325" s="42"/>
    </row>
    <row r="6326" spans="1:6">
      <c r="A6326" s="39">
        <f>A6325</f>
        <v>46048</v>
      </c>
      <c r="B6326" s="40"/>
      <c r="C6326" s="40"/>
      <c r="D6326" s="41"/>
      <c r="E6326" s="43">
        <f>C6326</f>
        <v>0</v>
      </c>
      <c r="F6326" s="42"/>
    </row>
    <row r="6327" spans="1:6">
      <c r="A6327" s="39">
        <f>A6326</f>
        <v>46048</v>
      </c>
      <c r="B6327" s="40"/>
      <c r="C6327" s="40"/>
      <c r="D6327" s="41"/>
      <c r="E6327" s="43">
        <f>C6327</f>
        <v>0</v>
      </c>
      <c r="F6327" s="42"/>
    </row>
    <row r="6328" spans="1:6">
      <c r="A6328" s="39">
        <f>A6327</f>
        <v>46048</v>
      </c>
      <c r="B6328" s="40"/>
      <c r="C6328" s="40"/>
      <c r="D6328" s="41"/>
      <c r="E6328" s="43">
        <f>C6328</f>
        <v>0</v>
      </c>
      <c r="F6328" s="42"/>
    </row>
    <row r="6329" spans="1:6">
      <c r="A6329" s="39">
        <f>A6328</f>
        <v>46048</v>
      </c>
      <c r="B6329" s="40"/>
      <c r="C6329" s="40"/>
      <c r="D6329" s="41"/>
      <c r="E6329" s="43">
        <f>C6329</f>
        <v>0</v>
      </c>
      <c r="F6329" s="42"/>
    </row>
    <row r="6330" spans="1:6">
      <c r="A6330" s="39">
        <f>A6329</f>
        <v>46048</v>
      </c>
      <c r="B6330" s="40"/>
      <c r="C6330" s="40"/>
      <c r="D6330" s="41"/>
      <c r="E6330" s="43">
        <f>C6330</f>
        <v>0</v>
      </c>
      <c r="F6330" s="42"/>
    </row>
    <row r="6331" spans="1:6">
      <c r="A6331" s="39">
        <f>A6330</f>
        <v>46048</v>
      </c>
      <c r="B6331" s="40"/>
      <c r="C6331" s="40"/>
      <c r="D6331" s="41"/>
      <c r="E6331" s="43">
        <f>C6331</f>
        <v>0</v>
      </c>
      <c r="F6331" s="42"/>
    </row>
    <row r="6332" spans="1:6">
      <c r="A6332" s="39">
        <f>A6331</f>
        <v>46048</v>
      </c>
      <c r="B6332" s="40"/>
      <c r="C6332" s="40"/>
      <c r="D6332" s="41"/>
      <c r="E6332" s="43">
        <f>C6332</f>
        <v>0</v>
      </c>
      <c r="F6332" s="42"/>
    </row>
    <row r="6333" spans="1:6">
      <c r="A6333" s="39">
        <f>A6332</f>
        <v>46048</v>
      </c>
      <c r="B6333" s="40"/>
      <c r="C6333" s="40"/>
      <c r="D6333" s="41"/>
      <c r="E6333" s="43">
        <f>C6333</f>
        <v>0</v>
      </c>
      <c r="F6333" s="42"/>
    </row>
    <row r="6334" spans="1:6">
      <c r="A6334" s="39">
        <f>A6333</f>
        <v>46048</v>
      </c>
      <c r="B6334" s="40"/>
      <c r="C6334" s="40"/>
      <c r="D6334" s="41"/>
      <c r="E6334" s="43">
        <f>C6334</f>
        <v>0</v>
      </c>
      <c r="F6334" s="42"/>
    </row>
    <row r="6335" spans="1:6">
      <c r="A6335" s="39">
        <f>A6334</f>
        <v>46048</v>
      </c>
      <c r="B6335" s="40"/>
      <c r="C6335" s="40"/>
      <c r="D6335" s="41"/>
      <c r="E6335" s="43">
        <f>C6335</f>
        <v>0</v>
      </c>
      <c r="F6335" s="42"/>
    </row>
    <row r="6336" spans="1:6">
      <c r="A6336" s="39">
        <f>A6335</f>
        <v>46048</v>
      </c>
      <c r="B6336" s="40"/>
      <c r="C6336" s="40"/>
      <c r="D6336" s="41"/>
      <c r="E6336" s="43">
        <f>C6336</f>
        <v>0</v>
      </c>
      <c r="F6336" s="42"/>
    </row>
    <row r="6337" spans="1:6">
      <c r="A6337" s="39">
        <f>A6336</f>
        <v>46048</v>
      </c>
      <c r="B6337" s="40"/>
      <c r="C6337" s="40"/>
      <c r="D6337" s="41"/>
      <c r="E6337" s="43">
        <f>C6337</f>
        <v>0</v>
      </c>
      <c r="F6337" s="42"/>
    </row>
    <row r="6338" spans="1:6">
      <c r="A6338" s="39">
        <f>A6337</f>
        <v>46048</v>
      </c>
      <c r="B6338" s="40"/>
      <c r="C6338" s="40"/>
      <c r="D6338" s="41"/>
      <c r="E6338" s="43">
        <f>C6338</f>
        <v>0</v>
      </c>
      <c r="F6338" s="42"/>
    </row>
    <row r="6339" spans="1:6">
      <c r="A6339" s="39">
        <f>A6338</f>
        <v>46048</v>
      </c>
      <c r="B6339" s="40"/>
      <c r="C6339" s="40"/>
      <c r="D6339" s="41"/>
      <c r="E6339" s="43">
        <f>C6339</f>
        <v>0</v>
      </c>
      <c r="F6339" s="42"/>
    </row>
    <row r="6340" spans="1:6">
      <c r="A6340" s="39">
        <f>A6339</f>
        <v>46048</v>
      </c>
      <c r="B6340" s="40"/>
      <c r="C6340" s="40"/>
      <c r="D6340" s="41"/>
      <c r="E6340" s="43">
        <f>C6340</f>
        <v>0</v>
      </c>
      <c r="F6340" s="42"/>
    </row>
    <row r="6341" spans="1:6">
      <c r="A6341" s="39">
        <f>A6340</f>
        <v>46048</v>
      </c>
      <c r="B6341" s="40"/>
      <c r="C6341" s="40"/>
      <c r="D6341" s="41"/>
      <c r="E6341" s="43">
        <f>C6341</f>
        <v>0</v>
      </c>
      <c r="F6341" s="42"/>
    </row>
    <row r="6342" spans="1:6">
      <c r="A6342" s="39">
        <f>A6341</f>
        <v>46048</v>
      </c>
      <c r="B6342" s="40"/>
      <c r="C6342" s="40"/>
      <c r="D6342" s="41"/>
      <c r="E6342" s="43">
        <f>C6342</f>
        <v>0</v>
      </c>
      <c r="F6342" s="42"/>
    </row>
    <row r="6343" spans="1:6">
      <c r="A6343" s="39">
        <f>A6342</f>
        <v>46048</v>
      </c>
      <c r="B6343" s="40"/>
      <c r="C6343" s="40"/>
      <c r="D6343" s="41"/>
      <c r="E6343" s="43">
        <f>C6343</f>
        <v>0</v>
      </c>
      <c r="F6343" s="42"/>
    </row>
    <row r="6344" spans="1:6">
      <c r="A6344" s="39">
        <f>A6343</f>
        <v>46048</v>
      </c>
      <c r="B6344" s="40"/>
      <c r="C6344" s="40"/>
      <c r="D6344" s="41"/>
      <c r="E6344" s="43">
        <f>C6344</f>
        <v>0</v>
      </c>
      <c r="F6344" s="42"/>
    </row>
    <row r="6345" spans="1:6">
      <c r="A6345" s="39">
        <f>A6344</f>
        <v>46048</v>
      </c>
      <c r="B6345" s="40"/>
      <c r="C6345" s="40"/>
      <c r="D6345" s="41"/>
      <c r="E6345" s="43">
        <f>C6345</f>
        <v>0</v>
      </c>
      <c r="F6345" s="42"/>
    </row>
    <row r="6346" spans="1:6">
      <c r="A6346" s="39">
        <f>A6345</f>
        <v>46048</v>
      </c>
      <c r="B6346" s="40"/>
      <c r="C6346" s="40"/>
      <c r="D6346" s="41"/>
      <c r="E6346" s="43">
        <f>C6346</f>
        <v>0</v>
      </c>
      <c r="F6346" s="42"/>
    </row>
    <row r="6347" spans="1:6">
      <c r="A6347" s="39">
        <f>A6346</f>
        <v>46048</v>
      </c>
      <c r="B6347" s="40"/>
      <c r="C6347" s="40"/>
      <c r="D6347" s="41"/>
      <c r="E6347" s="43">
        <f>C6347</f>
        <v>0</v>
      </c>
      <c r="F6347" s="42"/>
    </row>
    <row r="6348" spans="1:6">
      <c r="A6348" s="39">
        <f>A6347</f>
        <v>46048</v>
      </c>
      <c r="B6348" s="40"/>
      <c r="C6348" s="40"/>
      <c r="D6348" s="41"/>
      <c r="E6348" s="43">
        <f>C6348</f>
        <v>0</v>
      </c>
      <c r="F6348" s="42"/>
    </row>
    <row r="6349" spans="1:6">
      <c r="A6349" s="39">
        <f>A6348</f>
        <v>46048</v>
      </c>
      <c r="B6349" s="40"/>
      <c r="C6349" s="40"/>
      <c r="D6349" s="41"/>
      <c r="E6349" s="43">
        <f>C6349</f>
        <v>0</v>
      </c>
      <c r="F6349" s="42"/>
    </row>
    <row r="6350" spans="1:6">
      <c r="A6350" s="39">
        <f>A6349</f>
        <v>46048</v>
      </c>
      <c r="B6350" s="40"/>
      <c r="C6350" s="40"/>
      <c r="D6350" s="41"/>
      <c r="E6350" s="43">
        <f>C6350</f>
        <v>0</v>
      </c>
      <c r="F6350" s="42"/>
    </row>
    <row r="6351" spans="1:6">
      <c r="A6351" s="39">
        <f>A6350</f>
        <v>46048</v>
      </c>
      <c r="B6351" s="40"/>
      <c r="C6351" s="40"/>
      <c r="D6351" s="41"/>
      <c r="E6351" s="43">
        <f>C6351</f>
        <v>0</v>
      </c>
      <c r="F6351" s="42"/>
    </row>
    <row r="6352" spans="1:6">
      <c r="A6352" s="39">
        <f>A6351</f>
        <v>46048</v>
      </c>
      <c r="B6352" s="40"/>
      <c r="C6352" s="40"/>
      <c r="D6352" s="41"/>
      <c r="E6352" s="43">
        <f>C6352</f>
        <v>0</v>
      </c>
      <c r="F6352" s="42"/>
    </row>
    <row r="6353" spans="1:6">
      <c r="A6353" s="39">
        <f>A6352</f>
        <v>46048</v>
      </c>
      <c r="B6353" s="40"/>
      <c r="C6353" s="40"/>
      <c r="D6353" s="41"/>
      <c r="E6353" s="43">
        <f>C6353</f>
        <v>0</v>
      </c>
      <c r="F6353" s="42"/>
    </row>
    <row r="6354" spans="1:6">
      <c r="A6354" s="39">
        <f>A6353</f>
        <v>46048</v>
      </c>
      <c r="B6354" s="40"/>
      <c r="C6354" s="40"/>
      <c r="D6354" s="41"/>
      <c r="E6354" s="43">
        <f>C6354</f>
        <v>0</v>
      </c>
      <c r="F6354" s="42"/>
    </row>
    <row r="6355" spans="1:6">
      <c r="A6355" s="39">
        <f>A6354</f>
        <v>46048</v>
      </c>
      <c r="B6355" s="40"/>
      <c r="C6355" s="40"/>
      <c r="D6355" s="41"/>
      <c r="E6355" s="43">
        <f>C6355</f>
        <v>0</v>
      </c>
      <c r="F6355" s="42"/>
    </row>
    <row r="6356" spans="1:6">
      <c r="A6356" s="39">
        <f>A6355</f>
        <v>46048</v>
      </c>
      <c r="B6356" s="40"/>
      <c r="C6356" s="40"/>
      <c r="D6356" s="41"/>
      <c r="E6356" s="43">
        <f>C6356</f>
        <v>0</v>
      </c>
      <c r="F6356" s="42"/>
    </row>
    <row r="6357" spans="1:6">
      <c r="A6357" s="39">
        <f>A6356</f>
        <v>46048</v>
      </c>
      <c r="B6357" s="40"/>
      <c r="C6357" s="40"/>
      <c r="D6357" s="41"/>
      <c r="E6357" s="43">
        <f>C6357</f>
        <v>0</v>
      </c>
      <c r="F6357" s="42"/>
    </row>
    <row r="6358" spans="1:6">
      <c r="A6358" s="39">
        <f>A6357</f>
        <v>46048</v>
      </c>
      <c r="B6358" s="40"/>
      <c r="C6358" s="40"/>
      <c r="D6358" s="41"/>
      <c r="E6358" s="43">
        <f>C6358</f>
        <v>0</v>
      </c>
      <c r="F6358" s="42"/>
    </row>
    <row r="6359" spans="1:6">
      <c r="A6359" s="39">
        <f>A6358</f>
        <v>46048</v>
      </c>
      <c r="B6359" s="40"/>
      <c r="C6359" s="40"/>
      <c r="D6359" s="41"/>
      <c r="E6359" s="43">
        <f>C6359</f>
        <v>0</v>
      </c>
      <c r="F6359" s="42"/>
    </row>
    <row r="6360" spans="1:6">
      <c r="A6360" s="39">
        <f>A6359</f>
        <v>46048</v>
      </c>
      <c r="B6360" s="40"/>
      <c r="C6360" s="40"/>
      <c r="D6360" s="41"/>
      <c r="E6360" s="43">
        <f>C6360</f>
        <v>0</v>
      </c>
      <c r="F6360" s="42"/>
    </row>
    <row r="6361" spans="1:6">
      <c r="A6361" s="39">
        <f>A6360</f>
        <v>46048</v>
      </c>
      <c r="B6361" s="40"/>
      <c r="C6361" s="40"/>
      <c r="D6361" s="41"/>
      <c r="E6361" s="43">
        <f>C6361</f>
        <v>0</v>
      </c>
      <c r="F6361" s="42"/>
    </row>
    <row r="6362" spans="1:6">
      <c r="A6362" s="39">
        <f>A6361</f>
        <v>46048</v>
      </c>
      <c r="B6362" s="40"/>
      <c r="C6362" s="40"/>
      <c r="D6362" s="41"/>
      <c r="E6362" s="43">
        <f>C6362</f>
        <v>0</v>
      </c>
      <c r="F6362" s="42"/>
    </row>
    <row r="6363" spans="1:6">
      <c r="A6363" s="39">
        <f>A6362</f>
        <v>46048</v>
      </c>
      <c r="B6363" s="40"/>
      <c r="C6363" s="40"/>
      <c r="D6363" s="41"/>
      <c r="E6363" s="43">
        <f>C6363</f>
        <v>0</v>
      </c>
      <c r="F6363" s="42"/>
    </row>
    <row r="6364" spans="1:6">
      <c r="A6364" s="39">
        <f>A6363</f>
        <v>46048</v>
      </c>
      <c r="B6364" s="40"/>
      <c r="C6364" s="40"/>
      <c r="D6364" s="41"/>
      <c r="E6364" s="43">
        <f>C6364</f>
        <v>0</v>
      </c>
      <c r="F6364" s="42"/>
    </row>
    <row r="6365" spans="1:6">
      <c r="A6365" s="39">
        <f>A6364</f>
        <v>46048</v>
      </c>
      <c r="B6365" s="40"/>
      <c r="C6365" s="40"/>
      <c r="D6365" s="41"/>
      <c r="E6365" s="43">
        <f>C6365</f>
        <v>0</v>
      </c>
      <c r="F6365" s="42"/>
    </row>
    <row r="6366" spans="1:6">
      <c r="A6366" s="39">
        <f>A6365</f>
        <v>46048</v>
      </c>
      <c r="B6366" s="40"/>
      <c r="C6366" s="40"/>
      <c r="D6366" s="41"/>
      <c r="E6366" s="43">
        <f>C6366</f>
        <v>0</v>
      </c>
      <c r="F6366" s="42"/>
    </row>
    <row r="6367" spans="1:6">
      <c r="A6367" s="39">
        <f>A6366</f>
        <v>46048</v>
      </c>
      <c r="B6367" s="40"/>
      <c r="C6367" s="40"/>
      <c r="D6367" s="41"/>
      <c r="E6367" s="43">
        <f>C6367</f>
        <v>0</v>
      </c>
      <c r="F6367" s="42"/>
    </row>
    <row r="6368" spans="1:6">
      <c r="A6368" s="39">
        <f>A6367</f>
        <v>46048</v>
      </c>
      <c r="B6368" s="40"/>
      <c r="C6368" s="40"/>
      <c r="D6368" s="41"/>
      <c r="E6368" s="43">
        <f>C6368</f>
        <v>0</v>
      </c>
      <c r="F6368" s="42"/>
    </row>
    <row r="6369" spans="1:6">
      <c r="A6369" s="39">
        <f>A6368</f>
        <v>46048</v>
      </c>
      <c r="B6369" s="40"/>
      <c r="C6369" s="40"/>
      <c r="D6369" s="41"/>
      <c r="E6369" s="43">
        <f>C6369</f>
        <v>0</v>
      </c>
      <c r="F6369" s="42"/>
    </row>
    <row r="6370" spans="1:6">
      <c r="A6370" s="39">
        <f>A6369</f>
        <v>46048</v>
      </c>
      <c r="B6370" s="40"/>
      <c r="C6370" s="40"/>
      <c r="D6370" s="41"/>
      <c r="E6370" s="43">
        <f>C6370</f>
        <v>0</v>
      </c>
      <c r="F6370" s="42"/>
    </row>
    <row r="6371" spans="1:6">
      <c r="A6371" s="39">
        <f>A6370</f>
        <v>46048</v>
      </c>
      <c r="B6371" s="40"/>
      <c r="C6371" s="40"/>
      <c r="D6371" s="41"/>
      <c r="E6371" s="43">
        <f>C6371</f>
        <v>0</v>
      </c>
      <c r="F6371" s="42"/>
    </row>
    <row r="6372" spans="1:6">
      <c r="A6372" s="39">
        <f>A6371</f>
        <v>46048</v>
      </c>
      <c r="B6372" s="40"/>
      <c r="C6372" s="40"/>
      <c r="D6372" s="41"/>
      <c r="E6372" s="43">
        <f>C6372</f>
        <v>0</v>
      </c>
      <c r="F6372" s="42"/>
    </row>
    <row r="6373" spans="1:6">
      <c r="A6373" s="39">
        <f>A6372</f>
        <v>46048</v>
      </c>
      <c r="B6373" s="40"/>
      <c r="C6373" s="40"/>
      <c r="D6373" s="41"/>
      <c r="E6373" s="43">
        <f>C6373</f>
        <v>0</v>
      </c>
      <c r="F6373" s="42"/>
    </row>
    <row r="6374" spans="1:6">
      <c r="A6374" s="39">
        <f>A6373</f>
        <v>46048</v>
      </c>
      <c r="B6374" s="40"/>
      <c r="C6374" s="40"/>
      <c r="D6374" s="41"/>
      <c r="E6374" s="43">
        <f>C6374</f>
        <v>0</v>
      </c>
      <c r="F6374" s="42"/>
    </row>
    <row r="6375" spans="1:6">
      <c r="A6375" s="39">
        <f>A6374</f>
        <v>46048</v>
      </c>
      <c r="B6375" s="40"/>
      <c r="C6375" s="40"/>
      <c r="D6375" s="41"/>
      <c r="E6375" s="43">
        <f>C6375</f>
        <v>0</v>
      </c>
      <c r="F6375" s="42"/>
    </row>
    <row r="6376" spans="1:6">
      <c r="A6376" s="39">
        <f>A6375</f>
        <v>46048</v>
      </c>
      <c r="B6376" s="40"/>
      <c r="C6376" s="40"/>
      <c r="D6376" s="41"/>
      <c r="E6376" s="43">
        <f>C6376</f>
        <v>0</v>
      </c>
      <c r="F6376" s="42"/>
    </row>
    <row r="6377" spans="1:6">
      <c r="A6377" s="39">
        <f>A6376</f>
        <v>46048</v>
      </c>
      <c r="B6377" s="40"/>
      <c r="C6377" s="40"/>
      <c r="D6377" s="41"/>
      <c r="E6377" s="43">
        <f>C6377</f>
        <v>0</v>
      </c>
      <c r="F6377" s="42"/>
    </row>
    <row r="6378" spans="1:6">
      <c r="A6378" s="39">
        <f>A6377</f>
        <v>46048</v>
      </c>
      <c r="B6378" s="40"/>
      <c r="C6378" s="40"/>
      <c r="D6378" s="41"/>
      <c r="E6378" s="43">
        <f>C6378</f>
        <v>0</v>
      </c>
      <c r="F6378" s="42"/>
    </row>
    <row r="6379" spans="1:6">
      <c r="A6379" s="39">
        <f>A6378</f>
        <v>46048</v>
      </c>
      <c r="B6379" s="40"/>
      <c r="C6379" s="40"/>
      <c r="D6379" s="41"/>
      <c r="E6379" s="43">
        <f>C6379</f>
        <v>0</v>
      </c>
      <c r="F6379" s="42"/>
    </row>
    <row r="6380" spans="1:6">
      <c r="A6380" s="39">
        <f>A6379</f>
        <v>46048</v>
      </c>
      <c r="B6380" s="40"/>
      <c r="C6380" s="40"/>
      <c r="D6380" s="41"/>
      <c r="E6380" s="43">
        <f>C6380</f>
        <v>0</v>
      </c>
      <c r="F6380" s="42"/>
    </row>
    <row r="6381" spans="1:6">
      <c r="A6381" s="39">
        <f>A6380</f>
        <v>46048</v>
      </c>
      <c r="B6381" s="40"/>
      <c r="C6381" s="40"/>
      <c r="D6381" s="41"/>
      <c r="E6381" s="43">
        <f>C6381</f>
        <v>0</v>
      </c>
      <c r="F6381" s="42"/>
    </row>
    <row r="6382" spans="1:6">
      <c r="A6382" s="39">
        <f>A6381</f>
        <v>46048</v>
      </c>
      <c r="B6382" s="40"/>
      <c r="C6382" s="40"/>
      <c r="D6382" s="41"/>
      <c r="E6382" s="43">
        <f>C6382</f>
        <v>0</v>
      </c>
      <c r="F6382" s="42"/>
    </row>
    <row r="6383" spans="1:6">
      <c r="A6383" s="39">
        <f>A6382</f>
        <v>46048</v>
      </c>
      <c r="B6383" s="40"/>
      <c r="C6383" s="40"/>
      <c r="D6383" s="41"/>
      <c r="E6383" s="43">
        <f>C6383</f>
        <v>0</v>
      </c>
      <c r="F6383" s="42"/>
    </row>
    <row r="6384" spans="1:6">
      <c r="A6384" s="39">
        <f>A6383</f>
        <v>46048</v>
      </c>
      <c r="B6384" s="40"/>
      <c r="C6384" s="40"/>
      <c r="D6384" s="41"/>
      <c r="E6384" s="43">
        <f>C6384</f>
        <v>0</v>
      </c>
      <c r="F6384" s="42"/>
    </row>
    <row r="6385" spans="1:6">
      <c r="A6385" s="39">
        <f>A6384</f>
        <v>46048</v>
      </c>
      <c r="B6385" s="40"/>
      <c r="C6385" s="40"/>
      <c r="D6385" s="41"/>
      <c r="E6385" s="43">
        <f>C6385</f>
        <v>0</v>
      </c>
      <c r="F6385" s="42"/>
    </row>
    <row r="6386" spans="1:6">
      <c r="A6386" s="39">
        <f>A6385</f>
        <v>46048</v>
      </c>
      <c r="B6386" s="40"/>
      <c r="C6386" s="40"/>
      <c r="D6386" s="41"/>
      <c r="E6386" s="43">
        <f>C6386</f>
        <v>0</v>
      </c>
      <c r="F6386" s="42"/>
    </row>
    <row r="6387" spans="1:6">
      <c r="A6387" s="39">
        <f>A6386</f>
        <v>46048</v>
      </c>
      <c r="B6387" s="40"/>
      <c r="C6387" s="40"/>
      <c r="D6387" s="41"/>
      <c r="E6387" s="43">
        <f>C6387</f>
        <v>0</v>
      </c>
      <c r="F6387" s="42"/>
    </row>
    <row r="6388" spans="1:6">
      <c r="A6388" s="39">
        <f>A6387</f>
        <v>46048</v>
      </c>
      <c r="B6388" s="40"/>
      <c r="C6388" s="40"/>
      <c r="D6388" s="41"/>
      <c r="E6388" s="43">
        <f>C6388</f>
        <v>0</v>
      </c>
      <c r="F6388" s="42"/>
    </row>
    <row r="6389" spans="1:6">
      <c r="A6389" s="39">
        <f>A6388</f>
        <v>46048</v>
      </c>
      <c r="B6389" s="40"/>
      <c r="C6389" s="40"/>
      <c r="D6389" s="41"/>
      <c r="E6389" s="43">
        <f>C6389</f>
        <v>0</v>
      </c>
      <c r="F6389" s="42"/>
    </row>
    <row r="6390" spans="1:6">
      <c r="A6390" s="39">
        <f>A6389</f>
        <v>46048</v>
      </c>
      <c r="B6390" s="40"/>
      <c r="C6390" s="40"/>
      <c r="D6390" s="41"/>
      <c r="E6390" s="43">
        <f>C6390</f>
        <v>0</v>
      </c>
      <c r="F6390" s="42"/>
    </row>
    <row r="6391" spans="1:6">
      <c r="A6391" s="39">
        <f>A6390</f>
        <v>46048</v>
      </c>
      <c r="B6391" s="40"/>
      <c r="C6391" s="40"/>
      <c r="D6391" s="41"/>
      <c r="E6391" s="43">
        <f>C6391</f>
        <v>0</v>
      </c>
      <c r="F6391" s="42"/>
    </row>
    <row r="6392" spans="1:6">
      <c r="A6392" s="39">
        <f>A6391</f>
        <v>46048</v>
      </c>
      <c r="B6392" s="40"/>
      <c r="C6392" s="40"/>
      <c r="D6392" s="41"/>
      <c r="E6392" s="43">
        <f>C6392</f>
        <v>0</v>
      </c>
      <c r="F6392" s="42"/>
    </row>
    <row r="6393" spans="1:6">
      <c r="A6393" s="39">
        <f>A6392</f>
        <v>46048</v>
      </c>
      <c r="B6393" s="40"/>
      <c r="C6393" s="40"/>
      <c r="D6393" s="41"/>
      <c r="E6393" s="43">
        <f>C6393</f>
        <v>0</v>
      </c>
      <c r="F6393" s="42"/>
    </row>
    <row r="6394" spans="1:6">
      <c r="A6394" s="39">
        <f>A6393</f>
        <v>46048</v>
      </c>
      <c r="B6394" s="40"/>
      <c r="C6394" s="40"/>
      <c r="D6394" s="41"/>
      <c r="E6394" s="43">
        <f>C6394</f>
        <v>0</v>
      </c>
      <c r="F6394" s="42"/>
    </row>
    <row r="6395" spans="1:6">
      <c r="A6395" s="39">
        <f>A6394</f>
        <v>46048</v>
      </c>
      <c r="B6395" s="40"/>
      <c r="C6395" s="40"/>
      <c r="D6395" s="41"/>
      <c r="E6395" s="43">
        <f>C6395</f>
        <v>0</v>
      </c>
      <c r="F6395" s="42"/>
    </row>
    <row r="6396" spans="1:6">
      <c r="A6396" s="39">
        <f>A6395</f>
        <v>46048</v>
      </c>
      <c r="B6396" s="40"/>
      <c r="C6396" s="40"/>
      <c r="D6396" s="41"/>
      <c r="E6396" s="43">
        <f>C6396</f>
        <v>0</v>
      </c>
      <c r="F6396" s="42"/>
    </row>
    <row r="6397" spans="1:6">
      <c r="A6397" s="39">
        <f>A6396</f>
        <v>46048</v>
      </c>
      <c r="B6397" s="40"/>
      <c r="C6397" s="40"/>
      <c r="D6397" s="41"/>
      <c r="E6397" s="43">
        <f>C6397</f>
        <v>0</v>
      </c>
      <c r="F6397" s="42"/>
    </row>
    <row r="6398" spans="1:6">
      <c r="A6398" s="39">
        <f>A6397</f>
        <v>46048</v>
      </c>
      <c r="B6398" s="40"/>
      <c r="C6398" s="40"/>
      <c r="D6398" s="41"/>
      <c r="E6398" s="43">
        <f>C6398</f>
        <v>0</v>
      </c>
      <c r="F6398" s="42"/>
    </row>
    <row r="6399" spans="1:6">
      <c r="A6399" s="39">
        <f>A6398</f>
        <v>46048</v>
      </c>
      <c r="B6399" s="40"/>
      <c r="C6399" s="40"/>
      <c r="D6399" s="41"/>
      <c r="E6399" s="43">
        <f>C6399</f>
        <v>0</v>
      </c>
      <c r="F6399" s="42"/>
    </row>
    <row r="6400" spans="1:6">
      <c r="A6400" s="39">
        <f>A6399</f>
        <v>46048</v>
      </c>
      <c r="B6400" s="40"/>
      <c r="C6400" s="40"/>
      <c r="D6400" s="41"/>
      <c r="E6400" s="43">
        <f>C6400</f>
        <v>0</v>
      </c>
      <c r="F6400" s="42"/>
    </row>
    <row r="6401" spans="1:6">
      <c r="A6401" s="39">
        <f>A6400</f>
        <v>46048</v>
      </c>
      <c r="B6401" s="40"/>
      <c r="C6401" s="40"/>
      <c r="D6401" s="41"/>
      <c r="E6401" s="43">
        <f>C6401</f>
        <v>0</v>
      </c>
      <c r="F6401" s="42"/>
    </row>
    <row r="6402" spans="1:6">
      <c r="A6402" s="39">
        <f>A6401</f>
        <v>46048</v>
      </c>
      <c r="B6402" s="40"/>
      <c r="C6402" s="40"/>
      <c r="D6402" s="41"/>
      <c r="E6402" s="43">
        <f>C6402</f>
        <v>0</v>
      </c>
      <c r="F6402" s="42"/>
    </row>
    <row r="6403" spans="1:6">
      <c r="A6403" s="39">
        <f>A6402</f>
        <v>46048</v>
      </c>
      <c r="B6403" s="40"/>
      <c r="C6403" s="40"/>
      <c r="D6403" s="41"/>
      <c r="E6403" s="43">
        <f>C6403</f>
        <v>0</v>
      </c>
      <c r="F6403" s="42"/>
    </row>
    <row r="6404" spans="1:6">
      <c r="A6404" s="39">
        <f>A6403</f>
        <v>46048</v>
      </c>
      <c r="B6404" s="40"/>
      <c r="C6404" s="40"/>
      <c r="D6404" s="41"/>
      <c r="E6404" s="43">
        <f>C6404</f>
        <v>0</v>
      </c>
      <c r="F6404" s="42"/>
    </row>
    <row r="6405" spans="1:6">
      <c r="A6405" s="39">
        <f>A6404</f>
        <v>46048</v>
      </c>
      <c r="B6405" s="40"/>
      <c r="C6405" s="40"/>
      <c r="D6405" s="41"/>
      <c r="E6405" s="43">
        <f>C6405</f>
        <v>0</v>
      </c>
      <c r="F6405" s="42"/>
    </row>
    <row r="6406" spans="1:6">
      <c r="A6406" s="39">
        <f>A6405</f>
        <v>46048</v>
      </c>
      <c r="B6406" s="40"/>
      <c r="C6406" s="40"/>
      <c r="D6406" s="41"/>
      <c r="E6406" s="43">
        <f>C6406</f>
        <v>0</v>
      </c>
      <c r="F6406" s="42"/>
    </row>
    <row r="6407" spans="1:6">
      <c r="A6407" s="39">
        <f>A6406</f>
        <v>46048</v>
      </c>
      <c r="B6407" s="40"/>
      <c r="C6407" s="40"/>
      <c r="D6407" s="41"/>
      <c r="E6407" s="43">
        <f>C6407</f>
        <v>0</v>
      </c>
      <c r="F6407" s="42"/>
    </row>
    <row r="6408" spans="1:6">
      <c r="A6408" s="39">
        <f>A6407</f>
        <v>46048</v>
      </c>
      <c r="B6408" s="40"/>
      <c r="C6408" s="40"/>
      <c r="D6408" s="41"/>
      <c r="E6408" s="43">
        <f>C6408</f>
        <v>0</v>
      </c>
      <c r="F6408" s="42"/>
    </row>
    <row r="6409" spans="1:6">
      <c r="A6409" s="39">
        <f>A6408</f>
        <v>46048</v>
      </c>
      <c r="B6409" s="40"/>
      <c r="C6409" s="40"/>
      <c r="D6409" s="41"/>
      <c r="E6409" s="43">
        <f>C6409</f>
        <v>0</v>
      </c>
      <c r="F6409" s="42"/>
    </row>
    <row r="6410" spans="1:6">
      <c r="A6410" s="39">
        <f>A6409</f>
        <v>46048</v>
      </c>
      <c r="B6410" s="40"/>
      <c r="C6410" s="40"/>
      <c r="D6410" s="41"/>
      <c r="E6410" s="43">
        <f>C6410</f>
        <v>0</v>
      </c>
      <c r="F6410" s="42"/>
    </row>
    <row r="6411" spans="1:6">
      <c r="A6411" s="39">
        <f>A6410</f>
        <v>46048</v>
      </c>
      <c r="B6411" s="40"/>
      <c r="C6411" s="40"/>
      <c r="D6411" s="41"/>
      <c r="E6411" s="43">
        <f>C6411</f>
        <v>0</v>
      </c>
      <c r="F6411" s="42"/>
    </row>
    <row r="6412" spans="1:6">
      <c r="A6412" s="39">
        <f>A6411</f>
        <v>46048</v>
      </c>
      <c r="B6412" s="40"/>
      <c r="C6412" s="40"/>
      <c r="D6412" s="41"/>
      <c r="E6412" s="43">
        <f>C6412</f>
        <v>0</v>
      </c>
      <c r="F6412" s="42"/>
    </row>
    <row r="6413" spans="1:6">
      <c r="A6413" s="39">
        <f>A6412</f>
        <v>46048</v>
      </c>
      <c r="B6413" s="40"/>
      <c r="C6413" s="40"/>
      <c r="D6413" s="41"/>
      <c r="E6413" s="43">
        <f>C6413</f>
        <v>0</v>
      </c>
      <c r="F6413" s="42"/>
    </row>
    <row r="6414" spans="1:6">
      <c r="A6414" s="39">
        <f>A6413</f>
        <v>46048</v>
      </c>
      <c r="B6414" s="40"/>
      <c r="C6414" s="40"/>
      <c r="D6414" s="41"/>
      <c r="E6414" s="43">
        <f>C6414</f>
        <v>0</v>
      </c>
      <c r="F6414" s="42"/>
    </row>
    <row r="6415" spans="1:6">
      <c r="A6415" s="39">
        <f>A6414</f>
        <v>46048</v>
      </c>
      <c r="B6415" s="40"/>
      <c r="C6415" s="40"/>
      <c r="D6415" s="41"/>
      <c r="E6415" s="43">
        <f>C6415</f>
        <v>0</v>
      </c>
      <c r="F6415" s="42"/>
    </row>
    <row r="6416" spans="1:6">
      <c r="A6416" s="39">
        <f>A6415</f>
        <v>46048</v>
      </c>
      <c r="B6416" s="40"/>
      <c r="C6416" s="40"/>
      <c r="D6416" s="41"/>
      <c r="E6416" s="43">
        <f>C6416</f>
        <v>0</v>
      </c>
      <c r="F6416" s="42"/>
    </row>
    <row r="6417" spans="1:6">
      <c r="A6417" s="39">
        <f>A6416</f>
        <v>46048</v>
      </c>
      <c r="B6417" s="40"/>
      <c r="C6417" s="40"/>
      <c r="D6417" s="41"/>
      <c r="E6417" s="43">
        <f>C6417</f>
        <v>0</v>
      </c>
      <c r="F6417" s="42"/>
    </row>
    <row r="6418" spans="1:6">
      <c r="A6418" s="39">
        <f>A6417</f>
        <v>46048</v>
      </c>
      <c r="B6418" s="40"/>
      <c r="C6418" s="40"/>
      <c r="D6418" s="41"/>
      <c r="E6418" s="43">
        <f>C6418</f>
        <v>0</v>
      </c>
      <c r="F6418" s="42"/>
    </row>
    <row r="6419" spans="1:6">
      <c r="A6419" s="39">
        <f>A6418</f>
        <v>46048</v>
      </c>
      <c r="B6419" s="40"/>
      <c r="C6419" s="40"/>
      <c r="D6419" s="41"/>
      <c r="E6419" s="43">
        <f>C6419</f>
        <v>0</v>
      </c>
      <c r="F6419" s="42"/>
    </row>
    <row r="6420" spans="1:6">
      <c r="A6420" s="39">
        <f>A6419</f>
        <v>46048</v>
      </c>
      <c r="B6420" s="40"/>
      <c r="C6420" s="40"/>
      <c r="D6420" s="41"/>
      <c r="E6420" s="43">
        <f>C6420</f>
        <v>0</v>
      </c>
      <c r="F6420" s="42"/>
    </row>
    <row r="6421" spans="1:6">
      <c r="A6421" s="39">
        <f>A6420</f>
        <v>46048</v>
      </c>
      <c r="B6421" s="40"/>
      <c r="C6421" s="40"/>
      <c r="D6421" s="41"/>
      <c r="E6421" s="43">
        <f>C6421</f>
        <v>0</v>
      </c>
      <c r="F6421" s="42"/>
    </row>
    <row r="6422" spans="1:6">
      <c r="A6422" s="39">
        <f>A6421</f>
        <v>46048</v>
      </c>
      <c r="B6422" s="40"/>
      <c r="C6422" s="40"/>
      <c r="D6422" s="41"/>
      <c r="E6422" s="43">
        <f>C6422</f>
        <v>0</v>
      </c>
      <c r="F6422" s="42"/>
    </row>
    <row r="6423" spans="1:6">
      <c r="A6423" s="39">
        <f>A6422</f>
        <v>46048</v>
      </c>
      <c r="B6423" s="40"/>
      <c r="C6423" s="40"/>
      <c r="D6423" s="41"/>
      <c r="E6423" s="43">
        <f>C6423</f>
        <v>0</v>
      </c>
      <c r="F6423" s="42"/>
    </row>
    <row r="6424" spans="1:6">
      <c r="A6424" s="39">
        <f>A6423</f>
        <v>46048</v>
      </c>
      <c r="B6424" s="40"/>
      <c r="C6424" s="40"/>
      <c r="D6424" s="41"/>
      <c r="E6424" s="43">
        <f>C6424</f>
        <v>0</v>
      </c>
      <c r="F6424" s="42"/>
    </row>
    <row r="6425" spans="1:6">
      <c r="A6425" s="39">
        <f>A6424</f>
        <v>46048</v>
      </c>
      <c r="B6425" s="40"/>
      <c r="C6425" s="40"/>
      <c r="D6425" s="41"/>
      <c r="E6425" s="43">
        <f>C6425</f>
        <v>0</v>
      </c>
      <c r="F6425" s="42"/>
    </row>
    <row r="6426" spans="1:6">
      <c r="A6426" s="39">
        <f>A6425</f>
        <v>46048</v>
      </c>
      <c r="B6426" s="40"/>
      <c r="C6426" s="40"/>
      <c r="D6426" s="41"/>
      <c r="E6426" s="43">
        <f>C6426</f>
        <v>0</v>
      </c>
      <c r="F6426" s="42"/>
    </row>
    <row r="6427" spans="1:6">
      <c r="A6427" s="39">
        <f>A6426</f>
        <v>46048</v>
      </c>
      <c r="B6427" s="40"/>
      <c r="C6427" s="40"/>
      <c r="D6427" s="41"/>
      <c r="E6427" s="43">
        <f>C6427</f>
        <v>0</v>
      </c>
      <c r="F6427" s="42"/>
    </row>
    <row r="6428" spans="1:6">
      <c r="A6428" s="39">
        <f>A6427</f>
        <v>46048</v>
      </c>
      <c r="B6428" s="40"/>
      <c r="C6428" s="40"/>
      <c r="D6428" s="41"/>
      <c r="E6428" s="43">
        <f>C6428</f>
        <v>0</v>
      </c>
      <c r="F6428" s="42"/>
    </row>
    <row r="6429" spans="1:6">
      <c r="A6429" s="39">
        <f>A6428</f>
        <v>46048</v>
      </c>
      <c r="B6429" s="40"/>
      <c r="C6429" s="40"/>
      <c r="D6429" s="41"/>
      <c r="E6429" s="43">
        <f>C6429</f>
        <v>0</v>
      </c>
      <c r="F6429" s="42"/>
    </row>
    <row r="6430" spans="1:6">
      <c r="A6430" s="39">
        <f>A6429</f>
        <v>46048</v>
      </c>
      <c r="B6430" s="40"/>
      <c r="C6430" s="40"/>
      <c r="D6430" s="41"/>
      <c r="E6430" s="43">
        <f>C6430</f>
        <v>0</v>
      </c>
      <c r="F6430" s="42"/>
    </row>
    <row r="6431" spans="1:6">
      <c r="A6431" s="39">
        <f>A6430</f>
        <v>46048</v>
      </c>
      <c r="B6431" s="40"/>
      <c r="C6431" s="40"/>
      <c r="D6431" s="41"/>
      <c r="E6431" s="43">
        <f>C6431</f>
        <v>0</v>
      </c>
      <c r="F6431" s="42"/>
    </row>
    <row r="6432" spans="1:6">
      <c r="A6432" s="39">
        <f>A6431</f>
        <v>46048</v>
      </c>
      <c r="B6432" s="40"/>
      <c r="C6432" s="40"/>
      <c r="D6432" s="41"/>
      <c r="E6432" s="43">
        <f>C6432</f>
        <v>0</v>
      </c>
      <c r="F6432" s="42"/>
    </row>
    <row r="6433" spans="1:6">
      <c r="A6433" s="39">
        <f>A6432</f>
        <v>46048</v>
      </c>
      <c r="B6433" s="40"/>
      <c r="C6433" s="40"/>
      <c r="D6433" s="41"/>
      <c r="E6433" s="43">
        <f>C6433</f>
        <v>0</v>
      </c>
      <c r="F6433" s="42"/>
    </row>
    <row r="6434" spans="1:6">
      <c r="A6434" s="39">
        <f>A6433</f>
        <v>46048</v>
      </c>
      <c r="B6434" s="40"/>
      <c r="C6434" s="40"/>
      <c r="D6434" s="41"/>
      <c r="E6434" s="43">
        <f>C6434</f>
        <v>0</v>
      </c>
      <c r="F6434" s="42"/>
    </row>
    <row r="6435" spans="1:6">
      <c r="A6435" s="39">
        <f>A6434</f>
        <v>46048</v>
      </c>
      <c r="B6435" s="40"/>
      <c r="C6435" s="40"/>
      <c r="D6435" s="41"/>
      <c r="E6435" s="43">
        <f>C6435</f>
        <v>0</v>
      </c>
      <c r="F6435" s="42"/>
    </row>
    <row r="6436" spans="1:6">
      <c r="A6436" s="39">
        <f>A6435</f>
        <v>46048</v>
      </c>
      <c r="B6436" s="40"/>
      <c r="C6436" s="40"/>
      <c r="D6436" s="41"/>
      <c r="E6436" s="43">
        <f>C6436</f>
        <v>0</v>
      </c>
      <c r="F6436" s="42"/>
    </row>
    <row r="6437" spans="1:6">
      <c r="A6437" s="39">
        <f>A6436</f>
        <v>46048</v>
      </c>
      <c r="B6437" s="40"/>
      <c r="C6437" s="40"/>
      <c r="D6437" s="41"/>
      <c r="E6437" s="43">
        <f>C6437</f>
        <v>0</v>
      </c>
      <c r="F6437" s="42"/>
    </row>
    <row r="6438" spans="1:6">
      <c r="A6438" s="39">
        <f>A6437</f>
        <v>46048</v>
      </c>
      <c r="B6438" s="40"/>
      <c r="C6438" s="40"/>
      <c r="D6438" s="41"/>
      <c r="E6438" s="43">
        <f>C6438</f>
        <v>0</v>
      </c>
      <c r="F6438" s="42"/>
    </row>
    <row r="6439" spans="1:6">
      <c r="A6439" s="39">
        <f>A6438</f>
        <v>46048</v>
      </c>
      <c r="B6439" s="40"/>
      <c r="C6439" s="40"/>
      <c r="D6439" s="41"/>
      <c r="E6439" s="43">
        <f>C6439</f>
        <v>0</v>
      </c>
      <c r="F6439" s="42"/>
    </row>
    <row r="6440" spans="1:6">
      <c r="A6440" s="39">
        <f>A6439</f>
        <v>46048</v>
      </c>
      <c r="B6440" s="40"/>
      <c r="C6440" s="40"/>
      <c r="D6440" s="41"/>
      <c r="E6440" s="43">
        <f>C6440</f>
        <v>0</v>
      </c>
      <c r="F6440" s="42"/>
    </row>
    <row r="6441" spans="1:6">
      <c r="A6441" s="39">
        <f>A6440</f>
        <v>46048</v>
      </c>
      <c r="B6441" s="40"/>
      <c r="C6441" s="40"/>
      <c r="D6441" s="41"/>
      <c r="E6441" s="43">
        <f>C6441</f>
        <v>0</v>
      </c>
      <c r="F6441" s="42"/>
    </row>
    <row r="6442" spans="1:6">
      <c r="A6442" s="39">
        <f>A6441</f>
        <v>46048</v>
      </c>
      <c r="B6442" s="40"/>
      <c r="C6442" s="40"/>
      <c r="D6442" s="41"/>
      <c r="E6442" s="43">
        <f>C6442</f>
        <v>0</v>
      </c>
      <c r="F6442" s="42"/>
    </row>
    <row r="6443" spans="1:6">
      <c r="A6443" s="39">
        <f>A6442</f>
        <v>46048</v>
      </c>
      <c r="B6443" s="40"/>
      <c r="C6443" s="40"/>
      <c r="D6443" s="41"/>
      <c r="E6443" s="43">
        <f>C6443</f>
        <v>0</v>
      </c>
      <c r="F6443" s="42"/>
    </row>
    <row r="6444" spans="1:6">
      <c r="A6444" s="39">
        <f>A6443</f>
        <v>46048</v>
      </c>
      <c r="B6444" s="40"/>
      <c r="C6444" s="40"/>
      <c r="D6444" s="41"/>
      <c r="E6444" s="43">
        <f>C6444</f>
        <v>0</v>
      </c>
      <c r="F6444" s="42"/>
    </row>
    <row r="6445" spans="1:6">
      <c r="A6445" s="39">
        <f>A6444</f>
        <v>46048</v>
      </c>
      <c r="B6445" s="40"/>
      <c r="C6445" s="40"/>
      <c r="D6445" s="41"/>
      <c r="E6445" s="43">
        <f>C6445</f>
        <v>0</v>
      </c>
      <c r="F6445" s="42"/>
    </row>
    <row r="6446" spans="1:6">
      <c r="A6446" s="39">
        <f>A6445</f>
        <v>46048</v>
      </c>
      <c r="B6446" s="40"/>
      <c r="C6446" s="40"/>
      <c r="D6446" s="41"/>
      <c r="E6446" s="43">
        <f>C6446</f>
        <v>0</v>
      </c>
      <c r="F6446" s="42"/>
    </row>
    <row r="6447" spans="1:6">
      <c r="A6447" s="39">
        <f>A6446</f>
        <v>46048</v>
      </c>
      <c r="B6447" s="40"/>
      <c r="C6447" s="40"/>
      <c r="D6447" s="41"/>
      <c r="E6447" s="43">
        <f>C6447</f>
        <v>0</v>
      </c>
      <c r="F6447" s="42"/>
    </row>
    <row r="6448" spans="1:6">
      <c r="A6448" s="39">
        <f>A6447</f>
        <v>46048</v>
      </c>
      <c r="B6448" s="40"/>
      <c r="C6448" s="40"/>
      <c r="D6448" s="41"/>
      <c r="E6448" s="43">
        <f>C6448</f>
        <v>0</v>
      </c>
      <c r="F6448" s="42"/>
    </row>
    <row r="6449" spans="1:6">
      <c r="A6449" s="39">
        <f>A6448</f>
        <v>46048</v>
      </c>
      <c r="B6449" s="40"/>
      <c r="C6449" s="40"/>
      <c r="D6449" s="41"/>
      <c r="E6449" s="43">
        <f>C6449</f>
        <v>0</v>
      </c>
      <c r="F6449" s="42"/>
    </row>
    <row r="6450" spans="1:6">
      <c r="A6450" s="39">
        <f>A6449</f>
        <v>46048</v>
      </c>
      <c r="B6450" s="40"/>
      <c r="C6450" s="40"/>
      <c r="D6450" s="41"/>
      <c r="E6450" s="43">
        <f>C6450</f>
        <v>0</v>
      </c>
      <c r="F6450" s="42"/>
    </row>
    <row r="6451" spans="1:6">
      <c r="A6451" s="39">
        <f>A6450</f>
        <v>46048</v>
      </c>
      <c r="B6451" s="40"/>
      <c r="C6451" s="40"/>
      <c r="D6451" s="41"/>
      <c r="E6451" s="43">
        <f>C6451</f>
        <v>0</v>
      </c>
      <c r="F6451" s="42"/>
    </row>
    <row r="6452" spans="1:6">
      <c r="A6452" s="39">
        <f>A6451</f>
        <v>46048</v>
      </c>
      <c r="B6452" s="40"/>
      <c r="C6452" s="40"/>
      <c r="D6452" s="41"/>
      <c r="E6452" s="43">
        <f>C6452</f>
        <v>0</v>
      </c>
      <c r="F6452" s="42"/>
    </row>
    <row r="6453" spans="1:6">
      <c r="A6453" s="39">
        <f>A6452</f>
        <v>46048</v>
      </c>
      <c r="B6453" s="40"/>
      <c r="C6453" s="40"/>
      <c r="D6453" s="41"/>
      <c r="E6453" s="43">
        <f>C6453</f>
        <v>0</v>
      </c>
      <c r="F6453" s="42"/>
    </row>
    <row r="6454" spans="1:6">
      <c r="A6454" s="39">
        <f>A6453</f>
        <v>46048</v>
      </c>
      <c r="B6454" s="40"/>
      <c r="C6454" s="40"/>
      <c r="D6454" s="41"/>
      <c r="E6454" s="43">
        <f>C6454</f>
        <v>0</v>
      </c>
      <c r="F6454" s="42"/>
    </row>
    <row r="6455" spans="1:6">
      <c r="A6455" s="39">
        <f>A6454</f>
        <v>46048</v>
      </c>
      <c r="B6455" s="40"/>
      <c r="C6455" s="40"/>
      <c r="D6455" s="41"/>
      <c r="E6455" s="43">
        <f>C6455</f>
        <v>0</v>
      </c>
      <c r="F6455" s="42"/>
    </row>
    <row r="6456" spans="1:6">
      <c r="A6456" s="39">
        <f>A6455</f>
        <v>46048</v>
      </c>
      <c r="B6456" s="40"/>
      <c r="C6456" s="40"/>
      <c r="D6456" s="41"/>
      <c r="E6456" s="43">
        <f>C6456</f>
        <v>0</v>
      </c>
      <c r="F6456" s="42"/>
    </row>
    <row r="6457" spans="1:6">
      <c r="A6457" s="39">
        <f>A6456</f>
        <v>46048</v>
      </c>
      <c r="B6457" s="40"/>
      <c r="C6457" s="40"/>
      <c r="D6457" s="41"/>
      <c r="E6457" s="43">
        <f>C6457</f>
        <v>0</v>
      </c>
      <c r="F6457" s="42"/>
    </row>
    <row r="6458" spans="1:6">
      <c r="A6458" s="39">
        <f>A6457</f>
        <v>46048</v>
      </c>
      <c r="B6458" s="40"/>
      <c r="C6458" s="40"/>
      <c r="D6458" s="41"/>
      <c r="E6458" s="43">
        <f>C6458</f>
        <v>0</v>
      </c>
      <c r="F6458" s="42"/>
    </row>
    <row r="6459" spans="1:6">
      <c r="A6459" s="39">
        <f>A6458</f>
        <v>46048</v>
      </c>
      <c r="B6459" s="40"/>
      <c r="C6459" s="40"/>
      <c r="D6459" s="41"/>
      <c r="E6459" s="43">
        <f>C6459</f>
        <v>0</v>
      </c>
      <c r="F6459" s="42"/>
    </row>
    <row r="6460" spans="1:6">
      <c r="A6460" s="39">
        <f>A6459</f>
        <v>46048</v>
      </c>
      <c r="B6460" s="40"/>
      <c r="C6460" s="40"/>
      <c r="D6460" s="41"/>
      <c r="E6460" s="43">
        <f>C6460</f>
        <v>0</v>
      </c>
      <c r="F6460" s="42"/>
    </row>
    <row r="6461" spans="1:6">
      <c r="A6461" s="39">
        <f>A6460</f>
        <v>46048</v>
      </c>
      <c r="B6461" s="40"/>
      <c r="C6461" s="40"/>
      <c r="D6461" s="41"/>
      <c r="E6461" s="43">
        <f>C6461</f>
        <v>0</v>
      </c>
      <c r="F6461" s="42"/>
    </row>
    <row r="6462" spans="1:6">
      <c r="A6462" s="39">
        <f>A6461</f>
        <v>46048</v>
      </c>
      <c r="B6462" s="40"/>
      <c r="C6462" s="40"/>
      <c r="D6462" s="41"/>
      <c r="E6462" s="43">
        <f>C6462</f>
        <v>0</v>
      </c>
      <c r="F6462" s="42"/>
    </row>
    <row r="6463" spans="1:6">
      <c r="A6463" s="39">
        <f>A6462</f>
        <v>46048</v>
      </c>
      <c r="B6463" s="40"/>
      <c r="C6463" s="40"/>
      <c r="D6463" s="41"/>
      <c r="E6463" s="43">
        <f>C6463</f>
        <v>0</v>
      </c>
      <c r="F6463" s="42"/>
    </row>
    <row r="6464" spans="1:6">
      <c r="A6464" s="39">
        <f>A6463</f>
        <v>46048</v>
      </c>
      <c r="B6464" s="40"/>
      <c r="C6464" s="40"/>
      <c r="D6464" s="41"/>
      <c r="E6464" s="43">
        <f>C6464</f>
        <v>0</v>
      </c>
      <c r="F6464" s="42"/>
    </row>
    <row r="6465" spans="1:6">
      <c r="A6465" s="39">
        <f>A6464</f>
        <v>46048</v>
      </c>
      <c r="B6465" s="40"/>
      <c r="C6465" s="40"/>
      <c r="D6465" s="41"/>
      <c r="E6465" s="43">
        <f>C6465</f>
        <v>0</v>
      </c>
      <c r="F6465" s="42"/>
    </row>
    <row r="6466" spans="1:6">
      <c r="A6466" s="39">
        <f>A6465</f>
        <v>46048</v>
      </c>
      <c r="B6466" s="40"/>
      <c r="C6466" s="40"/>
      <c r="D6466" s="41"/>
      <c r="E6466" s="43">
        <f>C6466</f>
        <v>0</v>
      </c>
      <c r="F6466" s="42"/>
    </row>
    <row r="6467" spans="1:6">
      <c r="A6467" s="39">
        <f>A6466</f>
        <v>46048</v>
      </c>
      <c r="B6467" s="40"/>
      <c r="C6467" s="40"/>
      <c r="D6467" s="41"/>
      <c r="E6467" s="43">
        <f>C6467</f>
        <v>0</v>
      </c>
      <c r="F6467" s="42"/>
    </row>
    <row r="6468" spans="1:6">
      <c r="A6468" s="39">
        <f>A6467</f>
        <v>46048</v>
      </c>
      <c r="B6468" s="40"/>
      <c r="C6468" s="40"/>
      <c r="D6468" s="41"/>
      <c r="E6468" s="43">
        <f>C6468</f>
        <v>0</v>
      </c>
      <c r="F6468" s="42"/>
    </row>
    <row r="6469" spans="1:6">
      <c r="A6469" s="39">
        <f>A6468</f>
        <v>46048</v>
      </c>
      <c r="B6469" s="40"/>
      <c r="C6469" s="40"/>
      <c r="D6469" s="41"/>
      <c r="E6469" s="43">
        <f>C6469</f>
        <v>0</v>
      </c>
      <c r="F6469" s="42"/>
    </row>
    <row r="6470" spans="1:6">
      <c r="A6470" s="39">
        <f>A6469</f>
        <v>46048</v>
      </c>
      <c r="B6470" s="40"/>
      <c r="C6470" s="40"/>
      <c r="D6470" s="41"/>
      <c r="E6470" s="43">
        <f>C6470</f>
        <v>0</v>
      </c>
      <c r="F6470" s="42"/>
    </row>
    <row r="6471" spans="1:6">
      <c r="A6471" s="39">
        <f>A6470</f>
        <v>46048</v>
      </c>
      <c r="B6471" s="40"/>
      <c r="C6471" s="40"/>
      <c r="D6471" s="41"/>
      <c r="E6471" s="43">
        <f>C6471</f>
        <v>0</v>
      </c>
      <c r="F6471" s="42"/>
    </row>
    <row r="6472" spans="1:6">
      <c r="A6472" s="39">
        <f>A6471</f>
        <v>46048</v>
      </c>
      <c r="B6472" s="40"/>
      <c r="C6472" s="40"/>
      <c r="D6472" s="41"/>
      <c r="E6472" s="43">
        <f>C6472</f>
        <v>0</v>
      </c>
      <c r="F6472" s="42"/>
    </row>
    <row r="6473" spans="1:6">
      <c r="A6473" s="39">
        <f>A6472</f>
        <v>46048</v>
      </c>
      <c r="B6473" s="40"/>
      <c r="C6473" s="40"/>
      <c r="D6473" s="41"/>
      <c r="E6473" s="43">
        <f>C6473</f>
        <v>0</v>
      </c>
      <c r="F6473" s="42"/>
    </row>
    <row r="6474" spans="1:6">
      <c r="A6474" s="39">
        <f>A6473</f>
        <v>46048</v>
      </c>
      <c r="B6474" s="40"/>
      <c r="C6474" s="40"/>
      <c r="D6474" s="41"/>
      <c r="E6474" s="43">
        <f>C6474</f>
        <v>0</v>
      </c>
      <c r="F6474" s="42"/>
    </row>
    <row r="6475" spans="1:6">
      <c r="A6475" s="39">
        <f>A6474</f>
        <v>46048</v>
      </c>
      <c r="B6475" s="40"/>
      <c r="C6475" s="40"/>
      <c r="D6475" s="41"/>
      <c r="E6475" s="43">
        <f>C6475</f>
        <v>0</v>
      </c>
      <c r="F6475" s="42"/>
    </row>
    <row r="6476" spans="1:6">
      <c r="A6476" s="39">
        <f>A6475</f>
        <v>46048</v>
      </c>
      <c r="B6476" s="40"/>
      <c r="C6476" s="40"/>
      <c r="D6476" s="41"/>
      <c r="E6476" s="43">
        <f>C6476</f>
        <v>0</v>
      </c>
      <c r="F6476" s="42"/>
    </row>
    <row r="6477" spans="1:6">
      <c r="A6477" s="39">
        <f>A6476</f>
        <v>46048</v>
      </c>
      <c r="B6477" s="40"/>
      <c r="C6477" s="40"/>
      <c r="D6477" s="41"/>
      <c r="E6477" s="43">
        <f>C6477</f>
        <v>0</v>
      </c>
      <c r="F6477" s="42"/>
    </row>
    <row r="6478" spans="1:6">
      <c r="A6478" s="39">
        <f>A6477</f>
        <v>46048</v>
      </c>
      <c r="B6478" s="40"/>
      <c r="C6478" s="40"/>
      <c r="D6478" s="41"/>
      <c r="E6478" s="43">
        <f>C6478</f>
        <v>0</v>
      </c>
      <c r="F6478" s="42"/>
    </row>
    <row r="6479" spans="1:6">
      <c r="A6479" s="39">
        <f>A6478</f>
        <v>46048</v>
      </c>
      <c r="B6479" s="40"/>
      <c r="C6479" s="40"/>
      <c r="D6479" s="41"/>
      <c r="E6479" s="43">
        <f>C6479</f>
        <v>0</v>
      </c>
      <c r="F6479" s="42"/>
    </row>
    <row r="6480" spans="1:6">
      <c r="A6480" s="39">
        <f>A6479</f>
        <v>46048</v>
      </c>
      <c r="B6480" s="40"/>
      <c r="C6480" s="40"/>
      <c r="D6480" s="41"/>
      <c r="E6480" s="43">
        <f>C6480</f>
        <v>0</v>
      </c>
      <c r="F6480" s="42"/>
    </row>
    <row r="6481" spans="1:6">
      <c r="A6481" s="39">
        <f>A6480</f>
        <v>46048</v>
      </c>
      <c r="B6481" s="40"/>
      <c r="C6481" s="40"/>
      <c r="D6481" s="41"/>
      <c r="E6481" s="43">
        <f>C6481</f>
        <v>0</v>
      </c>
      <c r="F6481" s="42"/>
    </row>
    <row r="6482" spans="1:6">
      <c r="A6482" s="39">
        <f>A6481</f>
        <v>46048</v>
      </c>
      <c r="B6482" s="40"/>
      <c r="C6482" s="40"/>
      <c r="D6482" s="41"/>
      <c r="E6482" s="43">
        <f>C6482</f>
        <v>0</v>
      </c>
      <c r="F6482" s="42"/>
    </row>
    <row r="6483" spans="1:6">
      <c r="A6483" s="39">
        <f>A6482</f>
        <v>46048</v>
      </c>
      <c r="B6483" s="40"/>
      <c r="C6483" s="40"/>
      <c r="D6483" s="41"/>
      <c r="E6483" s="43">
        <f>C6483</f>
        <v>0</v>
      </c>
      <c r="F6483" s="42"/>
    </row>
    <row r="6484" spans="1:6">
      <c r="A6484" s="39">
        <f>A6483</f>
        <v>46048</v>
      </c>
      <c r="B6484" s="40"/>
      <c r="C6484" s="40"/>
      <c r="D6484" s="41"/>
      <c r="E6484" s="43">
        <f>C6484</f>
        <v>0</v>
      </c>
      <c r="F6484" s="42"/>
    </row>
    <row r="6485" spans="1:6">
      <c r="A6485" s="39">
        <f>A6484</f>
        <v>46048</v>
      </c>
      <c r="B6485" s="40"/>
      <c r="C6485" s="40"/>
      <c r="D6485" s="41"/>
      <c r="E6485" s="43">
        <f>C6485</f>
        <v>0</v>
      </c>
      <c r="F6485" s="42"/>
    </row>
    <row r="6486" spans="1:6">
      <c r="A6486" s="39">
        <f>A6485</f>
        <v>46048</v>
      </c>
      <c r="B6486" s="40"/>
      <c r="C6486" s="40"/>
      <c r="D6486" s="41"/>
      <c r="E6486" s="43">
        <f>C6486</f>
        <v>0</v>
      </c>
      <c r="F6486" s="42"/>
    </row>
    <row r="6487" spans="1:6">
      <c r="A6487" s="39">
        <f>A6486</f>
        <v>46048</v>
      </c>
      <c r="B6487" s="40"/>
      <c r="C6487" s="40"/>
      <c r="D6487" s="41"/>
      <c r="E6487" s="43">
        <f>C6487</f>
        <v>0</v>
      </c>
      <c r="F6487" s="42"/>
    </row>
    <row r="6488" spans="1:6">
      <c r="A6488" s="39">
        <f>A6487</f>
        <v>46048</v>
      </c>
      <c r="B6488" s="40"/>
      <c r="C6488" s="40"/>
      <c r="D6488" s="41"/>
      <c r="E6488" s="43">
        <f>C6488</f>
        <v>0</v>
      </c>
      <c r="F6488" s="42"/>
    </row>
    <row r="6489" spans="1:6">
      <c r="A6489" s="39">
        <f>A6488</f>
        <v>46048</v>
      </c>
      <c r="B6489" s="40"/>
      <c r="C6489" s="40"/>
      <c r="D6489" s="41"/>
      <c r="E6489" s="43">
        <f>C6489</f>
        <v>0</v>
      </c>
      <c r="F6489" s="42"/>
    </row>
    <row r="6490" spans="1:6">
      <c r="A6490" s="39">
        <f>A6489</f>
        <v>46048</v>
      </c>
      <c r="B6490" s="40"/>
      <c r="C6490" s="40"/>
      <c r="D6490" s="41"/>
      <c r="E6490" s="43">
        <f>C6490</f>
        <v>0</v>
      </c>
      <c r="F6490" s="42"/>
    </row>
    <row r="6491" spans="1:6">
      <c r="A6491" s="39">
        <f>A6490</f>
        <v>46048</v>
      </c>
      <c r="B6491" s="40"/>
      <c r="C6491" s="40"/>
      <c r="D6491" s="41"/>
      <c r="E6491" s="43">
        <f>C6491</f>
        <v>0</v>
      </c>
      <c r="F6491" s="42"/>
    </row>
    <row r="6492" spans="1:6">
      <c r="A6492" s="39">
        <f>A6491</f>
        <v>46048</v>
      </c>
      <c r="B6492" s="40"/>
      <c r="C6492" s="40"/>
      <c r="D6492" s="41"/>
      <c r="E6492" s="43">
        <f>C6492</f>
        <v>0</v>
      </c>
      <c r="F6492" s="42"/>
    </row>
    <row r="6493" spans="1:6">
      <c r="A6493" s="39">
        <f>A6492</f>
        <v>46048</v>
      </c>
      <c r="B6493" s="40"/>
      <c r="C6493" s="40"/>
      <c r="D6493" s="41"/>
      <c r="E6493" s="43">
        <f>C6493</f>
        <v>0</v>
      </c>
      <c r="F6493" s="42"/>
    </row>
    <row r="6494" spans="1:6">
      <c r="A6494" s="39">
        <f>A6493</f>
        <v>46048</v>
      </c>
      <c r="B6494" s="40"/>
      <c r="C6494" s="40"/>
      <c r="D6494" s="41"/>
      <c r="E6494" s="43">
        <f>C6494</f>
        <v>0</v>
      </c>
      <c r="F6494" s="42"/>
    </row>
    <row r="6495" spans="1:6">
      <c r="A6495" s="39">
        <f>A6494</f>
        <v>46048</v>
      </c>
      <c r="B6495" s="40"/>
      <c r="C6495" s="40"/>
      <c r="D6495" s="41"/>
      <c r="E6495" s="43">
        <f>C6495</f>
        <v>0</v>
      </c>
      <c r="F6495" s="42"/>
    </row>
    <row r="6496" spans="1:6">
      <c r="A6496" s="39">
        <f>A6495</f>
        <v>46048</v>
      </c>
      <c r="B6496" s="40"/>
      <c r="C6496" s="40"/>
      <c r="D6496" s="41"/>
      <c r="E6496" s="43">
        <f>C6496</f>
        <v>0</v>
      </c>
      <c r="F6496" s="42"/>
    </row>
    <row r="6497" spans="1:6">
      <c r="A6497" s="39">
        <f>A6496</f>
        <v>46048</v>
      </c>
      <c r="B6497" s="40"/>
      <c r="C6497" s="40"/>
      <c r="D6497" s="41"/>
      <c r="E6497" s="43">
        <f>C6497</f>
        <v>0</v>
      </c>
      <c r="F6497" s="42"/>
    </row>
    <row r="6498" spans="1:6">
      <c r="A6498" s="39">
        <f>A6497</f>
        <v>46048</v>
      </c>
      <c r="B6498" s="40"/>
      <c r="C6498" s="40"/>
      <c r="D6498" s="41"/>
      <c r="E6498" s="43">
        <f>C6498</f>
        <v>0</v>
      </c>
      <c r="F6498" s="42"/>
    </row>
    <row r="6499" spans="1:6">
      <c r="A6499" s="39">
        <f>A6498</f>
        <v>46048</v>
      </c>
      <c r="B6499" s="40"/>
      <c r="C6499" s="40"/>
      <c r="D6499" s="41"/>
      <c r="E6499" s="43">
        <f>C6499</f>
        <v>0</v>
      </c>
      <c r="F6499" s="42"/>
    </row>
    <row r="6500" spans="1:6">
      <c r="A6500" s="39">
        <f>A6499</f>
        <v>46048</v>
      </c>
      <c r="B6500" s="40"/>
      <c r="C6500" s="40"/>
      <c r="D6500" s="41"/>
      <c r="E6500" s="43">
        <f>C6500</f>
        <v>0</v>
      </c>
      <c r="F6500" s="42"/>
    </row>
    <row r="6501" spans="1:6">
      <c r="A6501" s="39">
        <f>A6500</f>
        <v>46048</v>
      </c>
      <c r="B6501" s="40"/>
      <c r="C6501" s="40"/>
      <c r="D6501" s="41"/>
      <c r="E6501" s="43">
        <f>C6501</f>
        <v>0</v>
      </c>
      <c r="F6501" s="42"/>
    </row>
    <row r="6502" spans="1:6">
      <c r="A6502" s="39">
        <f>A6501</f>
        <v>46048</v>
      </c>
      <c r="B6502" s="40"/>
      <c r="C6502" s="40"/>
      <c r="D6502" s="41"/>
      <c r="E6502" s="43">
        <f>C6502</f>
        <v>0</v>
      </c>
      <c r="F6502" s="42"/>
    </row>
    <row r="6503" spans="1:6">
      <c r="A6503" s="39">
        <f>A6502</f>
        <v>46048</v>
      </c>
      <c r="B6503" s="40"/>
      <c r="C6503" s="40"/>
      <c r="D6503" s="41"/>
      <c r="E6503" s="43">
        <f>C6503</f>
        <v>0</v>
      </c>
      <c r="F6503" s="42"/>
    </row>
    <row r="6504" spans="1:6">
      <c r="A6504" s="39">
        <f>A6503</f>
        <v>46048</v>
      </c>
      <c r="B6504" s="40"/>
      <c r="C6504" s="40"/>
      <c r="D6504" s="41"/>
      <c r="E6504" s="43">
        <f>C6504</f>
        <v>0</v>
      </c>
      <c r="F6504" s="42"/>
    </row>
    <row r="6505" spans="1:6">
      <c r="A6505" s="39">
        <f>A6504</f>
        <v>46048</v>
      </c>
      <c r="B6505" s="40"/>
      <c r="C6505" s="40"/>
      <c r="D6505" s="41"/>
      <c r="E6505" s="43">
        <f>C6505</f>
        <v>0</v>
      </c>
      <c r="F6505" s="42"/>
    </row>
    <row r="6506" spans="1:6">
      <c r="A6506" s="39">
        <f>A6505</f>
        <v>46048</v>
      </c>
      <c r="B6506" s="40"/>
      <c r="C6506" s="40"/>
      <c r="D6506" s="41"/>
      <c r="E6506" s="43">
        <f>C6506</f>
        <v>0</v>
      </c>
      <c r="F6506" s="42"/>
    </row>
    <row r="6507" spans="1:6">
      <c r="A6507" s="39">
        <f>A6506</f>
        <v>46048</v>
      </c>
      <c r="B6507" s="40"/>
      <c r="C6507" s="40"/>
      <c r="D6507" s="41"/>
      <c r="E6507" s="43">
        <f>C6507</f>
        <v>0</v>
      </c>
      <c r="F6507" s="42"/>
    </row>
    <row r="6508" spans="1:6">
      <c r="A6508" s="39">
        <f>A6507</f>
        <v>46048</v>
      </c>
      <c r="B6508" s="40"/>
      <c r="C6508" s="40"/>
      <c r="D6508" s="41"/>
      <c r="E6508" s="43">
        <f>C6508</f>
        <v>0</v>
      </c>
      <c r="F6508" s="42"/>
    </row>
    <row r="6509" spans="1:6">
      <c r="A6509" s="39">
        <f>A6508</f>
        <v>46048</v>
      </c>
      <c r="B6509" s="40"/>
      <c r="C6509" s="40"/>
      <c r="D6509" s="41"/>
      <c r="E6509" s="43">
        <f>C6509</f>
        <v>0</v>
      </c>
      <c r="F6509" s="42"/>
    </row>
    <row r="6510" spans="1:6">
      <c r="A6510" s="39">
        <f>A6509</f>
        <v>46048</v>
      </c>
      <c r="B6510" s="40"/>
      <c r="C6510" s="40"/>
      <c r="D6510" s="41"/>
      <c r="E6510" s="43">
        <f>C6510</f>
        <v>0</v>
      </c>
      <c r="F6510" s="42"/>
    </row>
    <row r="6511" spans="1:6">
      <c r="A6511" s="39">
        <f>A6510</f>
        <v>46048</v>
      </c>
      <c r="B6511" s="40"/>
      <c r="C6511" s="40"/>
      <c r="D6511" s="41"/>
      <c r="E6511" s="43">
        <f>C6511</f>
        <v>0</v>
      </c>
      <c r="F6511" s="42"/>
    </row>
    <row r="6512" spans="1:6">
      <c r="A6512" s="39">
        <f>A6511</f>
        <v>46048</v>
      </c>
      <c r="B6512" s="40"/>
      <c r="C6512" s="40"/>
      <c r="D6512" s="41"/>
      <c r="E6512" s="43">
        <f>C6512</f>
        <v>0</v>
      </c>
      <c r="F6512" s="42"/>
    </row>
    <row r="6513" spans="1:6">
      <c r="A6513" s="39">
        <f>A6512</f>
        <v>46048</v>
      </c>
      <c r="B6513" s="40"/>
      <c r="C6513" s="40"/>
      <c r="D6513" s="41"/>
      <c r="E6513" s="43">
        <f>C6513</f>
        <v>0</v>
      </c>
      <c r="F6513" s="42"/>
    </row>
    <row r="6514" spans="1:6">
      <c r="A6514" s="39">
        <f>A6513</f>
        <v>46048</v>
      </c>
      <c r="B6514" s="40"/>
      <c r="C6514" s="40"/>
      <c r="D6514" s="41"/>
      <c r="E6514" s="43">
        <f>C6514</f>
        <v>0</v>
      </c>
      <c r="F6514" s="42"/>
    </row>
    <row r="6515" spans="1:6">
      <c r="A6515" s="39">
        <f>A6514</f>
        <v>46048</v>
      </c>
      <c r="B6515" s="40"/>
      <c r="C6515" s="40"/>
      <c r="D6515" s="41"/>
      <c r="E6515" s="43">
        <f>C6515</f>
        <v>0</v>
      </c>
      <c r="F6515" s="42"/>
    </row>
    <row r="6516" spans="1:6">
      <c r="A6516" s="39">
        <f>A6515</f>
        <v>46048</v>
      </c>
      <c r="B6516" s="40"/>
      <c r="C6516" s="40"/>
      <c r="D6516" s="41"/>
      <c r="E6516" s="43">
        <f>C6516</f>
        <v>0</v>
      </c>
      <c r="F6516" s="42"/>
    </row>
    <row r="6517" spans="1:6">
      <c r="A6517" s="39">
        <f>A6516</f>
        <v>46048</v>
      </c>
      <c r="B6517" s="40"/>
      <c r="C6517" s="40"/>
      <c r="D6517" s="41"/>
      <c r="E6517" s="43">
        <f>C6517</f>
        <v>0</v>
      </c>
      <c r="F6517" s="42"/>
    </row>
    <row r="6518" spans="1:6">
      <c r="A6518" s="39">
        <f>A6517</f>
        <v>46048</v>
      </c>
      <c r="B6518" s="40"/>
      <c r="C6518" s="40"/>
      <c r="D6518" s="41"/>
      <c r="E6518" s="43">
        <f>C6518</f>
        <v>0</v>
      </c>
      <c r="F6518" s="42"/>
    </row>
    <row r="6519" spans="1:6">
      <c r="A6519" s="39">
        <f>A6518</f>
        <v>46048</v>
      </c>
      <c r="B6519" s="40"/>
      <c r="C6519" s="40"/>
      <c r="D6519" s="41"/>
      <c r="E6519" s="43">
        <f>C6519</f>
        <v>0</v>
      </c>
      <c r="F6519" s="42"/>
    </row>
    <row r="6520" spans="1:6">
      <c r="A6520" s="39">
        <f>A6519</f>
        <v>46048</v>
      </c>
      <c r="B6520" s="40"/>
      <c r="C6520" s="40"/>
      <c r="D6520" s="41"/>
      <c r="E6520" s="43">
        <f>C6520</f>
        <v>0</v>
      </c>
      <c r="F6520" s="42"/>
    </row>
    <row r="6521" spans="1:6">
      <c r="A6521" s="39">
        <f>A6520</f>
        <v>46048</v>
      </c>
      <c r="B6521" s="40"/>
      <c r="C6521" s="40"/>
      <c r="D6521" s="41"/>
      <c r="E6521" s="43">
        <f>C6521</f>
        <v>0</v>
      </c>
      <c r="F6521" s="42"/>
    </row>
    <row r="6522" spans="1:6">
      <c r="A6522" s="39">
        <f>A6521</f>
        <v>46048</v>
      </c>
      <c r="B6522" s="40"/>
      <c r="C6522" s="40"/>
      <c r="D6522" s="41"/>
      <c r="E6522" s="43">
        <f>C6522</f>
        <v>0</v>
      </c>
      <c r="F6522" s="42"/>
    </row>
    <row r="6523" spans="1:6">
      <c r="A6523" s="39">
        <f>A6522</f>
        <v>46048</v>
      </c>
      <c r="B6523" s="40"/>
      <c r="C6523" s="40"/>
      <c r="D6523" s="41"/>
      <c r="E6523" s="43">
        <f>C6523</f>
        <v>0</v>
      </c>
      <c r="F6523" s="42"/>
    </row>
    <row r="6524" spans="1:6">
      <c r="A6524" s="39">
        <f>A6523</f>
        <v>46048</v>
      </c>
      <c r="B6524" s="40"/>
      <c r="C6524" s="40"/>
      <c r="D6524" s="41"/>
      <c r="E6524" s="43">
        <f>C6524</f>
        <v>0</v>
      </c>
      <c r="F6524" s="42"/>
    </row>
    <row r="6525" spans="1:6">
      <c r="A6525" s="39">
        <f>A6524</f>
        <v>46048</v>
      </c>
      <c r="B6525" s="40"/>
      <c r="C6525" s="40"/>
      <c r="D6525" s="41"/>
      <c r="E6525" s="43">
        <f>C6525</f>
        <v>0</v>
      </c>
      <c r="F6525" s="42"/>
    </row>
    <row r="6526" spans="1:6">
      <c r="A6526" s="39">
        <f>A6525</f>
        <v>46048</v>
      </c>
      <c r="B6526" s="40"/>
      <c r="C6526" s="40"/>
      <c r="D6526" s="41"/>
      <c r="E6526" s="43">
        <f>C6526</f>
        <v>0</v>
      </c>
      <c r="F6526" s="42"/>
    </row>
    <row r="6527" spans="1:6">
      <c r="A6527" s="39">
        <f>A6526</f>
        <v>46048</v>
      </c>
      <c r="B6527" s="40"/>
      <c r="C6527" s="40"/>
      <c r="D6527" s="41"/>
      <c r="E6527" s="43">
        <f>C6527</f>
        <v>0</v>
      </c>
      <c r="F6527" s="42"/>
    </row>
    <row r="6528" spans="1:6">
      <c r="A6528" s="39">
        <f>A6527</f>
        <v>46048</v>
      </c>
      <c r="B6528" s="40"/>
      <c r="C6528" s="40"/>
      <c r="D6528" s="41"/>
      <c r="E6528" s="43">
        <f>C6528</f>
        <v>0</v>
      </c>
      <c r="F6528" s="42"/>
    </row>
    <row r="6529" spans="1:6">
      <c r="A6529" s="39">
        <f>A6528</f>
        <v>46048</v>
      </c>
      <c r="B6529" s="40"/>
      <c r="C6529" s="40"/>
      <c r="D6529" s="41"/>
      <c r="E6529" s="43">
        <f>C6529</f>
        <v>0</v>
      </c>
      <c r="F6529" s="42"/>
    </row>
    <row r="6530" spans="1:6">
      <c r="A6530" s="39">
        <f>A6529</f>
        <v>46048</v>
      </c>
      <c r="B6530" s="40"/>
      <c r="C6530" s="40"/>
      <c r="D6530" s="41"/>
      <c r="E6530" s="43">
        <f>C6530</f>
        <v>0</v>
      </c>
      <c r="F6530" s="42"/>
    </row>
    <row r="6531" spans="1:6">
      <c r="A6531" s="39">
        <f>A6530</f>
        <v>46048</v>
      </c>
      <c r="B6531" s="40"/>
      <c r="C6531" s="40"/>
      <c r="D6531" s="41"/>
      <c r="E6531" s="43">
        <f>C6531</f>
        <v>0</v>
      </c>
      <c r="F6531" s="42"/>
    </row>
    <row r="6532" spans="1:6">
      <c r="A6532" s="39">
        <f>A6531</f>
        <v>46048</v>
      </c>
      <c r="B6532" s="40"/>
      <c r="C6532" s="40"/>
      <c r="D6532" s="41"/>
      <c r="E6532" s="43">
        <f>C6532</f>
        <v>0</v>
      </c>
      <c r="F6532" s="42"/>
    </row>
    <row r="6533" spans="1:6">
      <c r="A6533" s="39">
        <f>A6532</f>
        <v>46048</v>
      </c>
      <c r="B6533" s="40"/>
      <c r="C6533" s="40"/>
      <c r="D6533" s="41"/>
      <c r="E6533" s="43">
        <f>C6533</f>
        <v>0</v>
      </c>
      <c r="F6533" s="42"/>
    </row>
    <row r="6534" spans="1:6">
      <c r="A6534" s="39">
        <f>A6533</f>
        <v>46048</v>
      </c>
      <c r="B6534" s="40"/>
      <c r="C6534" s="40"/>
      <c r="D6534" s="41"/>
      <c r="E6534" s="43">
        <f>C6534</f>
        <v>0</v>
      </c>
      <c r="F6534" s="42"/>
    </row>
    <row r="6535" spans="1:6">
      <c r="A6535" s="39">
        <f>A6534</f>
        <v>46048</v>
      </c>
      <c r="B6535" s="40"/>
      <c r="C6535" s="40"/>
      <c r="D6535" s="41"/>
      <c r="E6535" s="43">
        <f>C6535</f>
        <v>0</v>
      </c>
      <c r="F6535" s="42"/>
    </row>
    <row r="6536" spans="1:6">
      <c r="A6536" s="39">
        <f>A6535</f>
        <v>46048</v>
      </c>
      <c r="B6536" s="40"/>
      <c r="C6536" s="40"/>
      <c r="D6536" s="41"/>
      <c r="E6536" s="43">
        <f>C6536</f>
        <v>0</v>
      </c>
      <c r="F6536" s="42"/>
    </row>
    <row r="6537" spans="1:6">
      <c r="A6537" s="39">
        <f>A6536</f>
        <v>46048</v>
      </c>
      <c r="B6537" s="40"/>
      <c r="C6537" s="40"/>
      <c r="D6537" s="41"/>
      <c r="E6537" s="43">
        <f>C6537</f>
        <v>0</v>
      </c>
      <c r="F6537" s="42"/>
    </row>
    <row r="6538" spans="1:6">
      <c r="A6538" s="39">
        <f>A6537</f>
        <v>46048</v>
      </c>
      <c r="B6538" s="40"/>
      <c r="C6538" s="40"/>
      <c r="D6538" s="41"/>
      <c r="E6538" s="43">
        <f>C6538</f>
        <v>0</v>
      </c>
      <c r="F6538" s="42"/>
    </row>
    <row r="6539" spans="1:6">
      <c r="A6539" s="39">
        <f>A6538</f>
        <v>46048</v>
      </c>
      <c r="B6539" s="40"/>
      <c r="C6539" s="40"/>
      <c r="D6539" s="41"/>
      <c r="E6539" s="43">
        <f>C6539</f>
        <v>0</v>
      </c>
      <c r="F6539" s="42"/>
    </row>
    <row r="6540" spans="1:6">
      <c r="A6540" s="39">
        <f>A6539</f>
        <v>46048</v>
      </c>
      <c r="B6540" s="40"/>
      <c r="C6540" s="40"/>
      <c r="D6540" s="41"/>
      <c r="E6540" s="43">
        <f>C6540</f>
        <v>0</v>
      </c>
      <c r="F6540" s="42"/>
    </row>
    <row r="6541" spans="1:6">
      <c r="A6541" s="39">
        <f>A6540</f>
        <v>46048</v>
      </c>
      <c r="B6541" s="40"/>
      <c r="C6541" s="40"/>
      <c r="D6541" s="41"/>
      <c r="E6541" s="43">
        <f>C6541</f>
        <v>0</v>
      </c>
      <c r="F6541" s="42"/>
    </row>
    <row r="6542" spans="1:6">
      <c r="A6542" s="39">
        <f>A6541</f>
        <v>46048</v>
      </c>
      <c r="B6542" s="40"/>
      <c r="C6542" s="40"/>
      <c r="D6542" s="41"/>
      <c r="E6542" s="43">
        <f>C6542</f>
        <v>0</v>
      </c>
      <c r="F6542" s="42"/>
    </row>
    <row r="6543" spans="1:6">
      <c r="A6543" s="39">
        <f>A6542</f>
        <v>46048</v>
      </c>
      <c r="B6543" s="40"/>
      <c r="C6543" s="40"/>
      <c r="D6543" s="41"/>
      <c r="E6543" s="43">
        <f>C6543</f>
        <v>0</v>
      </c>
      <c r="F6543" s="42"/>
    </row>
    <row r="6544" spans="1:6">
      <c r="A6544" s="39">
        <f>A6543</f>
        <v>46048</v>
      </c>
      <c r="B6544" s="40"/>
      <c r="C6544" s="40"/>
      <c r="D6544" s="41"/>
      <c r="E6544" s="43">
        <f>C6544</f>
        <v>0</v>
      </c>
      <c r="F6544" s="42"/>
    </row>
    <row r="6545" spans="1:6">
      <c r="A6545" s="39">
        <f>A6544</f>
        <v>46048</v>
      </c>
      <c r="B6545" s="40"/>
      <c r="C6545" s="40"/>
      <c r="D6545" s="41"/>
      <c r="E6545" s="43">
        <f>C6545</f>
        <v>0</v>
      </c>
      <c r="F6545" s="42"/>
    </row>
    <row r="6546" spans="1:6">
      <c r="A6546" s="39">
        <f>A6545</f>
        <v>46048</v>
      </c>
      <c r="B6546" s="40"/>
      <c r="C6546" s="40"/>
      <c r="D6546" s="41"/>
      <c r="E6546" s="43">
        <f>C6546</f>
        <v>0</v>
      </c>
      <c r="F6546" s="42"/>
    </row>
    <row r="6547" spans="1:6">
      <c r="A6547" s="39">
        <f>A6546</f>
        <v>46048</v>
      </c>
      <c r="B6547" s="40"/>
      <c r="C6547" s="40"/>
      <c r="D6547" s="41"/>
      <c r="E6547" s="43">
        <f>C6547</f>
        <v>0</v>
      </c>
      <c r="F6547" s="42"/>
    </row>
    <row r="6548" spans="1:6">
      <c r="A6548" s="39">
        <f>A6547</f>
        <v>46048</v>
      </c>
      <c r="B6548" s="40"/>
      <c r="C6548" s="40"/>
      <c r="D6548" s="41"/>
      <c r="E6548" s="43">
        <f>C6548</f>
        <v>0</v>
      </c>
      <c r="F6548" s="42"/>
    </row>
    <row r="6549" spans="1:6">
      <c r="A6549" s="39">
        <f>A6548</f>
        <v>46048</v>
      </c>
      <c r="B6549" s="40"/>
      <c r="C6549" s="40"/>
      <c r="D6549" s="41"/>
      <c r="E6549" s="43">
        <f>C6549</f>
        <v>0</v>
      </c>
      <c r="F6549" s="42"/>
    </row>
    <row r="6550" spans="1:6">
      <c r="A6550" s="39">
        <f>A6549</f>
        <v>46048</v>
      </c>
      <c r="B6550" s="40"/>
      <c r="C6550" s="40"/>
      <c r="D6550" s="41"/>
      <c r="E6550" s="43">
        <f>C6550</f>
        <v>0</v>
      </c>
      <c r="F6550" s="42"/>
    </row>
    <row r="6551" spans="1:6">
      <c r="A6551" s="39">
        <f>A6550</f>
        <v>46048</v>
      </c>
      <c r="B6551" s="40"/>
      <c r="C6551" s="40"/>
      <c r="D6551" s="41"/>
      <c r="E6551" s="43">
        <f>C6551</f>
        <v>0</v>
      </c>
      <c r="F6551" s="42"/>
    </row>
    <row r="6552" spans="1:6">
      <c r="A6552" s="39">
        <f>A6551</f>
        <v>46048</v>
      </c>
      <c r="B6552" s="40"/>
      <c r="C6552" s="40"/>
      <c r="D6552" s="41"/>
      <c r="E6552" s="43">
        <f>C6552</f>
        <v>0</v>
      </c>
      <c r="F6552" s="42"/>
    </row>
    <row r="6553" spans="1:6">
      <c r="A6553" s="39">
        <f>A6552</f>
        <v>46048</v>
      </c>
      <c r="B6553" s="40"/>
      <c r="C6553" s="40"/>
      <c r="D6553" s="41"/>
      <c r="E6553" s="43">
        <f>C6553</f>
        <v>0</v>
      </c>
      <c r="F6553" s="42"/>
    </row>
    <row r="6554" spans="1:6">
      <c r="A6554" s="39">
        <f>A6553</f>
        <v>46048</v>
      </c>
      <c r="B6554" s="40"/>
      <c r="C6554" s="40"/>
      <c r="D6554" s="41"/>
      <c r="E6554" s="43">
        <f>C6554</f>
        <v>0</v>
      </c>
      <c r="F6554" s="42"/>
    </row>
    <row r="6555" spans="1:6">
      <c r="A6555" s="39">
        <f>A6554</f>
        <v>46048</v>
      </c>
      <c r="B6555" s="40"/>
      <c r="C6555" s="40"/>
      <c r="D6555" s="41"/>
      <c r="E6555" s="43">
        <f>C6555</f>
        <v>0</v>
      </c>
      <c r="F6555" s="42"/>
    </row>
    <row r="6556" spans="1:6">
      <c r="A6556" s="39">
        <f>A6555</f>
        <v>46048</v>
      </c>
      <c r="B6556" s="40"/>
      <c r="C6556" s="40"/>
      <c r="D6556" s="41"/>
      <c r="E6556" s="43">
        <f>C6556</f>
        <v>0</v>
      </c>
      <c r="F6556" s="42"/>
    </row>
    <row r="6557" spans="1:6">
      <c r="A6557" s="39">
        <f>A6556</f>
        <v>46048</v>
      </c>
      <c r="B6557" s="40"/>
      <c r="C6557" s="40"/>
      <c r="D6557" s="41"/>
      <c r="E6557" s="43">
        <f>C6557</f>
        <v>0</v>
      </c>
      <c r="F6557" s="42"/>
    </row>
    <row r="6558" spans="1:6">
      <c r="A6558" s="39">
        <f>A6557</f>
        <v>46048</v>
      </c>
      <c r="B6558" s="40"/>
      <c r="C6558" s="40"/>
      <c r="D6558" s="41"/>
      <c r="E6558" s="43">
        <f>C6558</f>
        <v>0</v>
      </c>
      <c r="F6558" s="42"/>
    </row>
    <row r="6559" spans="1:6">
      <c r="A6559" s="39">
        <f>A6558</f>
        <v>46048</v>
      </c>
      <c r="B6559" s="40"/>
      <c r="C6559" s="40"/>
      <c r="D6559" s="41"/>
      <c r="E6559" s="43">
        <f>C6559</f>
        <v>0</v>
      </c>
      <c r="F6559" s="42"/>
    </row>
    <row r="6560" spans="1:6">
      <c r="A6560" s="39">
        <f>A6559</f>
        <v>46048</v>
      </c>
      <c r="B6560" s="40"/>
      <c r="C6560" s="40"/>
      <c r="D6560" s="41"/>
      <c r="E6560" s="43">
        <f>C6560</f>
        <v>0</v>
      </c>
      <c r="F6560" s="42"/>
    </row>
    <row r="6561" spans="1:6">
      <c r="A6561" s="39">
        <f>A6560</f>
        <v>46048</v>
      </c>
      <c r="B6561" s="40"/>
      <c r="C6561" s="40"/>
      <c r="D6561" s="41"/>
      <c r="E6561" s="43">
        <f>C6561</f>
        <v>0</v>
      </c>
      <c r="F6561" s="42"/>
    </row>
    <row r="6562" spans="1:6">
      <c r="A6562" s="39">
        <f>A6561</f>
        <v>46048</v>
      </c>
      <c r="B6562" s="40"/>
      <c r="C6562" s="40"/>
      <c r="D6562" s="41"/>
      <c r="E6562" s="43">
        <f>C6562</f>
        <v>0</v>
      </c>
      <c r="F6562" s="42"/>
    </row>
    <row r="6563" spans="1:6">
      <c r="A6563" s="39">
        <f>A6562</f>
        <v>46048</v>
      </c>
      <c r="B6563" s="40"/>
      <c r="C6563" s="40"/>
      <c r="D6563" s="41"/>
      <c r="E6563" s="43">
        <f>C6563</f>
        <v>0</v>
      </c>
      <c r="F6563" s="42"/>
    </row>
    <row r="6564" spans="1:6">
      <c r="A6564" s="39">
        <f>A6563</f>
        <v>46048</v>
      </c>
      <c r="B6564" s="40"/>
      <c r="C6564" s="40"/>
      <c r="D6564" s="41"/>
      <c r="E6564" s="43">
        <f>C6564</f>
        <v>0</v>
      </c>
      <c r="F6564" s="42"/>
    </row>
    <row r="6565" spans="1:6">
      <c r="A6565" s="39">
        <f>A6564</f>
        <v>46048</v>
      </c>
      <c r="B6565" s="40"/>
      <c r="C6565" s="40"/>
      <c r="D6565" s="41"/>
      <c r="E6565" s="43">
        <f>C6565</f>
        <v>0</v>
      </c>
      <c r="F6565" s="42"/>
    </row>
    <row r="6566" spans="1:6">
      <c r="A6566" s="39">
        <f>A6565</f>
        <v>46048</v>
      </c>
      <c r="B6566" s="40"/>
      <c r="C6566" s="40"/>
      <c r="D6566" s="41"/>
      <c r="E6566" s="43">
        <f>C6566</f>
        <v>0</v>
      </c>
      <c r="F6566" s="42"/>
    </row>
    <row r="6567" spans="1:6">
      <c r="A6567" s="39">
        <f>A6566</f>
        <v>46048</v>
      </c>
      <c r="B6567" s="40"/>
      <c r="C6567" s="40"/>
      <c r="D6567" s="41"/>
      <c r="E6567" s="43">
        <f>C6567</f>
        <v>0</v>
      </c>
      <c r="F6567" s="42"/>
    </row>
    <row r="6568" spans="1:6">
      <c r="A6568" s="39">
        <f>A6567</f>
        <v>46048</v>
      </c>
      <c r="B6568" s="40"/>
      <c r="C6568" s="40"/>
      <c r="D6568" s="41"/>
      <c r="E6568" s="43">
        <f>C6568</f>
        <v>0</v>
      </c>
      <c r="F6568" s="42"/>
    </row>
    <row r="6569" spans="1:6">
      <c r="A6569" s="39">
        <f>A6568</f>
        <v>46048</v>
      </c>
      <c r="B6569" s="40"/>
      <c r="C6569" s="40"/>
      <c r="D6569" s="41"/>
      <c r="E6569" s="43">
        <f>C6569</f>
        <v>0</v>
      </c>
      <c r="F6569" s="42"/>
    </row>
    <row r="6570" spans="1:6">
      <c r="A6570" s="39">
        <f>A6569</f>
        <v>46048</v>
      </c>
      <c r="B6570" s="40"/>
      <c r="C6570" s="40"/>
      <c r="D6570" s="41"/>
      <c r="E6570" s="43">
        <f>C6570</f>
        <v>0</v>
      </c>
      <c r="F6570" s="42"/>
    </row>
    <row r="6571" spans="1:6">
      <c r="A6571" s="39">
        <f>A6570</f>
        <v>46048</v>
      </c>
      <c r="B6571" s="40"/>
      <c r="C6571" s="40"/>
      <c r="D6571" s="41"/>
      <c r="E6571" s="43">
        <f>C6571</f>
        <v>0</v>
      </c>
      <c r="F6571" s="42"/>
    </row>
    <row r="6572" spans="1:6">
      <c r="A6572" s="39">
        <f>A6571</f>
        <v>46048</v>
      </c>
      <c r="B6572" s="40"/>
      <c r="C6572" s="40"/>
      <c r="D6572" s="41"/>
      <c r="E6572" s="43">
        <f>C6572</f>
        <v>0</v>
      </c>
      <c r="F6572" s="42"/>
    </row>
    <row r="6573" spans="1:6">
      <c r="A6573" s="39">
        <f>A6572</f>
        <v>46048</v>
      </c>
      <c r="B6573" s="40"/>
      <c r="C6573" s="40"/>
      <c r="D6573" s="41"/>
      <c r="E6573" s="43">
        <f>C6573</f>
        <v>0</v>
      </c>
      <c r="F6573" s="42"/>
    </row>
    <row r="6574" spans="1:6">
      <c r="A6574" s="39">
        <f>A6573</f>
        <v>46048</v>
      </c>
      <c r="B6574" s="40"/>
      <c r="C6574" s="40"/>
      <c r="D6574" s="41"/>
      <c r="E6574" s="43">
        <f>C6574</f>
        <v>0</v>
      </c>
      <c r="F6574" s="42"/>
    </row>
    <row r="6575" spans="1:6">
      <c r="A6575" s="39">
        <f>A6574</f>
        <v>46048</v>
      </c>
      <c r="B6575" s="40"/>
      <c r="C6575" s="40"/>
      <c r="D6575" s="41"/>
      <c r="E6575" s="43">
        <f>C6575</f>
        <v>0</v>
      </c>
      <c r="F6575" s="42"/>
    </row>
    <row r="6576" spans="1:6">
      <c r="A6576" s="39">
        <f>A6575</f>
        <v>46048</v>
      </c>
      <c r="B6576" s="40"/>
      <c r="C6576" s="40"/>
      <c r="D6576" s="41"/>
      <c r="E6576" s="43">
        <f>C6576</f>
        <v>0</v>
      </c>
      <c r="F6576" s="42"/>
    </row>
    <row r="6577" spans="1:6">
      <c r="A6577" s="39">
        <f>A6576</f>
        <v>46048</v>
      </c>
      <c r="B6577" s="40"/>
      <c r="C6577" s="40"/>
      <c r="D6577" s="41"/>
      <c r="E6577" s="43">
        <f>C6577</f>
        <v>0</v>
      </c>
      <c r="F6577" s="42"/>
    </row>
    <row r="6578" spans="1:6">
      <c r="A6578" s="39">
        <f>A6577</f>
        <v>46048</v>
      </c>
      <c r="B6578" s="40"/>
      <c r="C6578" s="40"/>
      <c r="D6578" s="41"/>
      <c r="E6578" s="43">
        <f>C6578</f>
        <v>0</v>
      </c>
      <c r="F6578" s="42"/>
    </row>
    <row r="6579" spans="1:6">
      <c r="A6579" s="39">
        <f>A6578</f>
        <v>46048</v>
      </c>
      <c r="B6579" s="40"/>
      <c r="C6579" s="40"/>
      <c r="D6579" s="41"/>
      <c r="E6579" s="43">
        <f>C6579</f>
        <v>0</v>
      </c>
      <c r="F6579" s="42"/>
    </row>
    <row r="6580" spans="1:6">
      <c r="A6580" s="39">
        <f>A6579</f>
        <v>46048</v>
      </c>
      <c r="B6580" s="40"/>
      <c r="C6580" s="40"/>
      <c r="D6580" s="41"/>
      <c r="E6580" s="43">
        <f>C6580</f>
        <v>0</v>
      </c>
      <c r="F6580" s="42"/>
    </row>
    <row r="6581" spans="1:6">
      <c r="A6581" s="39">
        <f>A6580</f>
        <v>46048</v>
      </c>
      <c r="B6581" s="40"/>
      <c r="C6581" s="40"/>
      <c r="D6581" s="41"/>
      <c r="E6581" s="43">
        <f>C6581</f>
        <v>0</v>
      </c>
      <c r="F6581" s="42"/>
    </row>
    <row r="6582" spans="1:6">
      <c r="A6582" s="39">
        <f>A6581</f>
        <v>46048</v>
      </c>
      <c r="B6582" s="40"/>
      <c r="C6582" s="40"/>
      <c r="D6582" s="41"/>
      <c r="E6582" s="43">
        <f>C6582</f>
        <v>0</v>
      </c>
      <c r="F6582" s="42"/>
    </row>
    <row r="6583" spans="1:6">
      <c r="A6583" s="39">
        <f>A6582</f>
        <v>46048</v>
      </c>
      <c r="B6583" s="40"/>
      <c r="C6583" s="40"/>
      <c r="D6583" s="41"/>
      <c r="E6583" s="43">
        <f>C6583</f>
        <v>0</v>
      </c>
      <c r="F6583" s="42"/>
    </row>
    <row r="6584" spans="1:6">
      <c r="A6584" s="39">
        <f>A6583</f>
        <v>46048</v>
      </c>
      <c r="B6584" s="40"/>
      <c r="C6584" s="40"/>
      <c r="D6584" s="41"/>
      <c r="E6584" s="43">
        <f>C6584</f>
        <v>0</v>
      </c>
      <c r="F6584" s="42"/>
    </row>
    <row r="6585" spans="1:6">
      <c r="A6585" s="39">
        <f>A6584</f>
        <v>46048</v>
      </c>
      <c r="B6585" s="40"/>
      <c r="C6585" s="40"/>
      <c r="D6585" s="41"/>
      <c r="E6585" s="43">
        <f>C6585</f>
        <v>0</v>
      </c>
      <c r="F6585" s="42"/>
    </row>
    <row r="6586" spans="1:6">
      <c r="A6586" s="39">
        <f>A6585</f>
        <v>46048</v>
      </c>
      <c r="B6586" s="40"/>
      <c r="C6586" s="40"/>
      <c r="D6586" s="41"/>
      <c r="E6586" s="43">
        <f>C6586</f>
        <v>0</v>
      </c>
      <c r="F6586" s="42"/>
    </row>
    <row r="6587" spans="1:6">
      <c r="A6587" s="39">
        <f>A6586</f>
        <v>46048</v>
      </c>
      <c r="B6587" s="40"/>
      <c r="C6587" s="40"/>
      <c r="D6587" s="41"/>
      <c r="E6587" s="43">
        <f>C6587</f>
        <v>0</v>
      </c>
      <c r="F6587" s="42"/>
    </row>
    <row r="6588" spans="1:6">
      <c r="A6588" s="39">
        <f>A6587</f>
        <v>46048</v>
      </c>
      <c r="B6588" s="40"/>
      <c r="C6588" s="40"/>
      <c r="D6588" s="41"/>
      <c r="E6588" s="43">
        <f>C6588</f>
        <v>0</v>
      </c>
      <c r="F6588" s="42"/>
    </row>
    <row r="6589" spans="1:6">
      <c r="A6589" s="39">
        <f>A6588</f>
        <v>46048</v>
      </c>
      <c r="B6589" s="40"/>
      <c r="C6589" s="40"/>
      <c r="D6589" s="41"/>
      <c r="E6589" s="43">
        <f>C6589</f>
        <v>0</v>
      </c>
      <c r="F6589" s="42"/>
    </row>
    <row r="6590" spans="1:6">
      <c r="A6590" s="39">
        <f>A6589</f>
        <v>46048</v>
      </c>
      <c r="B6590" s="40"/>
      <c r="C6590" s="40"/>
      <c r="D6590" s="41"/>
      <c r="E6590" s="43">
        <f>C6590</f>
        <v>0</v>
      </c>
      <c r="F6590" s="42"/>
    </row>
    <row r="6591" spans="1:6">
      <c r="A6591" s="39">
        <f>A6590</f>
        <v>46048</v>
      </c>
      <c r="B6591" s="40"/>
      <c r="C6591" s="40"/>
      <c r="D6591" s="41"/>
      <c r="E6591" s="43">
        <f>C6591</f>
        <v>0</v>
      </c>
      <c r="F6591" s="42"/>
    </row>
    <row r="6592" spans="1:6">
      <c r="A6592" s="39">
        <f>A6591</f>
        <v>46048</v>
      </c>
      <c r="B6592" s="40"/>
      <c r="C6592" s="40"/>
      <c r="D6592" s="41"/>
      <c r="E6592" s="43">
        <f>C6592</f>
        <v>0</v>
      </c>
      <c r="F6592" s="42"/>
    </row>
    <row r="6593" spans="1:6">
      <c r="A6593" s="39">
        <f>A6592</f>
        <v>46048</v>
      </c>
      <c r="B6593" s="40"/>
      <c r="C6593" s="40"/>
      <c r="D6593" s="41"/>
      <c r="E6593" s="43">
        <f>C6593</f>
        <v>0</v>
      </c>
      <c r="F6593" s="42"/>
    </row>
    <row r="6594" spans="1:6">
      <c r="A6594" s="39">
        <f>A6593</f>
        <v>46048</v>
      </c>
      <c r="B6594" s="40"/>
      <c r="C6594" s="40"/>
      <c r="D6594" s="41"/>
      <c r="E6594" s="43">
        <f>C6594</f>
        <v>0</v>
      </c>
      <c r="F6594" s="42"/>
    </row>
    <row r="6595" spans="1:6">
      <c r="A6595" s="39">
        <f>A6594</f>
        <v>46048</v>
      </c>
      <c r="B6595" s="40"/>
      <c r="C6595" s="40"/>
      <c r="D6595" s="41"/>
      <c r="E6595" s="43">
        <f>C6595</f>
        <v>0</v>
      </c>
      <c r="F6595" s="42"/>
    </row>
    <row r="6596" spans="1:6">
      <c r="A6596" s="39">
        <f>A6595</f>
        <v>46048</v>
      </c>
      <c r="B6596" s="40"/>
      <c r="C6596" s="40"/>
      <c r="D6596" s="41"/>
      <c r="E6596" s="43">
        <f>C6596</f>
        <v>0</v>
      </c>
      <c r="F6596" s="42"/>
    </row>
    <row r="6597" spans="1:6">
      <c r="A6597" s="39">
        <f>A6596</f>
        <v>46048</v>
      </c>
      <c r="B6597" s="40"/>
      <c r="C6597" s="40"/>
      <c r="D6597" s="41"/>
      <c r="E6597" s="43">
        <f>C6597</f>
        <v>0</v>
      </c>
      <c r="F6597" s="42"/>
    </row>
    <row r="6598" spans="1:6">
      <c r="A6598" s="39">
        <f>A6597</f>
        <v>46048</v>
      </c>
      <c r="B6598" s="40"/>
      <c r="C6598" s="40"/>
      <c r="D6598" s="41"/>
      <c r="E6598" s="43">
        <f>C6598</f>
        <v>0</v>
      </c>
      <c r="F6598" s="42"/>
    </row>
    <row r="6599" spans="1:6">
      <c r="A6599" s="39">
        <f>A6598</f>
        <v>46048</v>
      </c>
      <c r="B6599" s="40"/>
      <c r="C6599" s="40"/>
      <c r="D6599" s="41"/>
      <c r="E6599" s="43">
        <f>C6599</f>
        <v>0</v>
      </c>
      <c r="F6599" s="42"/>
    </row>
    <row r="6600" spans="1:6">
      <c r="A6600" s="39">
        <f>A6599</f>
        <v>46048</v>
      </c>
      <c r="B6600" s="40"/>
      <c r="C6600" s="40"/>
      <c r="D6600" s="41"/>
      <c r="E6600" s="43">
        <f>C6600</f>
        <v>0</v>
      </c>
      <c r="F6600" s="42"/>
    </row>
    <row r="6601" spans="1:6">
      <c r="A6601" s="39">
        <f>A6600</f>
        <v>46048</v>
      </c>
      <c r="B6601" s="40"/>
      <c r="C6601" s="40"/>
      <c r="D6601" s="41"/>
      <c r="E6601" s="43">
        <f>C6601</f>
        <v>0</v>
      </c>
      <c r="F6601" s="42"/>
    </row>
    <row r="6602" spans="1:6">
      <c r="A6602" s="39">
        <f>A6601</f>
        <v>46048</v>
      </c>
      <c r="B6602" s="40"/>
      <c r="C6602" s="40"/>
      <c r="D6602" s="41"/>
      <c r="E6602" s="43">
        <f>C6602</f>
        <v>0</v>
      </c>
      <c r="F6602" s="42"/>
    </row>
    <row r="6603" spans="1:6">
      <c r="A6603" s="39">
        <f>A6602</f>
        <v>46048</v>
      </c>
      <c r="B6603" s="40"/>
      <c r="C6603" s="40"/>
      <c r="D6603" s="41"/>
      <c r="E6603" s="43">
        <f>C6603</f>
        <v>0</v>
      </c>
      <c r="F6603" s="42"/>
    </row>
    <row r="6604" spans="1:6">
      <c r="A6604" s="39">
        <f>A6603</f>
        <v>46048</v>
      </c>
      <c r="B6604" s="40"/>
      <c r="C6604" s="40"/>
      <c r="D6604" s="41"/>
      <c r="E6604" s="43">
        <f>C6604</f>
        <v>0</v>
      </c>
      <c r="F6604" s="42"/>
    </row>
    <row r="6605" spans="1:6">
      <c r="A6605" s="39">
        <f>A6604</f>
        <v>46048</v>
      </c>
      <c r="B6605" s="40"/>
      <c r="C6605" s="40"/>
      <c r="D6605" s="41"/>
      <c r="E6605" s="43">
        <f>C6605</f>
        <v>0</v>
      </c>
      <c r="F6605" s="42"/>
    </row>
    <row r="6606" spans="1:6">
      <c r="A6606" s="39">
        <f>A6605</f>
        <v>46048</v>
      </c>
      <c r="B6606" s="40"/>
      <c r="C6606" s="40"/>
      <c r="D6606" s="41"/>
      <c r="E6606" s="43">
        <f>C6606</f>
        <v>0</v>
      </c>
      <c r="F6606" s="42"/>
    </row>
    <row r="6607" spans="1:6">
      <c r="A6607" s="39">
        <f>A6606</f>
        <v>46048</v>
      </c>
      <c r="B6607" s="40"/>
      <c r="C6607" s="40"/>
      <c r="D6607" s="41"/>
      <c r="E6607" s="43">
        <f>C6607</f>
        <v>0</v>
      </c>
      <c r="F6607" s="42"/>
    </row>
    <row r="6608" spans="1:6">
      <c r="A6608" s="39">
        <f>A6607</f>
        <v>46048</v>
      </c>
      <c r="B6608" s="40"/>
      <c r="C6608" s="40"/>
      <c r="D6608" s="41"/>
      <c r="E6608" s="43">
        <f>C6608</f>
        <v>0</v>
      </c>
      <c r="F6608" s="42"/>
    </row>
    <row r="6609" spans="1:6">
      <c r="A6609" s="39">
        <f>A6608</f>
        <v>46048</v>
      </c>
      <c r="B6609" s="40"/>
      <c r="C6609" s="40"/>
      <c r="D6609" s="41"/>
      <c r="E6609" s="43">
        <f>C6609</f>
        <v>0</v>
      </c>
      <c r="F6609" s="42"/>
    </row>
    <row r="6610" spans="1:6">
      <c r="A6610" s="39">
        <f>A6609</f>
        <v>46048</v>
      </c>
      <c r="B6610" s="40"/>
      <c r="C6610" s="40"/>
      <c r="D6610" s="41"/>
      <c r="E6610" s="43">
        <f>C6610</f>
        <v>0</v>
      </c>
      <c r="F6610" s="42"/>
    </row>
    <row r="6611" spans="1:6">
      <c r="A6611" s="39">
        <f>A6610</f>
        <v>46048</v>
      </c>
      <c r="B6611" s="40"/>
      <c r="C6611" s="40"/>
      <c r="D6611" s="41"/>
      <c r="E6611" s="43">
        <f>C6611</f>
        <v>0</v>
      </c>
      <c r="F6611" s="42"/>
    </row>
    <row r="6612" spans="1:6">
      <c r="A6612" s="39">
        <f>A6611</f>
        <v>46048</v>
      </c>
      <c r="B6612" s="40"/>
      <c r="C6612" s="40"/>
      <c r="D6612" s="41"/>
      <c r="E6612" s="43">
        <f>C6612</f>
        <v>0</v>
      </c>
      <c r="F6612" s="42"/>
    </row>
    <row r="6613" spans="1:6">
      <c r="A6613" s="39">
        <f>A6612</f>
        <v>46048</v>
      </c>
      <c r="B6613" s="40"/>
      <c r="C6613" s="40"/>
      <c r="D6613" s="41"/>
      <c r="E6613" s="43">
        <f>C6613</f>
        <v>0</v>
      </c>
      <c r="F6613" s="42"/>
    </row>
    <row r="6614" spans="1:6">
      <c r="A6614" s="39">
        <f>A6613</f>
        <v>46048</v>
      </c>
      <c r="B6614" s="40"/>
      <c r="C6614" s="40"/>
      <c r="D6614" s="41"/>
      <c r="E6614" s="43">
        <f>C6614</f>
        <v>0</v>
      </c>
      <c r="F6614" s="42"/>
    </row>
    <row r="6615" spans="1:6">
      <c r="A6615" s="39">
        <f>A6614</f>
        <v>46048</v>
      </c>
      <c r="B6615" s="40"/>
      <c r="C6615" s="40"/>
      <c r="D6615" s="41"/>
      <c r="E6615" s="43">
        <f>C6615</f>
        <v>0</v>
      </c>
      <c r="F6615" s="42"/>
    </row>
    <row r="6616" spans="1:6">
      <c r="A6616" s="39">
        <f>A6615</f>
        <v>46048</v>
      </c>
      <c r="B6616" s="40"/>
      <c r="C6616" s="40"/>
      <c r="D6616" s="41"/>
      <c r="E6616" s="43">
        <f>C6616</f>
        <v>0</v>
      </c>
      <c r="F6616" s="42"/>
    </row>
    <row r="6617" spans="1:6">
      <c r="A6617" s="39">
        <f>A6616</f>
        <v>46048</v>
      </c>
      <c r="B6617" s="40"/>
      <c r="C6617" s="40"/>
      <c r="D6617" s="41"/>
      <c r="E6617" s="43">
        <f>C6617</f>
        <v>0</v>
      </c>
      <c r="F6617" s="42"/>
    </row>
    <row r="6618" spans="1:6">
      <c r="A6618" s="39">
        <f>A6617</f>
        <v>46048</v>
      </c>
      <c r="B6618" s="40"/>
      <c r="C6618" s="40"/>
      <c r="D6618" s="41"/>
      <c r="E6618" s="43">
        <f>C6618</f>
        <v>0</v>
      </c>
      <c r="F6618" s="42"/>
    </row>
    <row r="6619" spans="1:6">
      <c r="A6619" s="39">
        <f>A6618</f>
        <v>46048</v>
      </c>
      <c r="B6619" s="40"/>
      <c r="C6619" s="40"/>
      <c r="D6619" s="41"/>
      <c r="E6619" s="43">
        <f>C6619</f>
        <v>0</v>
      </c>
      <c r="F6619" s="42"/>
    </row>
    <row r="6620" spans="1:6">
      <c r="A6620" s="39">
        <f>A6619</f>
        <v>46048</v>
      </c>
      <c r="B6620" s="40"/>
      <c r="C6620" s="40"/>
      <c r="D6620" s="41"/>
      <c r="E6620" s="43">
        <f>C6620</f>
        <v>0</v>
      </c>
      <c r="F6620" s="42"/>
    </row>
    <row r="6621" spans="1:6">
      <c r="A6621" s="39">
        <f>A6620</f>
        <v>46048</v>
      </c>
      <c r="B6621" s="40"/>
      <c r="C6621" s="40"/>
      <c r="D6621" s="41"/>
      <c r="E6621" s="43">
        <f>C6621</f>
        <v>0</v>
      </c>
      <c r="F6621" s="42"/>
    </row>
    <row r="6622" spans="1:6">
      <c r="A6622" s="39">
        <f>A6621</f>
        <v>46048</v>
      </c>
      <c r="B6622" s="40"/>
      <c r="C6622" s="40"/>
      <c r="D6622" s="41"/>
      <c r="E6622" s="43">
        <f>C6622</f>
        <v>0</v>
      </c>
      <c r="F6622" s="42"/>
    </row>
    <row r="6623" spans="1:6">
      <c r="A6623" s="39">
        <f>A6622</f>
        <v>46048</v>
      </c>
      <c r="B6623" s="40"/>
      <c r="C6623" s="40"/>
      <c r="D6623" s="41"/>
      <c r="E6623" s="43">
        <f>C6623</f>
        <v>0</v>
      </c>
      <c r="F6623" s="42"/>
    </row>
    <row r="6624" spans="1:6">
      <c r="A6624" s="39">
        <f>A6623</f>
        <v>46048</v>
      </c>
      <c r="B6624" s="40"/>
      <c r="C6624" s="40"/>
      <c r="D6624" s="41"/>
      <c r="E6624" s="43">
        <f>C6624</f>
        <v>0</v>
      </c>
      <c r="F6624" s="42"/>
    </row>
    <row r="6625" spans="1:6">
      <c r="A6625" s="39">
        <f>A6624</f>
        <v>46048</v>
      </c>
      <c r="B6625" s="40"/>
      <c r="C6625" s="40"/>
      <c r="D6625" s="41"/>
      <c r="E6625" s="43">
        <f>C6625</f>
        <v>0</v>
      </c>
      <c r="F6625" s="42"/>
    </row>
    <row r="6626" spans="1:6">
      <c r="A6626" s="39">
        <f>A6625</f>
        <v>46048</v>
      </c>
      <c r="B6626" s="40"/>
      <c r="C6626" s="40"/>
      <c r="D6626" s="41"/>
      <c r="E6626" s="43">
        <f>C6626</f>
        <v>0</v>
      </c>
      <c r="F6626" s="42"/>
    </row>
    <row r="6627" spans="1:6">
      <c r="A6627" s="39">
        <f>A6626</f>
        <v>46048</v>
      </c>
      <c r="B6627" s="40"/>
      <c r="C6627" s="40"/>
      <c r="D6627" s="41"/>
      <c r="E6627" s="43">
        <f>C6627</f>
        <v>0</v>
      </c>
      <c r="F6627" s="42"/>
    </row>
    <row r="6628" spans="1:6">
      <c r="A6628" s="39">
        <f>A6627</f>
        <v>46048</v>
      </c>
      <c r="B6628" s="40"/>
      <c r="C6628" s="40"/>
      <c r="D6628" s="41"/>
      <c r="E6628" s="43">
        <f>C6628</f>
        <v>0</v>
      </c>
      <c r="F6628" s="42"/>
    </row>
    <row r="6629" spans="1:6">
      <c r="A6629" s="39">
        <f>A6628</f>
        <v>46048</v>
      </c>
      <c r="B6629" s="40"/>
      <c r="C6629" s="40"/>
      <c r="D6629" s="41"/>
      <c r="E6629" s="43">
        <f>C6629</f>
        <v>0</v>
      </c>
      <c r="F6629" s="42"/>
    </row>
    <row r="6630" spans="1:6">
      <c r="A6630" s="39">
        <f>A6629</f>
        <v>46048</v>
      </c>
      <c r="B6630" s="40"/>
      <c r="C6630" s="40"/>
      <c r="D6630" s="41"/>
      <c r="E6630" s="43">
        <f>C6630</f>
        <v>0</v>
      </c>
      <c r="F6630" s="42"/>
    </row>
    <row r="6631" spans="1:6">
      <c r="A6631" s="39">
        <f>A6630</f>
        <v>46048</v>
      </c>
      <c r="B6631" s="40"/>
      <c r="C6631" s="40"/>
      <c r="D6631" s="41"/>
      <c r="E6631" s="43">
        <f>C6631</f>
        <v>0</v>
      </c>
      <c r="F6631" s="42"/>
    </row>
    <row r="6632" spans="1:6">
      <c r="A6632" s="39">
        <f>A6631</f>
        <v>46048</v>
      </c>
      <c r="B6632" s="40"/>
      <c r="C6632" s="40"/>
      <c r="D6632" s="41"/>
      <c r="E6632" s="43">
        <f>C6632</f>
        <v>0</v>
      </c>
      <c r="F6632" s="42"/>
    </row>
    <row r="6633" spans="1:6">
      <c r="A6633" s="39">
        <f>A6632</f>
        <v>46048</v>
      </c>
      <c r="B6633" s="40"/>
      <c r="C6633" s="40"/>
      <c r="D6633" s="41"/>
      <c r="E6633" s="43">
        <f>C6633</f>
        <v>0</v>
      </c>
      <c r="F6633" s="42"/>
    </row>
    <row r="6634" spans="1:6">
      <c r="A6634" s="39">
        <f>A6633</f>
        <v>46048</v>
      </c>
      <c r="B6634" s="40"/>
      <c r="C6634" s="40"/>
      <c r="D6634" s="41"/>
      <c r="E6634" s="43">
        <f>C6634</f>
        <v>0</v>
      </c>
      <c r="F6634" s="42"/>
    </row>
    <row r="6635" spans="1:6">
      <c r="A6635" s="39">
        <f>A6634</f>
        <v>46048</v>
      </c>
      <c r="B6635" s="40"/>
      <c r="C6635" s="40"/>
      <c r="D6635" s="41"/>
      <c r="E6635" s="43">
        <f>C6635</f>
        <v>0</v>
      </c>
      <c r="F6635" s="42"/>
    </row>
    <row r="6636" spans="1:6">
      <c r="A6636" s="39">
        <f>A6635</f>
        <v>46048</v>
      </c>
      <c r="B6636" s="40"/>
      <c r="C6636" s="40"/>
      <c r="D6636" s="41"/>
      <c r="E6636" s="43">
        <f>C6636</f>
        <v>0</v>
      </c>
      <c r="F6636" s="42"/>
    </row>
    <row r="6637" spans="1:6">
      <c r="A6637" s="39">
        <f>A6636</f>
        <v>46048</v>
      </c>
      <c r="B6637" s="40"/>
      <c r="C6637" s="40"/>
      <c r="D6637" s="41"/>
      <c r="E6637" s="43">
        <f>C6637</f>
        <v>0</v>
      </c>
      <c r="F6637" s="42"/>
    </row>
    <row r="6638" spans="1:6">
      <c r="A6638" s="39">
        <f>A6637</f>
        <v>46048</v>
      </c>
      <c r="B6638" s="40"/>
      <c r="C6638" s="40"/>
      <c r="D6638" s="41"/>
      <c r="E6638" s="43">
        <f>C6638</f>
        <v>0</v>
      </c>
      <c r="F6638" s="42"/>
    </row>
    <row r="6639" spans="1:6">
      <c r="A6639" s="39">
        <f>A6638</f>
        <v>46048</v>
      </c>
      <c r="B6639" s="40"/>
      <c r="C6639" s="40"/>
      <c r="D6639" s="41"/>
      <c r="E6639" s="43">
        <f>C6639</f>
        <v>0</v>
      </c>
      <c r="F6639" s="42"/>
    </row>
    <row r="6640" spans="1:6">
      <c r="A6640" s="39">
        <f>A6639</f>
        <v>46048</v>
      </c>
      <c r="B6640" s="40"/>
      <c r="C6640" s="40"/>
      <c r="D6640" s="41"/>
      <c r="E6640" s="43">
        <f>C6640</f>
        <v>0</v>
      </c>
      <c r="F6640" s="42"/>
    </row>
    <row r="6641" spans="1:6">
      <c r="A6641" s="39">
        <f>A6640</f>
        <v>46048</v>
      </c>
      <c r="B6641" s="40"/>
      <c r="C6641" s="40"/>
      <c r="D6641" s="41"/>
      <c r="E6641" s="43">
        <f>C6641</f>
        <v>0</v>
      </c>
      <c r="F6641" s="42"/>
    </row>
    <row r="6642" spans="1:6">
      <c r="A6642" s="39">
        <f>A6641</f>
        <v>46048</v>
      </c>
      <c r="B6642" s="40"/>
      <c r="C6642" s="40"/>
      <c r="D6642" s="41"/>
      <c r="E6642" s="43">
        <f>C6642</f>
        <v>0</v>
      </c>
      <c r="F6642" s="42"/>
    </row>
    <row r="6643" spans="1:6">
      <c r="A6643" s="39">
        <f>A6642</f>
        <v>46048</v>
      </c>
      <c r="B6643" s="40"/>
      <c r="C6643" s="40"/>
      <c r="D6643" s="41"/>
      <c r="E6643" s="43">
        <f>C6643</f>
        <v>0</v>
      </c>
      <c r="F6643" s="42"/>
    </row>
    <row r="6644" spans="1:6">
      <c r="A6644" s="39">
        <f>A6643</f>
        <v>46048</v>
      </c>
      <c r="B6644" s="40"/>
      <c r="C6644" s="40"/>
      <c r="D6644" s="41"/>
      <c r="E6644" s="43">
        <f>C6644</f>
        <v>0</v>
      </c>
      <c r="F6644" s="42"/>
    </row>
    <row r="6645" spans="1:6">
      <c r="A6645" s="39">
        <f>A6644</f>
        <v>46048</v>
      </c>
      <c r="B6645" s="40"/>
      <c r="C6645" s="40"/>
      <c r="D6645" s="41"/>
      <c r="E6645" s="43">
        <f>C6645</f>
        <v>0</v>
      </c>
      <c r="F6645" s="42"/>
    </row>
    <row r="6646" spans="1:6">
      <c r="A6646" s="39">
        <f>A6645</f>
        <v>46048</v>
      </c>
      <c r="B6646" s="40"/>
      <c r="C6646" s="40"/>
      <c r="D6646" s="41"/>
      <c r="E6646" s="43">
        <f>C6646</f>
        <v>0</v>
      </c>
      <c r="F6646" s="42"/>
    </row>
    <row r="6647" spans="1:6">
      <c r="A6647" s="39">
        <f>A6646</f>
        <v>46048</v>
      </c>
      <c r="B6647" s="40"/>
      <c r="C6647" s="40"/>
      <c r="D6647" s="41"/>
      <c r="E6647" s="43">
        <f>C6647</f>
        <v>0</v>
      </c>
      <c r="F6647" s="42"/>
    </row>
    <row r="6648" spans="1:6">
      <c r="A6648" s="39">
        <f>A6647</f>
        <v>46048</v>
      </c>
      <c r="B6648" s="40"/>
      <c r="C6648" s="40"/>
      <c r="D6648" s="41"/>
      <c r="E6648" s="43">
        <f>C6648</f>
        <v>0</v>
      </c>
      <c r="F6648" s="42"/>
    </row>
    <row r="6649" spans="1:6">
      <c r="A6649" s="39">
        <f>A6648</f>
        <v>46048</v>
      </c>
      <c r="B6649" s="40"/>
      <c r="C6649" s="40"/>
      <c r="D6649" s="41"/>
      <c r="E6649" s="43">
        <f>C6649</f>
        <v>0</v>
      </c>
      <c r="F6649" s="42"/>
    </row>
    <row r="6650" spans="1:6">
      <c r="A6650" s="39">
        <f>A6649</f>
        <v>46048</v>
      </c>
      <c r="B6650" s="40"/>
      <c r="C6650" s="40"/>
      <c r="D6650" s="41"/>
      <c r="E6650" s="43">
        <f>C6650</f>
        <v>0</v>
      </c>
      <c r="F6650" s="42"/>
    </row>
    <row r="6651" spans="1:6">
      <c r="A6651" s="39">
        <f>A6650</f>
        <v>46048</v>
      </c>
      <c r="B6651" s="40"/>
      <c r="C6651" s="40"/>
      <c r="D6651" s="41"/>
      <c r="E6651" s="43">
        <f>C6651</f>
        <v>0</v>
      </c>
      <c r="F6651" s="42"/>
    </row>
    <row r="6652" spans="1:6">
      <c r="A6652" s="39">
        <f>A6651</f>
        <v>46048</v>
      </c>
      <c r="B6652" s="40"/>
      <c r="C6652" s="40"/>
      <c r="D6652" s="41"/>
      <c r="E6652" s="43">
        <f>C6652</f>
        <v>0</v>
      </c>
      <c r="F6652" s="42"/>
    </row>
    <row r="6653" spans="1:6">
      <c r="A6653" s="39">
        <f>A6652</f>
        <v>46048</v>
      </c>
      <c r="B6653" s="40"/>
      <c r="C6653" s="40"/>
      <c r="D6653" s="41"/>
      <c r="E6653" s="43">
        <f>C6653</f>
        <v>0</v>
      </c>
      <c r="F6653" s="42"/>
    </row>
    <row r="6654" spans="1:6">
      <c r="A6654" s="39">
        <f>A6653</f>
        <v>46048</v>
      </c>
      <c r="B6654" s="40"/>
      <c r="C6654" s="40"/>
      <c r="D6654" s="41"/>
      <c r="E6654" s="43">
        <f>C6654</f>
        <v>0</v>
      </c>
      <c r="F6654" s="42"/>
    </row>
    <row r="6655" spans="1:6">
      <c r="A6655" s="39">
        <f>A6654</f>
        <v>46048</v>
      </c>
      <c r="B6655" s="40"/>
      <c r="C6655" s="40"/>
      <c r="D6655" s="41"/>
      <c r="E6655" s="43">
        <f>C6655</f>
        <v>0</v>
      </c>
      <c r="F6655" s="42"/>
    </row>
    <row r="6656" spans="1:6">
      <c r="A6656" s="39">
        <f>A6655</f>
        <v>46048</v>
      </c>
      <c r="B6656" s="40"/>
      <c r="C6656" s="40"/>
      <c r="D6656" s="41"/>
      <c r="E6656" s="43">
        <f>C6656</f>
        <v>0</v>
      </c>
      <c r="F6656" s="42"/>
    </row>
    <row r="6657" spans="1:6">
      <c r="A6657" s="39">
        <f>A6656</f>
        <v>46048</v>
      </c>
      <c r="B6657" s="40"/>
      <c r="C6657" s="40"/>
      <c r="D6657" s="41"/>
      <c r="E6657" s="43">
        <f>C6657</f>
        <v>0</v>
      </c>
      <c r="F6657" s="42"/>
    </row>
    <row r="6658" spans="1:6">
      <c r="A6658" s="39">
        <f>A6657</f>
        <v>46048</v>
      </c>
      <c r="B6658" s="40"/>
      <c r="C6658" s="40"/>
      <c r="D6658" s="41"/>
      <c r="E6658" s="43">
        <f>C6658</f>
        <v>0</v>
      </c>
      <c r="F6658" s="42"/>
    </row>
    <row r="6659" spans="1:6">
      <c r="A6659" s="39">
        <f>A6658</f>
        <v>46048</v>
      </c>
      <c r="B6659" s="40"/>
      <c r="C6659" s="40"/>
      <c r="D6659" s="41"/>
      <c r="E6659" s="43">
        <f>C6659</f>
        <v>0</v>
      </c>
      <c r="F6659" s="42"/>
    </row>
    <row r="6660" spans="1:6">
      <c r="A6660" s="39">
        <f>A6659</f>
        <v>46048</v>
      </c>
      <c r="B6660" s="40"/>
      <c r="C6660" s="40"/>
      <c r="D6660" s="41"/>
      <c r="E6660" s="43">
        <f>C6660</f>
        <v>0</v>
      </c>
      <c r="F6660" s="42"/>
    </row>
    <row r="6661" spans="1:6">
      <c r="A6661" s="39">
        <f>A6660</f>
        <v>46048</v>
      </c>
      <c r="B6661" s="40"/>
      <c r="C6661" s="40"/>
      <c r="D6661" s="41"/>
      <c r="E6661" s="43">
        <f>C6661</f>
        <v>0</v>
      </c>
      <c r="F6661" s="42"/>
    </row>
    <row r="6662" spans="1:6">
      <c r="A6662" s="39">
        <f>A6661</f>
        <v>46048</v>
      </c>
      <c r="B6662" s="40"/>
      <c r="C6662" s="40"/>
      <c r="D6662" s="41"/>
      <c r="E6662" s="43">
        <f>C6662</f>
        <v>0</v>
      </c>
      <c r="F6662" s="42"/>
    </row>
    <row r="6663" spans="1:6">
      <c r="A6663" s="39">
        <f>A6662</f>
        <v>46048</v>
      </c>
      <c r="B6663" s="40"/>
      <c r="C6663" s="40"/>
      <c r="D6663" s="41"/>
      <c r="E6663" s="43">
        <f>C6663</f>
        <v>0</v>
      </c>
      <c r="F6663" s="42"/>
    </row>
    <row r="6664" spans="1:6">
      <c r="A6664" s="39">
        <f>A6663</f>
        <v>46048</v>
      </c>
      <c r="B6664" s="40"/>
      <c r="C6664" s="40"/>
      <c r="D6664" s="41"/>
      <c r="E6664" s="43">
        <f>C6664</f>
        <v>0</v>
      </c>
      <c r="F6664" s="42"/>
    </row>
    <row r="6665" spans="1:6">
      <c r="A6665" s="39">
        <f>A6664</f>
        <v>46048</v>
      </c>
      <c r="B6665" s="40"/>
      <c r="C6665" s="40"/>
      <c r="D6665" s="41"/>
      <c r="E6665" s="43">
        <f>C6665</f>
        <v>0</v>
      </c>
      <c r="F6665" s="42"/>
    </row>
    <row r="6666" spans="1:6">
      <c r="A6666" s="39">
        <f>A6665</f>
        <v>46048</v>
      </c>
      <c r="B6666" s="40"/>
      <c r="C6666" s="40"/>
      <c r="D6666" s="41"/>
      <c r="E6666" s="43">
        <f>C6666</f>
        <v>0</v>
      </c>
      <c r="F6666" s="42"/>
    </row>
    <row r="6667" spans="1:6">
      <c r="A6667" s="39">
        <f>A6666</f>
        <v>46048</v>
      </c>
      <c r="B6667" s="40"/>
      <c r="C6667" s="40"/>
      <c r="D6667" s="41"/>
      <c r="E6667" s="43">
        <f>C6667</f>
        <v>0</v>
      </c>
      <c r="F6667" s="42"/>
    </row>
    <row r="6668" spans="1:6">
      <c r="A6668" s="39">
        <f>A6667</f>
        <v>46048</v>
      </c>
      <c r="B6668" s="40"/>
      <c r="C6668" s="40"/>
      <c r="D6668" s="41"/>
      <c r="E6668" s="43">
        <f>C6668</f>
        <v>0</v>
      </c>
      <c r="F6668" s="42"/>
    </row>
    <row r="6669" spans="1:6">
      <c r="A6669" s="39">
        <f>A6668</f>
        <v>46048</v>
      </c>
      <c r="B6669" s="40"/>
      <c r="C6669" s="40"/>
      <c r="D6669" s="41"/>
      <c r="E6669" s="43">
        <f>C6669</f>
        <v>0</v>
      </c>
      <c r="F6669" s="42"/>
    </row>
    <row r="6670" spans="1:6">
      <c r="A6670" s="39">
        <f>A6669</f>
        <v>46048</v>
      </c>
      <c r="B6670" s="40"/>
      <c r="C6670" s="40"/>
      <c r="D6670" s="41"/>
      <c r="E6670" s="43">
        <f>C6670</f>
        <v>0</v>
      </c>
      <c r="F6670" s="42"/>
    </row>
    <row r="6671" spans="1:6">
      <c r="A6671" s="39">
        <f>A6670</f>
        <v>46048</v>
      </c>
      <c r="B6671" s="40"/>
      <c r="C6671" s="40"/>
      <c r="D6671" s="41"/>
      <c r="E6671" s="43">
        <f>C6671</f>
        <v>0</v>
      </c>
      <c r="F6671" s="42"/>
    </row>
    <row r="6672" spans="1:6">
      <c r="A6672" s="39">
        <f>A6671</f>
        <v>46048</v>
      </c>
      <c r="B6672" s="40"/>
      <c r="C6672" s="40"/>
      <c r="D6672" s="41"/>
      <c r="E6672" s="43">
        <f>C6672</f>
        <v>0</v>
      </c>
      <c r="F6672" s="42"/>
    </row>
    <row r="6673" spans="1:6">
      <c r="A6673" s="39">
        <f>A6672</f>
        <v>46048</v>
      </c>
      <c r="B6673" s="40"/>
      <c r="C6673" s="40"/>
      <c r="D6673" s="41"/>
      <c r="E6673" s="43">
        <f>C6673</f>
        <v>0</v>
      </c>
      <c r="F6673" s="42"/>
    </row>
    <row r="6674" spans="1:6">
      <c r="A6674" s="39">
        <f>A6673</f>
        <v>46048</v>
      </c>
      <c r="B6674" s="40"/>
      <c r="C6674" s="40"/>
      <c r="D6674" s="41"/>
      <c r="E6674" s="43">
        <f>C6674</f>
        <v>0</v>
      </c>
      <c r="F6674" s="42"/>
    </row>
    <row r="6675" spans="1:6">
      <c r="A6675" s="39">
        <f>A6674</f>
        <v>46048</v>
      </c>
      <c r="B6675" s="40"/>
      <c r="C6675" s="40"/>
      <c r="D6675" s="41"/>
      <c r="E6675" s="43">
        <f>C6675</f>
        <v>0</v>
      </c>
      <c r="F6675" s="42"/>
    </row>
    <row r="6676" spans="1:6">
      <c r="A6676" s="39">
        <f>A6675</f>
        <v>46048</v>
      </c>
      <c r="B6676" s="40"/>
      <c r="C6676" s="40"/>
      <c r="D6676" s="41"/>
      <c r="E6676" s="43">
        <f>C6676</f>
        <v>0</v>
      </c>
      <c r="F6676" s="42"/>
    </row>
    <row r="6677" spans="1:6">
      <c r="A6677" s="39">
        <f>A6676</f>
        <v>46048</v>
      </c>
      <c r="B6677" s="40"/>
      <c r="C6677" s="40"/>
      <c r="D6677" s="41"/>
      <c r="E6677" s="43">
        <f>C6677</f>
        <v>0</v>
      </c>
      <c r="F6677" s="42"/>
    </row>
    <row r="6678" spans="1:6">
      <c r="A6678" s="39">
        <f>A6677</f>
        <v>46048</v>
      </c>
      <c r="B6678" s="40"/>
      <c r="C6678" s="40"/>
      <c r="D6678" s="41"/>
      <c r="E6678" s="43">
        <f>C6678</f>
        <v>0</v>
      </c>
      <c r="F6678" s="42"/>
    </row>
    <row r="6679" spans="1:6">
      <c r="A6679" s="39">
        <f>A6678</f>
        <v>46048</v>
      </c>
      <c r="B6679" s="40"/>
      <c r="C6679" s="40"/>
      <c r="D6679" s="41"/>
      <c r="E6679" s="43">
        <f>C6679</f>
        <v>0</v>
      </c>
      <c r="F6679" s="42"/>
    </row>
    <row r="6680" spans="1:6">
      <c r="A6680" s="39">
        <f>A6679</f>
        <v>46048</v>
      </c>
      <c r="B6680" s="40"/>
      <c r="C6680" s="40"/>
      <c r="D6680" s="41"/>
      <c r="E6680" s="43">
        <f>C6680</f>
        <v>0</v>
      </c>
      <c r="F6680" s="42"/>
    </row>
    <row r="6681" spans="1:6">
      <c r="A6681" s="39">
        <f>A6680</f>
        <v>46048</v>
      </c>
      <c r="B6681" s="40"/>
      <c r="C6681" s="40"/>
      <c r="D6681" s="41"/>
      <c r="E6681" s="43">
        <f>C6681</f>
        <v>0</v>
      </c>
      <c r="F6681" s="42"/>
    </row>
    <row r="6682" spans="1:6">
      <c r="A6682" s="39">
        <f>A6681</f>
        <v>46048</v>
      </c>
      <c r="B6682" s="40"/>
      <c r="C6682" s="40"/>
      <c r="D6682" s="41"/>
      <c r="E6682" s="43">
        <f>C6682</f>
        <v>0</v>
      </c>
      <c r="F6682" s="42"/>
    </row>
    <row r="6683" spans="1:6">
      <c r="A6683" s="39">
        <f>A6682</f>
        <v>46048</v>
      </c>
      <c r="B6683" s="40"/>
      <c r="C6683" s="40"/>
      <c r="D6683" s="41"/>
      <c r="E6683" s="43">
        <f>C6683</f>
        <v>0</v>
      </c>
      <c r="F6683" s="42"/>
    </row>
    <row r="6684" spans="1:6">
      <c r="A6684" s="39">
        <f>A6683</f>
        <v>46048</v>
      </c>
      <c r="B6684" s="40"/>
      <c r="C6684" s="40"/>
      <c r="D6684" s="41"/>
      <c r="E6684" s="43">
        <f>C6684</f>
        <v>0</v>
      </c>
      <c r="F6684" s="42"/>
    </row>
    <row r="6685" spans="1:6">
      <c r="A6685" s="39">
        <f>A6684</f>
        <v>46048</v>
      </c>
      <c r="B6685" s="40"/>
      <c r="C6685" s="40"/>
      <c r="D6685" s="41"/>
      <c r="E6685" s="43">
        <f>C6685</f>
        <v>0</v>
      </c>
      <c r="F6685" s="42"/>
    </row>
    <row r="6686" spans="1:6">
      <c r="A6686" s="39">
        <f>A6685</f>
        <v>46048</v>
      </c>
      <c r="B6686" s="40"/>
      <c r="C6686" s="40"/>
      <c r="D6686" s="41"/>
      <c r="E6686" s="43">
        <f>C6686</f>
        <v>0</v>
      </c>
      <c r="F6686" s="42"/>
    </row>
    <row r="6687" spans="1:6">
      <c r="A6687" s="39">
        <f>A6686</f>
        <v>46048</v>
      </c>
      <c r="B6687" s="40"/>
      <c r="C6687" s="40"/>
      <c r="D6687" s="41"/>
      <c r="E6687" s="43">
        <f>C6687</f>
        <v>0</v>
      </c>
      <c r="F6687" s="42"/>
    </row>
    <row r="6688" spans="1:6">
      <c r="A6688" s="39">
        <f>A6687</f>
        <v>46048</v>
      </c>
      <c r="B6688" s="40"/>
      <c r="C6688" s="40"/>
      <c r="D6688" s="41"/>
      <c r="E6688" s="43">
        <f>C6688</f>
        <v>0</v>
      </c>
      <c r="F6688" s="42"/>
    </row>
    <row r="6689" spans="1:6">
      <c r="A6689" s="39">
        <f>A6688</f>
        <v>46048</v>
      </c>
      <c r="B6689" s="40"/>
      <c r="C6689" s="40"/>
      <c r="D6689" s="41"/>
      <c r="E6689" s="43">
        <f>C6689</f>
        <v>0</v>
      </c>
      <c r="F6689" s="42"/>
    </row>
    <row r="6690" spans="1:6">
      <c r="A6690" s="39">
        <f>A6689</f>
        <v>46048</v>
      </c>
      <c r="B6690" s="40"/>
      <c r="C6690" s="40"/>
      <c r="D6690" s="41"/>
      <c r="E6690" s="43">
        <f>C6690</f>
        <v>0</v>
      </c>
      <c r="F6690" s="42"/>
    </row>
    <row r="6691" spans="1:6">
      <c r="A6691" s="39">
        <f>A6690</f>
        <v>46048</v>
      </c>
      <c r="B6691" s="40"/>
      <c r="C6691" s="40"/>
      <c r="D6691" s="41"/>
      <c r="E6691" s="43">
        <f>C6691</f>
        <v>0</v>
      </c>
      <c r="F6691" s="42"/>
    </row>
    <row r="6692" spans="1:6">
      <c r="A6692" s="39">
        <f>A6691</f>
        <v>46048</v>
      </c>
      <c r="B6692" s="40"/>
      <c r="C6692" s="40"/>
      <c r="D6692" s="41"/>
      <c r="E6692" s="43">
        <f>C6692</f>
        <v>0</v>
      </c>
      <c r="F6692" s="42"/>
    </row>
    <row r="6693" spans="1:6">
      <c r="A6693" s="39">
        <f>A6692</f>
        <v>46048</v>
      </c>
      <c r="B6693" s="40"/>
      <c r="C6693" s="40"/>
      <c r="D6693" s="41"/>
      <c r="E6693" s="43">
        <f>C6693</f>
        <v>0</v>
      </c>
      <c r="F6693" s="42"/>
    </row>
    <row r="6694" spans="1:6">
      <c r="A6694" s="39">
        <f>A6693</f>
        <v>46048</v>
      </c>
      <c r="B6694" s="40"/>
      <c r="C6694" s="40"/>
      <c r="D6694" s="41"/>
      <c r="E6694" s="43">
        <f>C6694</f>
        <v>0</v>
      </c>
      <c r="F6694" s="42"/>
    </row>
    <row r="6695" spans="1:6">
      <c r="A6695" s="39">
        <f>A6694</f>
        <v>46048</v>
      </c>
      <c r="B6695" s="40"/>
      <c r="C6695" s="40"/>
      <c r="D6695" s="41"/>
      <c r="E6695" s="43">
        <f>C6695</f>
        <v>0</v>
      </c>
      <c r="F6695" s="42"/>
    </row>
    <row r="6696" spans="1:6">
      <c r="A6696" s="39">
        <f>A6695</f>
        <v>46048</v>
      </c>
      <c r="B6696" s="40"/>
      <c r="C6696" s="40"/>
      <c r="D6696" s="41"/>
      <c r="E6696" s="43">
        <f>C6696</f>
        <v>0</v>
      </c>
      <c r="F6696" s="42"/>
    </row>
    <row r="6697" spans="1:6">
      <c r="A6697" s="39">
        <f>A6696</f>
        <v>46048</v>
      </c>
      <c r="B6697" s="40"/>
      <c r="C6697" s="40"/>
      <c r="D6697" s="41"/>
      <c r="E6697" s="43">
        <f>C6697</f>
        <v>0</v>
      </c>
      <c r="F6697" s="42"/>
    </row>
    <row r="6698" spans="1:6">
      <c r="A6698" s="39">
        <f>A6697</f>
        <v>46048</v>
      </c>
      <c r="B6698" s="40"/>
      <c r="C6698" s="40"/>
      <c r="D6698" s="41"/>
      <c r="E6698" s="43">
        <f>C6698</f>
        <v>0</v>
      </c>
      <c r="F6698" s="42"/>
    </row>
    <row r="6699" spans="1:6">
      <c r="A6699" s="39">
        <f>A6698</f>
        <v>46048</v>
      </c>
      <c r="B6699" s="40"/>
      <c r="C6699" s="40"/>
      <c r="D6699" s="41"/>
      <c r="E6699" s="43">
        <f>C6699</f>
        <v>0</v>
      </c>
      <c r="F6699" s="42"/>
    </row>
    <row r="6700" spans="1:6">
      <c r="A6700" s="39">
        <f>A6699</f>
        <v>46048</v>
      </c>
      <c r="B6700" s="40"/>
      <c r="C6700" s="40"/>
      <c r="D6700" s="41"/>
      <c r="E6700" s="43">
        <f>C6700</f>
        <v>0</v>
      </c>
      <c r="F6700" s="42"/>
    </row>
    <row r="6701" spans="1:6">
      <c r="A6701" s="39">
        <f>A6700</f>
        <v>46048</v>
      </c>
      <c r="B6701" s="40"/>
      <c r="C6701" s="40"/>
      <c r="D6701" s="41"/>
      <c r="E6701" s="43">
        <f>C6701</f>
        <v>0</v>
      </c>
      <c r="F6701" s="42"/>
    </row>
    <row r="6702" spans="1:6">
      <c r="A6702" s="39">
        <f>A6701</f>
        <v>46048</v>
      </c>
      <c r="B6702" s="40"/>
      <c r="C6702" s="40"/>
      <c r="D6702" s="41"/>
      <c r="E6702" s="43">
        <f>C6702</f>
        <v>0</v>
      </c>
      <c r="F6702" s="42"/>
    </row>
    <row r="6703" spans="1:6">
      <c r="A6703" s="39">
        <f>A6702</f>
        <v>46048</v>
      </c>
      <c r="B6703" s="40"/>
      <c r="C6703" s="40"/>
      <c r="D6703" s="41"/>
      <c r="E6703" s="43">
        <f>C6703</f>
        <v>0</v>
      </c>
      <c r="F6703" s="42"/>
    </row>
    <row r="6704" spans="1:6">
      <c r="A6704" s="39">
        <f>A6703</f>
        <v>46048</v>
      </c>
      <c r="B6704" s="40"/>
      <c r="C6704" s="40"/>
      <c r="D6704" s="41"/>
      <c r="E6704" s="43">
        <f>C6704</f>
        <v>0</v>
      </c>
      <c r="F6704" s="42"/>
    </row>
    <row r="6705" spans="1:6">
      <c r="A6705" s="39">
        <f>A6704</f>
        <v>46048</v>
      </c>
      <c r="B6705" s="40"/>
      <c r="C6705" s="40"/>
      <c r="D6705" s="41"/>
      <c r="E6705" s="43">
        <f>C6705</f>
        <v>0</v>
      </c>
      <c r="F6705" s="42"/>
    </row>
    <row r="6706" spans="1:6">
      <c r="A6706" s="39">
        <f>A6705</f>
        <v>46048</v>
      </c>
      <c r="B6706" s="40"/>
      <c r="C6706" s="40"/>
      <c r="D6706" s="41"/>
      <c r="E6706" s="43">
        <f>C6706</f>
        <v>0</v>
      </c>
      <c r="F6706" s="42"/>
    </row>
    <row r="6707" spans="1:6">
      <c r="A6707" s="39">
        <f>A6706</f>
        <v>46048</v>
      </c>
      <c r="B6707" s="40"/>
      <c r="C6707" s="40"/>
      <c r="D6707" s="41"/>
      <c r="E6707" s="43">
        <f>C6707</f>
        <v>0</v>
      </c>
      <c r="F6707" s="42"/>
    </row>
    <row r="6708" spans="1:6">
      <c r="A6708" s="39">
        <f>A6707</f>
        <v>46048</v>
      </c>
      <c r="B6708" s="40"/>
      <c r="C6708" s="40"/>
      <c r="D6708" s="41"/>
      <c r="E6708" s="43">
        <f>C6708</f>
        <v>0</v>
      </c>
      <c r="F6708" s="42"/>
    </row>
    <row r="6709" spans="1:6">
      <c r="A6709" s="39">
        <f>A6708</f>
        <v>46048</v>
      </c>
      <c r="B6709" s="40"/>
      <c r="C6709" s="40"/>
      <c r="D6709" s="41"/>
      <c r="E6709" s="43">
        <f>C6709</f>
        <v>0</v>
      </c>
      <c r="F6709" s="42"/>
    </row>
    <row r="6710" spans="1:6">
      <c r="A6710" s="39">
        <f>A6709</f>
        <v>46048</v>
      </c>
      <c r="B6710" s="40"/>
      <c r="C6710" s="40"/>
      <c r="D6710" s="41"/>
      <c r="E6710" s="43">
        <f>C6710</f>
        <v>0</v>
      </c>
      <c r="F6710" s="42"/>
    </row>
    <row r="6711" spans="1:6">
      <c r="A6711" s="39">
        <f>A6710</f>
        <v>46048</v>
      </c>
      <c r="B6711" s="40"/>
      <c r="C6711" s="40"/>
      <c r="D6711" s="41"/>
      <c r="E6711" s="43">
        <f>C6711</f>
        <v>0</v>
      </c>
      <c r="F6711" s="42"/>
    </row>
    <row r="6712" spans="1:6">
      <c r="A6712" s="39">
        <f>A6711</f>
        <v>46048</v>
      </c>
      <c r="B6712" s="40"/>
      <c r="C6712" s="40"/>
      <c r="D6712" s="41"/>
      <c r="E6712" s="43">
        <f>C6712</f>
        <v>0</v>
      </c>
      <c r="F6712" s="42"/>
    </row>
    <row r="6713" spans="1:6">
      <c r="A6713" s="39">
        <f>A6712</f>
        <v>46048</v>
      </c>
      <c r="B6713" s="40"/>
      <c r="C6713" s="40"/>
      <c r="D6713" s="41"/>
      <c r="E6713" s="43">
        <f>C6713</f>
        <v>0</v>
      </c>
      <c r="F6713" s="42"/>
    </row>
    <row r="6714" spans="1:6">
      <c r="A6714" s="39">
        <f>A6713</f>
        <v>46048</v>
      </c>
      <c r="B6714" s="40"/>
      <c r="C6714" s="40"/>
      <c r="D6714" s="41"/>
      <c r="E6714" s="43">
        <f>C6714</f>
        <v>0</v>
      </c>
      <c r="F6714" s="42"/>
    </row>
    <row r="6715" spans="1:6">
      <c r="A6715" s="39">
        <f>A6714</f>
        <v>46048</v>
      </c>
      <c r="B6715" s="40"/>
      <c r="C6715" s="40"/>
      <c r="D6715" s="41"/>
      <c r="E6715" s="43">
        <f>C6715</f>
        <v>0</v>
      </c>
      <c r="F6715" s="42"/>
    </row>
    <row r="6716" spans="1:6">
      <c r="A6716" s="39">
        <f>A6715</f>
        <v>46048</v>
      </c>
      <c r="B6716" s="40"/>
      <c r="C6716" s="40"/>
      <c r="D6716" s="41"/>
      <c r="E6716" s="43">
        <f>C6716</f>
        <v>0</v>
      </c>
      <c r="F6716" s="42"/>
    </row>
    <row r="6717" spans="1:6">
      <c r="A6717" s="39">
        <f>A6716</f>
        <v>46048</v>
      </c>
      <c r="B6717" s="40"/>
      <c r="C6717" s="40"/>
      <c r="D6717" s="41"/>
      <c r="E6717" s="43">
        <f>C6717</f>
        <v>0</v>
      </c>
      <c r="F6717" s="42"/>
    </row>
    <row r="6718" spans="1:6">
      <c r="A6718" s="39">
        <f>A6717</f>
        <v>46048</v>
      </c>
      <c r="B6718" s="40"/>
      <c r="C6718" s="40"/>
      <c r="D6718" s="41"/>
      <c r="E6718" s="43">
        <f>C6718</f>
        <v>0</v>
      </c>
      <c r="F6718" s="42"/>
    </row>
    <row r="6719" spans="1:6">
      <c r="A6719" s="39">
        <f>A6718</f>
        <v>46048</v>
      </c>
      <c r="B6719" s="40"/>
      <c r="C6719" s="40"/>
      <c r="D6719" s="41"/>
      <c r="E6719" s="43">
        <f>C6719</f>
        <v>0</v>
      </c>
      <c r="F6719" s="42"/>
    </row>
    <row r="6720" spans="1:6">
      <c r="A6720" s="39">
        <f>A6719</f>
        <v>46048</v>
      </c>
      <c r="B6720" s="40"/>
      <c r="C6720" s="40"/>
      <c r="D6720" s="41"/>
      <c r="E6720" s="43">
        <f>C6720</f>
        <v>0</v>
      </c>
      <c r="F6720" s="42"/>
    </row>
    <row r="6721" spans="1:6">
      <c r="A6721" s="39">
        <f>A6720</f>
        <v>46048</v>
      </c>
      <c r="B6721" s="40"/>
      <c r="C6721" s="40"/>
      <c r="D6721" s="41"/>
      <c r="E6721" s="43">
        <f>C6721</f>
        <v>0</v>
      </c>
      <c r="F6721" s="42"/>
    </row>
    <row r="6722" spans="1:6">
      <c r="A6722" s="39">
        <f>A6721</f>
        <v>46048</v>
      </c>
      <c r="B6722" s="40"/>
      <c r="C6722" s="40"/>
      <c r="D6722" s="41"/>
      <c r="E6722" s="43">
        <f>C6722</f>
        <v>0</v>
      </c>
      <c r="F6722" s="42"/>
    </row>
    <row r="6723" spans="1:6">
      <c r="A6723" s="39">
        <f>A6722</f>
        <v>46048</v>
      </c>
      <c r="B6723" s="40"/>
      <c r="C6723" s="40"/>
      <c r="D6723" s="41"/>
      <c r="E6723" s="43">
        <f>C6723</f>
        <v>0</v>
      </c>
      <c r="F6723" s="42"/>
    </row>
    <row r="6724" spans="1:6">
      <c r="A6724" s="39">
        <f>A6723</f>
        <v>46048</v>
      </c>
      <c r="B6724" s="40"/>
      <c r="C6724" s="40"/>
      <c r="D6724" s="41"/>
      <c r="E6724" s="43">
        <f>C6724</f>
        <v>0</v>
      </c>
      <c r="F6724" s="42"/>
    </row>
    <row r="6725" spans="1:6">
      <c r="A6725" s="39">
        <f>A6724</f>
        <v>46048</v>
      </c>
      <c r="B6725" s="40"/>
      <c r="C6725" s="40"/>
      <c r="D6725" s="41"/>
      <c r="E6725" s="43">
        <f>C6725</f>
        <v>0</v>
      </c>
      <c r="F6725" s="42"/>
    </row>
    <row r="6726" spans="1:6">
      <c r="A6726" s="39">
        <f>A6725</f>
        <v>46048</v>
      </c>
      <c r="B6726" s="40"/>
      <c r="C6726" s="40"/>
      <c r="D6726" s="41"/>
      <c r="E6726" s="43">
        <f>C6726</f>
        <v>0</v>
      </c>
      <c r="F6726" s="42"/>
    </row>
    <row r="6727" spans="1:6">
      <c r="A6727" s="39">
        <f>A6726</f>
        <v>46048</v>
      </c>
      <c r="B6727" s="40"/>
      <c r="C6727" s="40"/>
      <c r="D6727" s="41"/>
      <c r="E6727" s="43">
        <f>C6727</f>
        <v>0</v>
      </c>
      <c r="F6727" s="42"/>
    </row>
    <row r="6728" spans="1:6">
      <c r="A6728" s="39">
        <f>A6727</f>
        <v>46048</v>
      </c>
      <c r="B6728" s="40"/>
      <c r="C6728" s="40"/>
      <c r="D6728" s="41"/>
      <c r="E6728" s="43">
        <f>C6728</f>
        <v>0</v>
      </c>
      <c r="F6728" s="42"/>
    </row>
    <row r="6729" spans="1:6">
      <c r="A6729" s="39">
        <f>A6728</f>
        <v>46048</v>
      </c>
      <c r="B6729" s="40"/>
      <c r="C6729" s="40"/>
      <c r="D6729" s="41"/>
      <c r="E6729" s="43">
        <f>C6729</f>
        <v>0</v>
      </c>
      <c r="F6729" s="42"/>
    </row>
    <row r="6730" spans="1:6">
      <c r="A6730" s="39">
        <f>A6729</f>
        <v>46048</v>
      </c>
      <c r="B6730" s="40"/>
      <c r="C6730" s="40"/>
      <c r="D6730" s="41"/>
      <c r="E6730" s="43">
        <f>C6730</f>
        <v>0</v>
      </c>
      <c r="F6730" s="42"/>
    </row>
    <row r="6731" spans="1:6">
      <c r="A6731" s="39">
        <f>A6730</f>
        <v>46048</v>
      </c>
      <c r="B6731" s="40"/>
      <c r="C6731" s="40"/>
      <c r="D6731" s="41"/>
      <c r="E6731" s="43">
        <f>C6731</f>
        <v>0</v>
      </c>
      <c r="F6731" s="42"/>
    </row>
    <row r="6732" spans="1:6">
      <c r="A6732" s="39">
        <f>A6731</f>
        <v>46048</v>
      </c>
      <c r="B6732" s="40"/>
      <c r="C6732" s="40"/>
      <c r="D6732" s="41"/>
      <c r="E6732" s="43">
        <f>C6732</f>
        <v>0</v>
      </c>
      <c r="F6732" s="42"/>
    </row>
    <row r="6733" spans="1:6">
      <c r="A6733" s="39">
        <f>A6732</f>
        <v>46048</v>
      </c>
      <c r="B6733" s="40"/>
      <c r="C6733" s="40"/>
      <c r="D6733" s="41"/>
      <c r="E6733" s="43">
        <f>C6733</f>
        <v>0</v>
      </c>
      <c r="F6733" s="42"/>
    </row>
    <row r="6734" spans="1:6">
      <c r="A6734" s="39">
        <f>A6733</f>
        <v>46048</v>
      </c>
      <c r="B6734" s="40"/>
      <c r="C6734" s="40"/>
      <c r="D6734" s="41"/>
      <c r="E6734" s="43">
        <f>C6734</f>
        <v>0</v>
      </c>
      <c r="F6734" s="42"/>
    </row>
    <row r="6735" spans="1:6">
      <c r="A6735" s="39">
        <f>A6734</f>
        <v>46048</v>
      </c>
      <c r="B6735" s="40"/>
      <c r="C6735" s="40"/>
      <c r="D6735" s="41"/>
      <c r="E6735" s="43">
        <f>C6735</f>
        <v>0</v>
      </c>
      <c r="F6735" s="42"/>
    </row>
    <row r="6736" spans="1:6">
      <c r="A6736" s="39">
        <f>A6735</f>
        <v>46048</v>
      </c>
      <c r="B6736" s="40"/>
      <c r="C6736" s="40"/>
      <c r="D6736" s="41"/>
      <c r="E6736" s="43">
        <f>C6736</f>
        <v>0</v>
      </c>
      <c r="F6736" s="42"/>
    </row>
    <row r="6737" spans="1:6">
      <c r="A6737" s="39">
        <f>A6736</f>
        <v>46048</v>
      </c>
      <c r="B6737" s="40"/>
      <c r="C6737" s="40"/>
      <c r="D6737" s="41"/>
      <c r="E6737" s="43">
        <f>C6737</f>
        <v>0</v>
      </c>
      <c r="F6737" s="42"/>
    </row>
    <row r="6738" spans="1:6">
      <c r="A6738" s="39">
        <f>A6737</f>
        <v>46048</v>
      </c>
      <c r="B6738" s="40"/>
      <c r="C6738" s="40"/>
      <c r="D6738" s="41"/>
      <c r="E6738" s="43">
        <f>C6738</f>
        <v>0</v>
      </c>
      <c r="F6738" s="42"/>
    </row>
    <row r="6739" spans="1:6">
      <c r="A6739" s="39">
        <f>A6738</f>
        <v>46048</v>
      </c>
      <c r="B6739" s="40"/>
      <c r="C6739" s="40"/>
      <c r="D6739" s="41"/>
      <c r="E6739" s="43">
        <f>C6739</f>
        <v>0</v>
      </c>
      <c r="F6739" s="42"/>
    </row>
    <row r="6740" spans="1:6">
      <c r="A6740" s="39">
        <f>A6739</f>
        <v>46048</v>
      </c>
      <c r="B6740" s="40"/>
      <c r="C6740" s="40"/>
      <c r="D6740" s="41"/>
      <c r="E6740" s="43">
        <f>C6740</f>
        <v>0</v>
      </c>
      <c r="F6740" s="42"/>
    </row>
    <row r="6741" spans="1:6">
      <c r="A6741" s="39">
        <f>A6740</f>
        <v>46048</v>
      </c>
      <c r="B6741" s="40"/>
      <c r="C6741" s="40"/>
      <c r="D6741" s="41"/>
      <c r="E6741" s="43">
        <f>C6741</f>
        <v>0</v>
      </c>
      <c r="F6741" s="42"/>
    </row>
    <row r="6742" spans="1:6">
      <c r="A6742" s="39">
        <f>A6741</f>
        <v>46048</v>
      </c>
      <c r="B6742" s="40"/>
      <c r="C6742" s="40"/>
      <c r="D6742" s="41"/>
      <c r="E6742" s="43">
        <f>C6742</f>
        <v>0</v>
      </c>
      <c r="F6742" s="42"/>
    </row>
    <row r="6743" spans="1:6">
      <c r="A6743" s="39">
        <f>A6742</f>
        <v>46048</v>
      </c>
      <c r="B6743" s="40"/>
      <c r="C6743" s="40"/>
      <c r="D6743" s="41"/>
      <c r="E6743" s="43">
        <f>C6743</f>
        <v>0</v>
      </c>
      <c r="F6743" s="42"/>
    </row>
    <row r="6744" spans="1:6">
      <c r="A6744" s="39">
        <f>A6743</f>
        <v>46048</v>
      </c>
      <c r="B6744" s="40"/>
      <c r="C6744" s="40"/>
      <c r="D6744" s="41"/>
      <c r="E6744" s="43">
        <f>C6744</f>
        <v>0</v>
      </c>
      <c r="F6744" s="42"/>
    </row>
    <row r="6745" spans="1:6">
      <c r="A6745" s="39">
        <f>A6744</f>
        <v>46048</v>
      </c>
      <c r="B6745" s="40"/>
      <c r="C6745" s="40"/>
      <c r="D6745" s="41"/>
      <c r="E6745" s="43">
        <f>C6745</f>
        <v>0</v>
      </c>
      <c r="F6745" s="42"/>
    </row>
    <row r="6746" spans="1:6">
      <c r="A6746" s="39">
        <f>A6745</f>
        <v>46048</v>
      </c>
      <c r="B6746" s="40"/>
      <c r="C6746" s="40"/>
      <c r="D6746" s="41"/>
      <c r="E6746" s="43">
        <f>C6746</f>
        <v>0</v>
      </c>
      <c r="F6746" s="42"/>
    </row>
    <row r="6747" spans="1:6">
      <c r="A6747" s="39">
        <f>A6746</f>
        <v>46048</v>
      </c>
      <c r="B6747" s="40"/>
      <c r="C6747" s="40"/>
      <c r="D6747" s="41"/>
      <c r="E6747" s="43">
        <f>C6747</f>
        <v>0</v>
      </c>
      <c r="F6747" s="42"/>
    </row>
    <row r="6748" spans="1:6">
      <c r="A6748" s="39">
        <f>A6747</f>
        <v>46048</v>
      </c>
      <c r="B6748" s="40"/>
      <c r="C6748" s="40"/>
      <c r="D6748" s="41"/>
      <c r="E6748" s="43">
        <f>C6748</f>
        <v>0</v>
      </c>
      <c r="F6748" s="42"/>
    </row>
    <row r="6749" spans="1:6">
      <c r="A6749" s="39">
        <f>A6748</f>
        <v>46048</v>
      </c>
      <c r="B6749" s="40"/>
      <c r="C6749" s="40"/>
      <c r="D6749" s="41"/>
      <c r="E6749" s="43">
        <f>C6749</f>
        <v>0</v>
      </c>
      <c r="F6749" s="42"/>
    </row>
    <row r="6750" spans="1:6">
      <c r="A6750" s="39">
        <f>A6749</f>
        <v>46048</v>
      </c>
      <c r="B6750" s="40"/>
      <c r="C6750" s="40"/>
      <c r="D6750" s="41"/>
      <c r="E6750" s="43">
        <f>C6750</f>
        <v>0</v>
      </c>
      <c r="F6750" s="42"/>
    </row>
    <row r="6751" spans="1:6">
      <c r="A6751" s="39">
        <f>A6750</f>
        <v>46048</v>
      </c>
      <c r="B6751" s="40"/>
      <c r="C6751" s="40"/>
      <c r="D6751" s="41"/>
      <c r="E6751" s="43">
        <f>C6751</f>
        <v>0</v>
      </c>
      <c r="F6751" s="42"/>
    </row>
    <row r="6752" spans="1:6">
      <c r="A6752" s="39">
        <f>A6751</f>
        <v>46048</v>
      </c>
      <c r="B6752" s="40"/>
      <c r="C6752" s="40"/>
      <c r="D6752" s="41"/>
      <c r="E6752" s="43">
        <f>C6752</f>
        <v>0</v>
      </c>
      <c r="F6752" s="42"/>
    </row>
    <row r="6753" spans="1:6">
      <c r="A6753" s="39">
        <f>A6752</f>
        <v>46048</v>
      </c>
      <c r="B6753" s="40"/>
      <c r="C6753" s="40"/>
      <c r="D6753" s="41"/>
      <c r="E6753" s="43">
        <f>C6753</f>
        <v>0</v>
      </c>
      <c r="F6753" s="42"/>
    </row>
    <row r="6754" spans="1:6">
      <c r="A6754" s="39">
        <f>A6753</f>
        <v>46048</v>
      </c>
      <c r="B6754" s="40"/>
      <c r="C6754" s="40"/>
      <c r="D6754" s="41"/>
      <c r="E6754" s="43">
        <f>C6754</f>
        <v>0</v>
      </c>
      <c r="F6754" s="42"/>
    </row>
    <row r="6755" spans="1:6">
      <c r="A6755" s="39">
        <f>A6754</f>
        <v>46048</v>
      </c>
      <c r="B6755" s="40"/>
      <c r="C6755" s="40"/>
      <c r="D6755" s="41"/>
      <c r="E6755" s="43">
        <f>C6755</f>
        <v>0</v>
      </c>
      <c r="F6755" s="42"/>
    </row>
    <row r="6756" spans="1:6">
      <c r="A6756" s="39">
        <f>A6755</f>
        <v>46048</v>
      </c>
      <c r="B6756" s="40"/>
      <c r="C6756" s="40"/>
      <c r="D6756" s="41"/>
      <c r="E6756" s="43">
        <f>C6756</f>
        <v>0</v>
      </c>
      <c r="F6756" s="42"/>
    </row>
    <row r="6757" spans="1:6">
      <c r="A6757" s="39">
        <f>A6756</f>
        <v>46048</v>
      </c>
      <c r="B6757" s="40"/>
      <c r="C6757" s="40"/>
      <c r="D6757" s="41"/>
      <c r="E6757" s="43">
        <f>C6757</f>
        <v>0</v>
      </c>
      <c r="F6757" s="42"/>
    </row>
    <row r="6758" spans="1:6">
      <c r="A6758" s="39">
        <f>A6757</f>
        <v>46048</v>
      </c>
      <c r="B6758" s="40"/>
      <c r="C6758" s="40"/>
      <c r="D6758" s="41"/>
      <c r="E6758" s="43">
        <f>C6758</f>
        <v>0</v>
      </c>
      <c r="F6758" s="42"/>
    </row>
    <row r="6759" spans="1:6">
      <c r="A6759" s="39">
        <f>A6758</f>
        <v>46048</v>
      </c>
      <c r="B6759" s="40"/>
      <c r="C6759" s="40"/>
      <c r="D6759" s="41"/>
      <c r="E6759" s="43">
        <f>C6759</f>
        <v>0</v>
      </c>
      <c r="F6759" s="42"/>
    </row>
    <row r="6760" spans="1:6">
      <c r="A6760" s="39">
        <f>A6759</f>
        <v>46048</v>
      </c>
      <c r="B6760" s="40"/>
      <c r="C6760" s="40"/>
      <c r="D6760" s="41"/>
      <c r="E6760" s="43">
        <f>C6760</f>
        <v>0</v>
      </c>
      <c r="F6760" s="42"/>
    </row>
    <row r="6761" spans="1:6">
      <c r="A6761" s="39">
        <f>A6760</f>
        <v>46048</v>
      </c>
      <c r="B6761" s="40"/>
      <c r="C6761" s="40"/>
      <c r="D6761" s="41"/>
      <c r="E6761" s="43">
        <f>C6761</f>
        <v>0</v>
      </c>
      <c r="F6761" s="42"/>
    </row>
    <row r="6762" spans="1:6">
      <c r="A6762" s="39">
        <f>A6761</f>
        <v>46048</v>
      </c>
      <c r="B6762" s="40"/>
      <c r="C6762" s="40"/>
      <c r="D6762" s="41"/>
      <c r="E6762" s="43">
        <f>C6762</f>
        <v>0</v>
      </c>
      <c r="F6762" s="42"/>
    </row>
    <row r="6763" spans="1:6">
      <c r="A6763" s="39">
        <f>A6762</f>
        <v>46048</v>
      </c>
      <c r="B6763" s="40"/>
      <c r="C6763" s="40"/>
      <c r="D6763" s="41"/>
      <c r="E6763" s="43">
        <f>C6763</f>
        <v>0</v>
      </c>
      <c r="F6763" s="42"/>
    </row>
    <row r="6764" spans="1:6">
      <c r="A6764" s="39">
        <f>A6763</f>
        <v>46048</v>
      </c>
      <c r="B6764" s="40"/>
      <c r="C6764" s="40"/>
      <c r="D6764" s="41"/>
      <c r="E6764" s="43">
        <f>C6764</f>
        <v>0</v>
      </c>
      <c r="F6764" s="42"/>
    </row>
    <row r="6765" spans="1:6">
      <c r="A6765" s="39">
        <f>A6764</f>
        <v>46048</v>
      </c>
      <c r="B6765" s="40"/>
      <c r="C6765" s="40"/>
      <c r="D6765" s="41"/>
      <c r="E6765" s="43">
        <f>C6765</f>
        <v>0</v>
      </c>
      <c r="F6765" s="42"/>
    </row>
    <row r="6766" spans="1:6">
      <c r="A6766" s="39">
        <f>A6765</f>
        <v>46048</v>
      </c>
      <c r="B6766" s="40"/>
      <c r="C6766" s="40"/>
      <c r="D6766" s="41"/>
      <c r="E6766" s="43">
        <f>C6766</f>
        <v>0</v>
      </c>
      <c r="F6766" s="42"/>
    </row>
    <row r="6767" spans="1:6">
      <c r="A6767" s="39">
        <f>A6766</f>
        <v>46048</v>
      </c>
      <c r="B6767" s="40"/>
      <c r="C6767" s="40"/>
      <c r="D6767" s="41"/>
      <c r="E6767" s="43">
        <f>C6767</f>
        <v>0</v>
      </c>
      <c r="F6767" s="42"/>
    </row>
    <row r="6768" spans="1:6">
      <c r="A6768" s="39">
        <f>A6767</f>
        <v>46048</v>
      </c>
      <c r="B6768" s="40"/>
      <c r="C6768" s="40"/>
      <c r="D6768" s="41"/>
      <c r="E6768" s="43">
        <f>C6768</f>
        <v>0</v>
      </c>
      <c r="F6768" s="42"/>
    </row>
    <row r="6769" spans="1:6">
      <c r="A6769" s="39">
        <f>A6768</f>
        <v>46048</v>
      </c>
      <c r="B6769" s="40"/>
      <c r="C6769" s="40"/>
      <c r="D6769" s="41"/>
      <c r="E6769" s="43">
        <f>C6769</f>
        <v>0</v>
      </c>
      <c r="F6769" s="42"/>
    </row>
    <row r="6770" spans="1:6">
      <c r="A6770" s="39">
        <f>A6769</f>
        <v>46048</v>
      </c>
      <c r="B6770" s="40"/>
      <c r="C6770" s="40"/>
      <c r="D6770" s="41"/>
      <c r="E6770" s="43">
        <f>C6770</f>
        <v>0</v>
      </c>
      <c r="F6770" s="42"/>
    </row>
    <row r="6771" spans="1:6">
      <c r="A6771" s="39">
        <f>A6770</f>
        <v>46048</v>
      </c>
      <c r="B6771" s="40"/>
      <c r="C6771" s="40"/>
      <c r="D6771" s="41"/>
      <c r="E6771" s="43">
        <f>C6771</f>
        <v>0</v>
      </c>
      <c r="F6771" s="42"/>
    </row>
    <row r="6772" spans="1:6">
      <c r="A6772" s="39">
        <f>A6771</f>
        <v>46048</v>
      </c>
      <c r="B6772" s="40"/>
      <c r="C6772" s="40"/>
      <c r="D6772" s="41"/>
      <c r="E6772" s="43">
        <f>C6772</f>
        <v>0</v>
      </c>
      <c r="F6772" s="42"/>
    </row>
    <row r="6773" spans="1:6">
      <c r="A6773" s="39">
        <f>A6772</f>
        <v>46048</v>
      </c>
      <c r="B6773" s="40"/>
      <c r="C6773" s="40"/>
      <c r="D6773" s="41"/>
      <c r="E6773" s="43">
        <f>C6773</f>
        <v>0</v>
      </c>
      <c r="F6773" s="42"/>
    </row>
    <row r="6774" spans="1:6">
      <c r="A6774" s="39">
        <f>A6773</f>
        <v>46048</v>
      </c>
      <c r="B6774" s="40"/>
      <c r="C6774" s="40"/>
      <c r="D6774" s="41"/>
      <c r="E6774" s="43">
        <f>C6774</f>
        <v>0</v>
      </c>
      <c r="F6774" s="42"/>
    </row>
    <row r="6775" spans="1:6">
      <c r="A6775" s="39">
        <f>A6774</f>
        <v>46048</v>
      </c>
      <c r="B6775" s="40"/>
      <c r="C6775" s="40"/>
      <c r="D6775" s="41"/>
      <c r="E6775" s="43">
        <f>C6775</f>
        <v>0</v>
      </c>
      <c r="F6775" s="42"/>
    </row>
    <row r="6776" spans="1:6">
      <c r="A6776" s="39">
        <f>A6775</f>
        <v>46048</v>
      </c>
      <c r="B6776" s="40"/>
      <c r="C6776" s="40"/>
      <c r="D6776" s="41"/>
      <c r="E6776" s="43">
        <f>C6776</f>
        <v>0</v>
      </c>
      <c r="F6776" s="42"/>
    </row>
    <row r="6777" spans="1:6">
      <c r="A6777" s="39">
        <f>A6776</f>
        <v>46048</v>
      </c>
      <c r="B6777" s="40"/>
      <c r="C6777" s="40"/>
      <c r="D6777" s="41"/>
      <c r="E6777" s="43">
        <f>C6777</f>
        <v>0</v>
      </c>
      <c r="F6777" s="42"/>
    </row>
    <row r="6778" spans="1:6">
      <c r="A6778" s="39">
        <f>A6777</f>
        <v>46048</v>
      </c>
      <c r="B6778" s="40"/>
      <c r="C6778" s="40"/>
      <c r="D6778" s="41"/>
      <c r="E6778" s="43">
        <f>C6778</f>
        <v>0</v>
      </c>
      <c r="F6778" s="42"/>
    </row>
    <row r="6779" spans="1:6">
      <c r="A6779" s="39">
        <f>A6778</f>
        <v>46048</v>
      </c>
      <c r="B6779" s="40"/>
      <c r="C6779" s="40"/>
      <c r="D6779" s="41"/>
      <c r="E6779" s="43">
        <f>C6779</f>
        <v>0</v>
      </c>
      <c r="F6779" s="42"/>
    </row>
    <row r="6780" spans="1:6">
      <c r="A6780" s="39">
        <f>A6779</f>
        <v>46048</v>
      </c>
      <c r="B6780" s="40"/>
      <c r="C6780" s="40"/>
      <c r="D6780" s="41"/>
      <c r="E6780" s="43">
        <f>C6780</f>
        <v>0</v>
      </c>
      <c r="F6780" s="42"/>
    </row>
    <row r="6781" spans="1:6">
      <c r="A6781" s="39">
        <f>A6780</f>
        <v>46048</v>
      </c>
      <c r="B6781" s="40"/>
      <c r="C6781" s="40"/>
      <c r="D6781" s="41"/>
      <c r="E6781" s="43">
        <f>C6781</f>
        <v>0</v>
      </c>
      <c r="F6781" s="42"/>
    </row>
    <row r="6782" spans="1:6">
      <c r="A6782" s="39">
        <f>A6781</f>
        <v>46048</v>
      </c>
      <c r="B6782" s="40"/>
      <c r="C6782" s="40"/>
      <c r="D6782" s="41"/>
      <c r="E6782" s="43">
        <f>C6782</f>
        <v>0</v>
      </c>
      <c r="F6782" s="42"/>
    </row>
    <row r="6783" spans="1:6">
      <c r="A6783" s="39">
        <f>A6782</f>
        <v>46048</v>
      </c>
      <c r="B6783" s="40"/>
      <c r="C6783" s="40"/>
      <c r="D6783" s="41"/>
      <c r="E6783" s="43">
        <f>C6783</f>
        <v>0</v>
      </c>
      <c r="F6783" s="42"/>
    </row>
    <row r="6784" spans="1:6">
      <c r="A6784" s="39">
        <f>A6783</f>
        <v>46048</v>
      </c>
      <c r="B6784" s="40"/>
      <c r="C6784" s="40"/>
      <c r="D6784" s="41"/>
      <c r="E6784" s="43">
        <f>C6784</f>
        <v>0</v>
      </c>
      <c r="F6784" s="42"/>
    </row>
    <row r="6785" spans="1:6">
      <c r="A6785" s="39">
        <f>A6784</f>
        <v>46048</v>
      </c>
      <c r="B6785" s="40"/>
      <c r="C6785" s="40"/>
      <c r="D6785" s="41"/>
      <c r="E6785" s="43">
        <f>C6785</f>
        <v>0</v>
      </c>
      <c r="F6785" s="42"/>
    </row>
    <row r="6786" spans="1:6">
      <c r="A6786" s="39">
        <f>A6785</f>
        <v>46048</v>
      </c>
      <c r="B6786" s="40"/>
      <c r="C6786" s="40"/>
      <c r="D6786" s="41"/>
      <c r="E6786" s="43">
        <f>C6786</f>
        <v>0</v>
      </c>
      <c r="F6786" s="42"/>
    </row>
    <row r="6787" spans="1:6">
      <c r="A6787" s="39">
        <f>A6786</f>
        <v>46048</v>
      </c>
      <c r="B6787" s="40"/>
      <c r="C6787" s="40"/>
      <c r="D6787" s="41"/>
      <c r="E6787" s="43">
        <f>C6787</f>
        <v>0</v>
      </c>
      <c r="F6787" s="42"/>
    </row>
    <row r="6788" spans="1:6">
      <c r="A6788" s="39">
        <f>A6787</f>
        <v>46048</v>
      </c>
      <c r="B6788" s="40"/>
      <c r="C6788" s="40"/>
      <c r="D6788" s="41"/>
      <c r="E6788" s="43">
        <f>C6788</f>
        <v>0</v>
      </c>
      <c r="F6788" s="42"/>
    </row>
    <row r="6789" spans="1:6">
      <c r="A6789" s="39">
        <f>A6788</f>
        <v>46048</v>
      </c>
      <c r="B6789" s="40"/>
      <c r="C6789" s="40"/>
      <c r="D6789" s="41"/>
      <c r="E6789" s="43">
        <f>C6789</f>
        <v>0</v>
      </c>
      <c r="F6789" s="42"/>
    </row>
    <row r="6790" spans="1:6">
      <c r="A6790" s="39">
        <f>A6789</f>
        <v>46048</v>
      </c>
      <c r="B6790" s="40"/>
      <c r="C6790" s="40"/>
      <c r="D6790" s="41"/>
      <c r="E6790" s="43">
        <f>C6790</f>
        <v>0</v>
      </c>
      <c r="F6790" s="42"/>
    </row>
    <row r="6791" spans="1:6">
      <c r="A6791" s="39">
        <f>A6790</f>
        <v>46048</v>
      </c>
      <c r="B6791" s="40"/>
      <c r="C6791" s="40"/>
      <c r="D6791" s="41"/>
      <c r="E6791" s="43">
        <f>C6791</f>
        <v>0</v>
      </c>
      <c r="F6791" s="42"/>
    </row>
    <row r="6792" spans="1:6">
      <c r="A6792" s="39">
        <f>A6791</f>
        <v>46048</v>
      </c>
      <c r="B6792" s="40"/>
      <c r="C6792" s="40"/>
      <c r="D6792" s="41"/>
      <c r="E6792" s="43">
        <f>C6792</f>
        <v>0</v>
      </c>
      <c r="F6792" s="42"/>
    </row>
    <row r="6793" spans="1:6">
      <c r="A6793" s="39">
        <f>A6792</f>
        <v>46048</v>
      </c>
      <c r="B6793" s="40"/>
      <c r="C6793" s="40"/>
      <c r="D6793" s="41"/>
      <c r="E6793" s="43">
        <f>C6793</f>
        <v>0</v>
      </c>
      <c r="F6793" s="42"/>
    </row>
    <row r="6794" spans="1:6">
      <c r="A6794" s="39">
        <f>A6793</f>
        <v>46048</v>
      </c>
      <c r="B6794" s="40"/>
      <c r="C6794" s="40"/>
      <c r="D6794" s="41"/>
      <c r="E6794" s="43">
        <f>C6794</f>
        <v>0</v>
      </c>
      <c r="F6794" s="42"/>
    </row>
    <row r="6795" spans="1:6">
      <c r="A6795" s="39">
        <f>A6794</f>
        <v>46048</v>
      </c>
      <c r="B6795" s="40"/>
      <c r="C6795" s="40"/>
      <c r="D6795" s="41"/>
      <c r="E6795" s="43">
        <f>C6795</f>
        <v>0</v>
      </c>
      <c r="F6795" s="42"/>
    </row>
    <row r="6796" spans="1:6">
      <c r="A6796" s="39">
        <f>A6795</f>
        <v>46048</v>
      </c>
      <c r="B6796" s="40"/>
      <c r="C6796" s="40"/>
      <c r="D6796" s="41"/>
      <c r="E6796" s="43">
        <f>C6796</f>
        <v>0</v>
      </c>
      <c r="F6796" s="42"/>
    </row>
    <row r="6797" spans="1:6">
      <c r="A6797" s="39">
        <f>A6796</f>
        <v>46048</v>
      </c>
      <c r="B6797" s="40"/>
      <c r="C6797" s="40"/>
      <c r="D6797" s="41"/>
      <c r="E6797" s="43">
        <f>C6797</f>
        <v>0</v>
      </c>
      <c r="F6797" s="42"/>
    </row>
    <row r="6798" spans="1:6">
      <c r="A6798" s="39">
        <f>A6797</f>
        <v>46048</v>
      </c>
      <c r="B6798" s="40"/>
      <c r="C6798" s="40"/>
      <c r="D6798" s="41"/>
      <c r="E6798" s="43">
        <f>C6798</f>
        <v>0</v>
      </c>
      <c r="F6798" s="42"/>
    </row>
    <row r="6799" spans="1:6">
      <c r="A6799" s="39">
        <f>A6798</f>
        <v>46048</v>
      </c>
      <c r="B6799" s="40"/>
      <c r="C6799" s="40"/>
      <c r="D6799" s="41"/>
      <c r="E6799" s="43">
        <f>C6799</f>
        <v>0</v>
      </c>
      <c r="F6799" s="42"/>
    </row>
    <row r="6800" spans="1:6">
      <c r="A6800" s="39">
        <f>A6799</f>
        <v>46048</v>
      </c>
      <c r="B6800" s="40"/>
      <c r="C6800" s="40"/>
      <c r="D6800" s="41"/>
      <c r="E6800" s="43">
        <f>C6800</f>
        <v>0</v>
      </c>
      <c r="F6800" s="42"/>
    </row>
    <row r="6801" spans="1:6">
      <c r="A6801" s="39">
        <f>A6800</f>
        <v>46048</v>
      </c>
      <c r="B6801" s="40"/>
      <c r="C6801" s="40"/>
      <c r="D6801" s="41"/>
      <c r="E6801" s="43">
        <f>C6801</f>
        <v>0</v>
      </c>
      <c r="F6801" s="42"/>
    </row>
    <row r="6802" spans="1:6">
      <c r="A6802" s="39">
        <f>A6801</f>
        <v>46048</v>
      </c>
      <c r="B6802" s="40"/>
      <c r="C6802" s="40"/>
      <c r="D6802" s="41"/>
      <c r="E6802" s="43">
        <f>C6802</f>
        <v>0</v>
      </c>
      <c r="F6802" s="42"/>
    </row>
    <row r="6803" spans="1:6">
      <c r="A6803" s="39">
        <f>A6802</f>
        <v>46048</v>
      </c>
      <c r="B6803" s="40"/>
      <c r="C6803" s="40"/>
      <c r="D6803" s="41"/>
      <c r="E6803" s="43">
        <f>C6803</f>
        <v>0</v>
      </c>
      <c r="F6803" s="42"/>
    </row>
    <row r="6804" spans="1:6">
      <c r="A6804" s="39">
        <f>A6803</f>
        <v>46048</v>
      </c>
      <c r="B6804" s="40"/>
      <c r="C6804" s="40"/>
      <c r="D6804" s="41"/>
      <c r="E6804" s="43">
        <f>C6804</f>
        <v>0</v>
      </c>
      <c r="F6804" s="42"/>
    </row>
    <row r="6805" spans="1:6">
      <c r="A6805" s="39">
        <f>A6804</f>
        <v>46048</v>
      </c>
      <c r="B6805" s="40"/>
      <c r="C6805" s="40"/>
      <c r="D6805" s="41"/>
      <c r="E6805" s="43">
        <f>C6805</f>
        <v>0</v>
      </c>
      <c r="F6805" s="42"/>
    </row>
    <row r="6806" spans="1:6">
      <c r="A6806" s="39">
        <f>A6805</f>
        <v>46048</v>
      </c>
      <c r="B6806" s="40"/>
      <c r="C6806" s="40"/>
      <c r="D6806" s="41"/>
      <c r="E6806" s="43">
        <f>C6806</f>
        <v>0</v>
      </c>
      <c r="F6806" s="42"/>
    </row>
    <row r="6807" spans="1:6">
      <c r="A6807" s="39">
        <f>A6806</f>
        <v>46048</v>
      </c>
      <c r="B6807" s="40"/>
      <c r="C6807" s="40"/>
      <c r="D6807" s="41"/>
      <c r="E6807" s="43">
        <f>C6807</f>
        <v>0</v>
      </c>
      <c r="F6807" s="42"/>
    </row>
    <row r="6808" spans="1:6">
      <c r="A6808" s="39">
        <f>A6807</f>
        <v>46048</v>
      </c>
      <c r="B6808" s="40"/>
      <c r="C6808" s="40"/>
      <c r="D6808" s="41"/>
      <c r="E6808" s="43">
        <f>C6808</f>
        <v>0</v>
      </c>
      <c r="F6808" s="42"/>
    </row>
    <row r="6809" spans="1:6">
      <c r="A6809" s="39">
        <f>A6808</f>
        <v>46048</v>
      </c>
      <c r="B6809" s="40"/>
      <c r="C6809" s="40"/>
      <c r="D6809" s="41"/>
      <c r="E6809" s="43">
        <f>C6809</f>
        <v>0</v>
      </c>
      <c r="F6809" s="42"/>
    </row>
    <row r="6810" spans="1:6">
      <c r="A6810" s="39">
        <f>A6809</f>
        <v>46048</v>
      </c>
      <c r="B6810" s="40"/>
      <c r="C6810" s="40"/>
      <c r="D6810" s="41"/>
      <c r="E6810" s="43">
        <f>C6810</f>
        <v>0</v>
      </c>
      <c r="F6810" s="42"/>
    </row>
    <row r="6811" spans="1:6">
      <c r="A6811" s="39">
        <f>A6810</f>
        <v>46048</v>
      </c>
      <c r="B6811" s="40"/>
      <c r="C6811" s="40"/>
      <c r="D6811" s="41"/>
      <c r="E6811" s="43">
        <f>C6811</f>
        <v>0</v>
      </c>
      <c r="F6811" s="42"/>
    </row>
    <row r="6812" spans="1:6">
      <c r="A6812" s="39">
        <f>A6811</f>
        <v>46048</v>
      </c>
      <c r="B6812" s="40"/>
      <c r="C6812" s="40"/>
      <c r="D6812" s="41"/>
      <c r="E6812" s="43">
        <f>C6812</f>
        <v>0</v>
      </c>
      <c r="F6812" s="42"/>
    </row>
    <row r="6813" spans="1:6">
      <c r="A6813" s="39">
        <f>A6812</f>
        <v>46048</v>
      </c>
      <c r="B6813" s="40"/>
      <c r="C6813" s="40"/>
      <c r="D6813" s="41"/>
      <c r="E6813" s="43">
        <f>C6813</f>
        <v>0</v>
      </c>
      <c r="F6813" s="42"/>
    </row>
    <row r="6814" spans="1:6">
      <c r="A6814" s="39">
        <f>A6813</f>
        <v>46048</v>
      </c>
      <c r="B6814" s="40"/>
      <c r="C6814" s="40"/>
      <c r="D6814" s="41"/>
      <c r="E6814" s="43">
        <f>C6814</f>
        <v>0</v>
      </c>
      <c r="F6814" s="42"/>
    </row>
    <row r="6815" spans="1:6">
      <c r="A6815" s="39">
        <f>A6814</f>
        <v>46048</v>
      </c>
      <c r="B6815" s="40"/>
      <c r="C6815" s="40"/>
      <c r="D6815" s="41"/>
      <c r="E6815" s="43">
        <f>C6815</f>
        <v>0</v>
      </c>
      <c r="F6815" s="42"/>
    </row>
    <row r="6816" spans="1:6">
      <c r="A6816" s="39">
        <f>A6815</f>
        <v>46048</v>
      </c>
      <c r="B6816" s="40"/>
      <c r="C6816" s="40"/>
      <c r="D6816" s="41"/>
      <c r="E6816" s="43">
        <f>C6816</f>
        <v>0</v>
      </c>
      <c r="F6816" s="42"/>
    </row>
    <row r="6817" spans="1:6">
      <c r="A6817" s="39">
        <f>A6816</f>
        <v>46048</v>
      </c>
      <c r="B6817" s="40"/>
      <c r="C6817" s="40"/>
      <c r="D6817" s="41"/>
      <c r="E6817" s="43">
        <f>C6817</f>
        <v>0</v>
      </c>
      <c r="F6817" s="42"/>
    </row>
    <row r="6818" spans="1:6">
      <c r="A6818" s="39">
        <f>A6817</f>
        <v>46048</v>
      </c>
      <c r="B6818" s="40"/>
      <c r="C6818" s="40"/>
      <c r="D6818" s="41"/>
      <c r="E6818" s="43">
        <f>C6818</f>
        <v>0</v>
      </c>
      <c r="F6818" s="42"/>
    </row>
    <row r="6819" spans="1:6">
      <c r="A6819" s="39">
        <f>A6818</f>
        <v>46048</v>
      </c>
      <c r="B6819" s="40"/>
      <c r="C6819" s="40"/>
      <c r="D6819" s="41"/>
      <c r="E6819" s="43">
        <f>C6819</f>
        <v>0</v>
      </c>
      <c r="F6819" s="42"/>
    </row>
    <row r="6820" spans="1:6">
      <c r="A6820" s="39">
        <f>A6819</f>
        <v>46048</v>
      </c>
      <c r="B6820" s="40"/>
      <c r="C6820" s="40"/>
      <c r="D6820" s="41"/>
      <c r="E6820" s="43">
        <f>C6820</f>
        <v>0</v>
      </c>
      <c r="F6820" s="42"/>
    </row>
    <row r="6821" spans="1:6">
      <c r="A6821" s="39">
        <f>A6820</f>
        <v>46048</v>
      </c>
      <c r="B6821" s="40"/>
      <c r="C6821" s="40"/>
      <c r="D6821" s="41"/>
      <c r="E6821" s="43">
        <f>C6821</f>
        <v>0</v>
      </c>
      <c r="F6821" s="42"/>
    </row>
    <row r="6822" spans="1:6">
      <c r="A6822" s="39">
        <f>A6821</f>
        <v>46048</v>
      </c>
      <c r="B6822" s="40"/>
      <c r="C6822" s="40"/>
      <c r="D6822" s="41"/>
      <c r="E6822" s="43">
        <f>C6822</f>
        <v>0</v>
      </c>
      <c r="F6822" s="42"/>
    </row>
    <row r="6823" spans="1:6">
      <c r="A6823" s="39">
        <f>A6822</f>
        <v>46048</v>
      </c>
      <c r="B6823" s="40"/>
      <c r="C6823" s="40"/>
      <c r="D6823" s="41"/>
      <c r="E6823" s="43">
        <f>C6823</f>
        <v>0</v>
      </c>
      <c r="F6823" s="42"/>
    </row>
    <row r="6824" spans="1:6">
      <c r="A6824" s="39">
        <f>A6823</f>
        <v>46048</v>
      </c>
      <c r="B6824" s="40"/>
      <c r="C6824" s="40"/>
      <c r="D6824" s="41"/>
      <c r="E6824" s="43">
        <f>C6824</f>
        <v>0</v>
      </c>
      <c r="F6824" s="42"/>
    </row>
    <row r="6825" spans="1:6">
      <c r="A6825" s="39">
        <f>A6824</f>
        <v>46048</v>
      </c>
      <c r="B6825" s="40"/>
      <c r="C6825" s="40"/>
      <c r="D6825" s="41"/>
      <c r="E6825" s="43">
        <f>C6825</f>
        <v>0</v>
      </c>
      <c r="F6825" s="42"/>
    </row>
    <row r="6826" spans="1:6">
      <c r="A6826" s="39">
        <f>A6825</f>
        <v>46048</v>
      </c>
      <c r="B6826" s="40"/>
      <c r="C6826" s="40"/>
      <c r="D6826" s="41"/>
      <c r="E6826" s="43">
        <f>C6826</f>
        <v>0</v>
      </c>
      <c r="F6826" s="42"/>
    </row>
    <row r="6827" spans="1:6">
      <c r="A6827" s="39">
        <f>A6826</f>
        <v>46048</v>
      </c>
      <c r="B6827" s="40"/>
      <c r="C6827" s="40"/>
      <c r="D6827" s="41"/>
      <c r="E6827" s="43">
        <f>C6827</f>
        <v>0</v>
      </c>
      <c r="F6827" s="42"/>
    </row>
    <row r="6828" spans="1:6">
      <c r="A6828" s="39">
        <f>A6827</f>
        <v>46048</v>
      </c>
      <c r="B6828" s="40"/>
      <c r="C6828" s="40"/>
      <c r="D6828" s="41"/>
      <c r="E6828" s="43">
        <f>C6828</f>
        <v>0</v>
      </c>
      <c r="F6828" s="42"/>
    </row>
    <row r="6829" spans="1:6">
      <c r="A6829" s="39">
        <f>A6828</f>
        <v>46048</v>
      </c>
      <c r="B6829" s="40"/>
      <c r="C6829" s="40"/>
      <c r="D6829" s="41"/>
      <c r="E6829" s="43">
        <f>C6829</f>
        <v>0</v>
      </c>
      <c r="F6829" s="42"/>
    </row>
    <row r="6830" spans="1:6">
      <c r="A6830" s="39">
        <f>A6829</f>
        <v>46048</v>
      </c>
      <c r="B6830" s="40"/>
      <c r="C6830" s="40"/>
      <c r="D6830" s="41"/>
      <c r="E6830" s="43">
        <f>C6830</f>
        <v>0</v>
      </c>
      <c r="F6830" s="42"/>
    </row>
    <row r="6831" spans="1:6">
      <c r="A6831" s="39">
        <f>A6830</f>
        <v>46048</v>
      </c>
      <c r="B6831" s="40"/>
      <c r="C6831" s="40"/>
      <c r="D6831" s="41"/>
      <c r="E6831" s="43">
        <f>C6831</f>
        <v>0</v>
      </c>
      <c r="F6831" s="42"/>
    </row>
    <row r="6832" spans="1:6">
      <c r="A6832" s="39">
        <f>A6831</f>
        <v>46048</v>
      </c>
      <c r="B6832" s="40"/>
      <c r="C6832" s="40"/>
      <c r="D6832" s="41"/>
      <c r="E6832" s="43">
        <f>C6832</f>
        <v>0</v>
      </c>
      <c r="F6832" s="42"/>
    </row>
    <row r="6833" spans="1:6">
      <c r="A6833" s="39">
        <f>A6832</f>
        <v>46048</v>
      </c>
      <c r="B6833" s="40"/>
      <c r="C6833" s="40"/>
      <c r="D6833" s="41"/>
      <c r="E6833" s="43">
        <f>C6833</f>
        <v>0</v>
      </c>
      <c r="F6833" s="42"/>
    </row>
    <row r="6834" spans="1:6">
      <c r="A6834" s="39">
        <f>A6833</f>
        <v>46048</v>
      </c>
      <c r="B6834" s="40"/>
      <c r="C6834" s="40"/>
      <c r="D6834" s="41"/>
      <c r="E6834" s="43">
        <f>C6834</f>
        <v>0</v>
      </c>
      <c r="F6834" s="42"/>
    </row>
    <row r="6835" spans="1:6">
      <c r="A6835" s="39">
        <f>A6834</f>
        <v>46048</v>
      </c>
      <c r="B6835" s="40"/>
      <c r="C6835" s="40"/>
      <c r="D6835" s="41"/>
      <c r="E6835" s="43">
        <f>C6835</f>
        <v>0</v>
      </c>
      <c r="F6835" s="42"/>
    </row>
    <row r="6836" spans="1:6">
      <c r="A6836" s="39">
        <f>A6835</f>
        <v>46048</v>
      </c>
      <c r="B6836" s="40"/>
      <c r="C6836" s="40"/>
      <c r="D6836" s="41"/>
      <c r="E6836" s="43">
        <f>C6836</f>
        <v>0</v>
      </c>
      <c r="F6836" s="42"/>
    </row>
    <row r="6837" spans="1:6">
      <c r="A6837" s="39">
        <f>A6836</f>
        <v>46048</v>
      </c>
      <c r="B6837" s="40"/>
      <c r="C6837" s="40"/>
      <c r="D6837" s="41"/>
      <c r="E6837" s="43">
        <f>C6837</f>
        <v>0</v>
      </c>
      <c r="F6837" s="42"/>
    </row>
    <row r="6838" spans="1:6">
      <c r="A6838" s="39">
        <f>A6837</f>
        <v>46048</v>
      </c>
      <c r="B6838" s="40"/>
      <c r="C6838" s="40"/>
      <c r="D6838" s="41"/>
      <c r="E6838" s="43">
        <f>C6838</f>
        <v>0</v>
      </c>
      <c r="F6838" s="42"/>
    </row>
    <row r="6839" spans="1:6">
      <c r="A6839" s="39">
        <f>A6838</f>
        <v>46048</v>
      </c>
      <c r="B6839" s="40"/>
      <c r="C6839" s="40"/>
      <c r="D6839" s="41"/>
      <c r="E6839" s="43">
        <f>C6839</f>
        <v>0</v>
      </c>
      <c r="F6839" s="42"/>
    </row>
    <row r="6840" spans="1:6">
      <c r="A6840" s="39">
        <f>A6839</f>
        <v>46048</v>
      </c>
      <c r="B6840" s="40"/>
      <c r="C6840" s="40"/>
      <c r="D6840" s="41"/>
      <c r="E6840" s="43">
        <f>C6840</f>
        <v>0</v>
      </c>
      <c r="F6840" s="42"/>
    </row>
    <row r="6841" spans="1:6">
      <c r="A6841" s="39">
        <f>A6840</f>
        <v>46048</v>
      </c>
      <c r="B6841" s="40"/>
      <c r="C6841" s="40"/>
      <c r="D6841" s="41"/>
      <c r="E6841" s="43">
        <f>C6841</f>
        <v>0</v>
      </c>
      <c r="F6841" s="42"/>
    </row>
    <row r="6842" spans="1:6">
      <c r="A6842" s="39">
        <f>A6841</f>
        <v>46048</v>
      </c>
      <c r="B6842" s="40"/>
      <c r="C6842" s="40"/>
      <c r="D6842" s="41"/>
      <c r="E6842" s="43">
        <f>C6842</f>
        <v>0</v>
      </c>
      <c r="F6842" s="42"/>
    </row>
    <row r="6843" spans="1:6">
      <c r="A6843" s="39">
        <f>A6842</f>
        <v>46048</v>
      </c>
      <c r="B6843" s="40"/>
      <c r="C6843" s="40"/>
      <c r="D6843" s="41"/>
      <c r="E6843" s="43">
        <f>C6843</f>
        <v>0</v>
      </c>
      <c r="F6843" s="42"/>
    </row>
    <row r="6844" spans="1:6">
      <c r="A6844" s="39">
        <f>A6843</f>
        <v>46048</v>
      </c>
      <c r="B6844" s="40"/>
      <c r="C6844" s="40"/>
      <c r="D6844" s="41"/>
      <c r="E6844" s="43">
        <f>C6844</f>
        <v>0</v>
      </c>
      <c r="F6844" s="42"/>
    </row>
    <row r="6845" spans="1:6">
      <c r="A6845" s="39">
        <f>A6844</f>
        <v>46048</v>
      </c>
      <c r="B6845" s="40"/>
      <c r="C6845" s="40"/>
      <c r="D6845" s="41"/>
      <c r="E6845" s="43">
        <f>C6845</f>
        <v>0</v>
      </c>
      <c r="F6845" s="42"/>
    </row>
    <row r="6846" spans="1:6">
      <c r="A6846" s="39">
        <f>A6845</f>
        <v>46048</v>
      </c>
      <c r="B6846" s="40"/>
      <c r="C6846" s="40"/>
      <c r="D6846" s="41"/>
      <c r="E6846" s="43">
        <f>C6846</f>
        <v>0</v>
      </c>
      <c r="F6846" s="42"/>
    </row>
    <row r="6847" spans="1:6">
      <c r="A6847" s="39">
        <f>A6846</f>
        <v>46048</v>
      </c>
      <c r="B6847" s="40"/>
      <c r="C6847" s="40"/>
      <c r="D6847" s="41"/>
      <c r="E6847" s="43">
        <f>C6847</f>
        <v>0</v>
      </c>
      <c r="F6847" s="42"/>
    </row>
    <row r="6848" spans="1:6">
      <c r="A6848" s="39">
        <f>A6847</f>
        <v>46048</v>
      </c>
      <c r="B6848" s="40"/>
      <c r="C6848" s="40"/>
      <c r="D6848" s="41"/>
      <c r="E6848" s="43">
        <f>C6848</f>
        <v>0</v>
      </c>
      <c r="F6848" s="42"/>
    </row>
    <row r="6849" spans="1:6">
      <c r="A6849" s="39">
        <f>A6848</f>
        <v>46048</v>
      </c>
      <c r="B6849" s="40"/>
      <c r="C6849" s="40"/>
      <c r="D6849" s="41"/>
      <c r="E6849" s="43">
        <f>C6849</f>
        <v>0</v>
      </c>
      <c r="F6849" s="42"/>
    </row>
    <row r="6850" spans="1:6">
      <c r="A6850" s="39">
        <f>A6849</f>
        <v>46048</v>
      </c>
      <c r="B6850" s="40"/>
      <c r="C6850" s="40"/>
      <c r="D6850" s="41"/>
      <c r="E6850" s="43">
        <f>C6850</f>
        <v>0</v>
      </c>
      <c r="F6850" s="42"/>
    </row>
    <row r="6851" spans="1:6">
      <c r="A6851" s="39">
        <f>A6850</f>
        <v>46048</v>
      </c>
      <c r="B6851" s="40"/>
      <c r="C6851" s="40"/>
      <c r="D6851" s="41"/>
      <c r="E6851" s="43">
        <f>C6851</f>
        <v>0</v>
      </c>
      <c r="F6851" s="42"/>
    </row>
    <row r="6852" spans="1:6">
      <c r="A6852" s="39">
        <f>A6851</f>
        <v>46048</v>
      </c>
      <c r="B6852" s="40"/>
      <c r="C6852" s="40"/>
      <c r="D6852" s="41"/>
      <c r="E6852" s="43">
        <f>C6852</f>
        <v>0</v>
      </c>
      <c r="F6852" s="42"/>
    </row>
    <row r="6853" spans="1:6">
      <c r="A6853" s="39">
        <f>A6852</f>
        <v>46048</v>
      </c>
      <c r="B6853" s="40"/>
      <c r="C6853" s="40"/>
      <c r="D6853" s="41"/>
      <c r="E6853" s="43">
        <f>C6853</f>
        <v>0</v>
      </c>
      <c r="F6853" s="42"/>
    </row>
    <row r="6854" spans="1:6">
      <c r="A6854" s="39">
        <f>A6853</f>
        <v>46048</v>
      </c>
      <c r="B6854" s="40"/>
      <c r="C6854" s="40"/>
      <c r="D6854" s="41"/>
      <c r="E6854" s="43">
        <f>C6854</f>
        <v>0</v>
      </c>
      <c r="F6854" s="42"/>
    </row>
    <row r="6855" spans="1:6">
      <c r="A6855" s="39">
        <f>A6854</f>
        <v>46048</v>
      </c>
      <c r="B6855" s="40"/>
      <c r="C6855" s="40"/>
      <c r="D6855" s="41"/>
      <c r="E6855" s="43">
        <f>C6855</f>
        <v>0</v>
      </c>
      <c r="F6855" s="42"/>
    </row>
    <row r="6856" spans="1:6">
      <c r="A6856" s="39">
        <f>A6855</f>
        <v>46048</v>
      </c>
      <c r="B6856" s="40"/>
      <c r="C6856" s="40"/>
      <c r="D6856" s="41"/>
      <c r="E6856" s="43">
        <f>C6856</f>
        <v>0</v>
      </c>
      <c r="F6856" s="42"/>
    </row>
    <row r="6857" spans="1:6">
      <c r="A6857" s="39">
        <f>A6856</f>
        <v>46048</v>
      </c>
      <c r="B6857" s="40"/>
      <c r="C6857" s="40"/>
      <c r="D6857" s="41"/>
      <c r="E6857" s="43">
        <f>C6857</f>
        <v>0</v>
      </c>
      <c r="F6857" s="42"/>
    </row>
    <row r="6858" spans="1:6">
      <c r="A6858" s="39">
        <f>A6857</f>
        <v>46048</v>
      </c>
      <c r="B6858" s="40"/>
      <c r="C6858" s="40"/>
      <c r="D6858" s="41"/>
      <c r="E6858" s="43">
        <f>C6858</f>
        <v>0</v>
      </c>
      <c r="F6858" s="42"/>
    </row>
    <row r="6859" spans="1:6">
      <c r="A6859" s="39">
        <f>A6858</f>
        <v>46048</v>
      </c>
      <c r="B6859" s="40"/>
      <c r="C6859" s="40"/>
      <c r="D6859" s="41"/>
      <c r="E6859" s="43">
        <f>C6859</f>
        <v>0</v>
      </c>
      <c r="F6859" s="42"/>
    </row>
    <row r="6860" spans="1:6">
      <c r="A6860" s="39">
        <f>A6859</f>
        <v>46048</v>
      </c>
      <c r="B6860" s="40"/>
      <c r="C6860" s="40"/>
      <c r="D6860" s="41"/>
      <c r="E6860" s="43">
        <f>C6860</f>
        <v>0</v>
      </c>
      <c r="F6860" s="42"/>
    </row>
    <row r="6861" spans="1:6">
      <c r="A6861" s="39">
        <f>A6860</f>
        <v>46048</v>
      </c>
      <c r="B6861" s="40"/>
      <c r="C6861" s="40"/>
      <c r="D6861" s="41"/>
      <c r="E6861" s="43">
        <f>C6861</f>
        <v>0</v>
      </c>
      <c r="F6861" s="42"/>
    </row>
    <row r="6862" spans="1:6">
      <c r="A6862" s="39">
        <f>A6861</f>
        <v>46048</v>
      </c>
      <c r="B6862" s="40"/>
      <c r="C6862" s="40"/>
      <c r="D6862" s="41"/>
      <c r="E6862" s="43">
        <f>C6862</f>
        <v>0</v>
      </c>
      <c r="F6862" s="42"/>
    </row>
    <row r="6863" spans="1:6">
      <c r="A6863" s="39">
        <f>A6862</f>
        <v>46048</v>
      </c>
      <c r="B6863" s="40"/>
      <c r="C6863" s="40"/>
      <c r="D6863" s="41"/>
      <c r="E6863" s="43">
        <f>C6863</f>
        <v>0</v>
      </c>
      <c r="F6863" s="42"/>
    </row>
    <row r="6864" spans="1:6">
      <c r="A6864" s="39">
        <f>A6863</f>
        <v>46048</v>
      </c>
      <c r="B6864" s="40"/>
      <c r="C6864" s="40"/>
      <c r="D6864" s="41"/>
      <c r="E6864" s="43">
        <f>C6864</f>
        <v>0</v>
      </c>
      <c r="F6864" s="42"/>
    </row>
    <row r="6865" spans="1:6">
      <c r="A6865" s="39">
        <f>A6864</f>
        <v>46048</v>
      </c>
      <c r="B6865" s="40"/>
      <c r="C6865" s="40"/>
      <c r="D6865" s="41"/>
      <c r="E6865" s="43">
        <f>C6865</f>
        <v>0</v>
      </c>
      <c r="F6865" s="42"/>
    </row>
    <row r="6866" spans="1:6">
      <c r="A6866" s="39">
        <f>A6865</f>
        <v>46048</v>
      </c>
      <c r="B6866" s="40"/>
      <c r="C6866" s="40"/>
      <c r="D6866" s="41"/>
      <c r="E6866" s="43">
        <f>C6866</f>
        <v>0</v>
      </c>
      <c r="F6866" s="42"/>
    </row>
    <row r="6867" spans="1:6">
      <c r="A6867" s="39">
        <f>A6866</f>
        <v>46048</v>
      </c>
      <c r="B6867" s="40"/>
      <c r="C6867" s="40"/>
      <c r="D6867" s="41"/>
      <c r="E6867" s="43">
        <f>C6867</f>
        <v>0</v>
      </c>
      <c r="F6867" s="42"/>
    </row>
    <row r="6868" spans="1:6">
      <c r="A6868" s="39">
        <f>A6867</f>
        <v>46048</v>
      </c>
      <c r="B6868" s="40"/>
      <c r="C6868" s="40"/>
      <c r="D6868" s="41"/>
      <c r="E6868" s="43">
        <f>C6868</f>
        <v>0</v>
      </c>
      <c r="F6868" s="42"/>
    </row>
    <row r="6869" spans="1:6">
      <c r="A6869" s="39">
        <f>A6868</f>
        <v>46048</v>
      </c>
      <c r="B6869" s="40"/>
      <c r="C6869" s="40"/>
      <c r="D6869" s="41"/>
      <c r="E6869" s="43">
        <f>C6869</f>
        <v>0</v>
      </c>
      <c r="F6869" s="42"/>
    </row>
    <row r="6870" spans="1:6">
      <c r="A6870" s="39">
        <f>A6869</f>
        <v>46048</v>
      </c>
      <c r="B6870" s="40"/>
      <c r="C6870" s="40"/>
      <c r="D6870" s="41"/>
      <c r="E6870" s="43">
        <f>C6870</f>
        <v>0</v>
      </c>
      <c r="F6870" s="42"/>
    </row>
    <row r="6871" spans="1:6">
      <c r="A6871" s="39">
        <f>A6870</f>
        <v>46048</v>
      </c>
      <c r="B6871" s="40"/>
      <c r="C6871" s="40"/>
      <c r="D6871" s="41"/>
      <c r="E6871" s="43">
        <f>C6871</f>
        <v>0</v>
      </c>
      <c r="F6871" s="42"/>
    </row>
    <row r="6872" spans="1:6">
      <c r="A6872" s="39">
        <f>A6871</f>
        <v>46048</v>
      </c>
      <c r="B6872" s="40"/>
      <c r="C6872" s="40"/>
      <c r="D6872" s="41"/>
      <c r="E6872" s="43">
        <f>C6872</f>
        <v>0</v>
      </c>
      <c r="F6872" s="42"/>
    </row>
    <row r="6873" spans="1:6">
      <c r="A6873" s="39">
        <f>A6872</f>
        <v>46048</v>
      </c>
      <c r="B6873" s="40"/>
      <c r="C6873" s="40"/>
      <c r="D6873" s="41"/>
      <c r="E6873" s="43">
        <f>C6873</f>
        <v>0</v>
      </c>
      <c r="F6873" s="42"/>
    </row>
    <row r="6874" spans="1:6">
      <c r="A6874" s="39">
        <f>A6873</f>
        <v>46048</v>
      </c>
      <c r="B6874" s="40"/>
      <c r="C6874" s="40"/>
      <c r="D6874" s="41"/>
      <c r="E6874" s="43">
        <f>C6874</f>
        <v>0</v>
      </c>
      <c r="F6874" s="42"/>
    </row>
    <row r="6875" spans="1:6">
      <c r="A6875" s="39">
        <f>A6874</f>
        <v>46048</v>
      </c>
      <c r="B6875" s="40"/>
      <c r="C6875" s="40"/>
      <c r="D6875" s="41"/>
      <c r="E6875" s="43">
        <f>C6875</f>
        <v>0</v>
      </c>
      <c r="F6875" s="42"/>
    </row>
    <row r="6876" spans="1:6">
      <c r="A6876" s="39">
        <f>A6875</f>
        <v>46048</v>
      </c>
      <c r="B6876" s="40"/>
      <c r="C6876" s="40"/>
      <c r="D6876" s="41"/>
      <c r="E6876" s="43">
        <f>C6876</f>
        <v>0</v>
      </c>
      <c r="F6876" s="42"/>
    </row>
    <row r="6877" spans="1:6">
      <c r="A6877" s="39">
        <f>A6876</f>
        <v>46048</v>
      </c>
      <c r="B6877" s="40"/>
      <c r="C6877" s="40"/>
      <c r="D6877" s="41"/>
      <c r="E6877" s="43">
        <f>C6877</f>
        <v>0</v>
      </c>
      <c r="F6877" s="42"/>
    </row>
    <row r="6878" spans="1:6">
      <c r="A6878" s="39">
        <f>A6877</f>
        <v>46048</v>
      </c>
      <c r="B6878" s="40"/>
      <c r="C6878" s="40"/>
      <c r="D6878" s="41"/>
      <c r="E6878" s="43">
        <f>C6878</f>
        <v>0</v>
      </c>
      <c r="F6878" s="42"/>
    </row>
    <row r="6879" spans="1:6">
      <c r="A6879" s="39">
        <f>A6878</f>
        <v>46048</v>
      </c>
      <c r="B6879" s="40"/>
      <c r="C6879" s="40"/>
      <c r="D6879" s="41"/>
      <c r="E6879" s="43">
        <f>C6879</f>
        <v>0</v>
      </c>
      <c r="F6879" s="42"/>
    </row>
    <row r="6880" spans="1:6">
      <c r="A6880" s="39">
        <f>A6879</f>
        <v>46048</v>
      </c>
      <c r="B6880" s="40"/>
      <c r="C6880" s="40"/>
      <c r="D6880" s="41"/>
      <c r="E6880" s="43">
        <f>C6880</f>
        <v>0</v>
      </c>
      <c r="F6880" s="42"/>
    </row>
    <row r="6881" spans="1:6">
      <c r="A6881" s="39">
        <f>A6880</f>
        <v>46048</v>
      </c>
      <c r="B6881" s="40"/>
      <c r="C6881" s="40"/>
      <c r="D6881" s="41"/>
      <c r="E6881" s="43">
        <f>C6881</f>
        <v>0</v>
      </c>
      <c r="F6881" s="42"/>
    </row>
    <row r="6882" spans="1:6">
      <c r="A6882" s="39">
        <f>A6881</f>
        <v>46048</v>
      </c>
      <c r="B6882" s="40"/>
      <c r="C6882" s="40"/>
      <c r="D6882" s="41"/>
      <c r="E6882" s="43">
        <f>C6882</f>
        <v>0</v>
      </c>
      <c r="F6882" s="42"/>
    </row>
    <row r="6883" spans="1:6">
      <c r="A6883" s="39">
        <f>A6882</f>
        <v>46048</v>
      </c>
      <c r="B6883" s="40"/>
      <c r="C6883" s="40"/>
      <c r="D6883" s="41"/>
      <c r="E6883" s="43">
        <f>C6883</f>
        <v>0</v>
      </c>
      <c r="F6883" s="42"/>
    </row>
    <row r="6884" spans="1:6">
      <c r="A6884" s="39">
        <f>A6883</f>
        <v>46048</v>
      </c>
      <c r="B6884" s="40"/>
      <c r="C6884" s="40"/>
      <c r="D6884" s="41"/>
      <c r="E6884" s="43">
        <f>C6884</f>
        <v>0</v>
      </c>
      <c r="F6884" s="42"/>
    </row>
    <row r="6885" spans="1:6">
      <c r="A6885" s="39">
        <f>A6884</f>
        <v>46048</v>
      </c>
      <c r="B6885" s="40"/>
      <c r="C6885" s="40"/>
      <c r="D6885" s="41"/>
      <c r="E6885" s="43">
        <f>C6885</f>
        <v>0</v>
      </c>
      <c r="F6885" s="42"/>
    </row>
    <row r="6886" spans="1:6">
      <c r="A6886" s="39">
        <f>A6885</f>
        <v>46048</v>
      </c>
      <c r="B6886" s="40"/>
      <c r="C6886" s="40"/>
      <c r="D6886" s="41"/>
      <c r="E6886" s="43">
        <f>C6886</f>
        <v>0</v>
      </c>
      <c r="F6886" s="42"/>
    </row>
    <row r="6887" spans="1:6">
      <c r="A6887" s="39">
        <f>A6886</f>
        <v>46048</v>
      </c>
      <c r="B6887" s="40"/>
      <c r="C6887" s="40"/>
      <c r="D6887" s="41"/>
      <c r="E6887" s="43">
        <f>C6887</f>
        <v>0</v>
      </c>
      <c r="F6887" s="42"/>
    </row>
    <row r="6888" spans="1:6">
      <c r="A6888" s="39">
        <f>A6887</f>
        <v>46048</v>
      </c>
      <c r="B6888" s="40"/>
      <c r="C6888" s="40"/>
      <c r="D6888" s="41"/>
      <c r="E6888" s="43">
        <f>C6888</f>
        <v>0</v>
      </c>
      <c r="F6888" s="42"/>
    </row>
    <row r="6889" spans="1:6">
      <c r="A6889" s="39">
        <f>A6888</f>
        <v>46048</v>
      </c>
      <c r="B6889" s="40"/>
      <c r="C6889" s="40"/>
      <c r="D6889" s="41"/>
      <c r="E6889" s="43">
        <f>C6889</f>
        <v>0</v>
      </c>
      <c r="F6889" s="42"/>
    </row>
    <row r="6890" spans="1:6">
      <c r="A6890" s="39">
        <f>A6889</f>
        <v>46048</v>
      </c>
      <c r="B6890" s="40"/>
      <c r="C6890" s="40"/>
      <c r="D6890" s="41"/>
      <c r="E6890" s="43">
        <f>C6890</f>
        <v>0</v>
      </c>
      <c r="F6890" s="42"/>
    </row>
    <row r="6891" spans="1:6">
      <c r="A6891" s="39">
        <f>A6890</f>
        <v>46048</v>
      </c>
      <c r="B6891" s="40"/>
      <c r="C6891" s="40"/>
      <c r="D6891" s="41"/>
      <c r="E6891" s="43">
        <f>C6891</f>
        <v>0</v>
      </c>
      <c r="F6891" s="42"/>
    </row>
    <row r="6892" spans="1:6">
      <c r="A6892" s="39">
        <f>A6891</f>
        <v>46048</v>
      </c>
      <c r="B6892" s="40"/>
      <c r="C6892" s="40"/>
      <c r="D6892" s="41"/>
      <c r="E6892" s="43">
        <f>C6892</f>
        <v>0</v>
      </c>
      <c r="F6892" s="42"/>
    </row>
    <row r="6893" spans="1:6">
      <c r="A6893" s="39">
        <f>A6892</f>
        <v>46048</v>
      </c>
      <c r="B6893" s="40"/>
      <c r="C6893" s="40"/>
      <c r="D6893" s="41"/>
      <c r="E6893" s="43">
        <f>C6893</f>
        <v>0</v>
      </c>
      <c r="F6893" s="42"/>
    </row>
    <row r="6894" spans="1:6">
      <c r="A6894" s="39">
        <f>A6893</f>
        <v>46048</v>
      </c>
      <c r="B6894" s="40"/>
      <c r="C6894" s="40"/>
      <c r="D6894" s="41"/>
      <c r="E6894" s="43">
        <f>C6894</f>
        <v>0</v>
      </c>
      <c r="F6894" s="42"/>
    </row>
    <row r="6895" spans="1:6">
      <c r="A6895" s="39">
        <f>A6894</f>
        <v>46048</v>
      </c>
      <c r="B6895" s="40"/>
      <c r="C6895" s="40"/>
      <c r="D6895" s="41"/>
      <c r="E6895" s="43">
        <f>C6895</f>
        <v>0</v>
      </c>
      <c r="F6895" s="42"/>
    </row>
    <row r="6896" spans="1:6">
      <c r="A6896" s="39">
        <f>A6895</f>
        <v>46048</v>
      </c>
      <c r="B6896" s="40"/>
      <c r="C6896" s="40"/>
      <c r="D6896" s="41"/>
      <c r="E6896" s="43">
        <f>C6896</f>
        <v>0</v>
      </c>
      <c r="F6896" s="42"/>
    </row>
    <row r="6897" spans="1:6">
      <c r="A6897" s="39">
        <f>A6896</f>
        <v>46048</v>
      </c>
      <c r="B6897" s="40"/>
      <c r="C6897" s="40"/>
      <c r="D6897" s="41"/>
      <c r="E6897" s="43">
        <f>C6897</f>
        <v>0</v>
      </c>
      <c r="F6897" s="42"/>
    </row>
    <row r="6898" spans="1:6">
      <c r="A6898" s="39">
        <f>A6897</f>
        <v>46048</v>
      </c>
      <c r="B6898" s="40"/>
      <c r="C6898" s="40"/>
      <c r="D6898" s="41"/>
      <c r="E6898" s="43">
        <f>C6898</f>
        <v>0</v>
      </c>
      <c r="F6898" s="42"/>
    </row>
    <row r="6899" spans="1:6">
      <c r="A6899" s="39">
        <f>A6898</f>
        <v>46048</v>
      </c>
      <c r="B6899" s="40"/>
      <c r="C6899" s="40"/>
      <c r="D6899" s="41"/>
      <c r="E6899" s="43">
        <f>C6899</f>
        <v>0</v>
      </c>
      <c r="F6899" s="42"/>
    </row>
    <row r="6900" spans="1:6">
      <c r="A6900" s="39">
        <f>A6899</f>
        <v>46048</v>
      </c>
      <c r="B6900" s="40"/>
      <c r="C6900" s="40"/>
      <c r="D6900" s="41"/>
      <c r="E6900" s="43">
        <f>C6900</f>
        <v>0</v>
      </c>
      <c r="F6900" s="42"/>
    </row>
    <row r="6901" spans="1:6">
      <c r="A6901" s="39">
        <f>A6900</f>
        <v>46048</v>
      </c>
      <c r="B6901" s="40"/>
      <c r="C6901" s="40"/>
      <c r="D6901" s="41"/>
      <c r="E6901" s="43">
        <f>C6901</f>
        <v>0</v>
      </c>
      <c r="F6901" s="42"/>
    </row>
    <row r="6902" spans="1:6">
      <c r="A6902" s="39">
        <f>A6901</f>
        <v>46048</v>
      </c>
      <c r="B6902" s="40"/>
      <c r="C6902" s="40"/>
      <c r="D6902" s="41"/>
      <c r="E6902" s="43">
        <f>C6902</f>
        <v>0</v>
      </c>
      <c r="F6902" s="42"/>
    </row>
    <row r="6903" spans="1:6">
      <c r="A6903" s="39">
        <f>A6902</f>
        <v>46048</v>
      </c>
      <c r="B6903" s="40"/>
      <c r="C6903" s="40"/>
      <c r="D6903" s="41"/>
      <c r="E6903" s="43">
        <f>C6903</f>
        <v>0</v>
      </c>
      <c r="F6903" s="42"/>
    </row>
    <row r="6904" spans="1:6">
      <c r="A6904" s="39">
        <f>A6903</f>
        <v>46048</v>
      </c>
      <c r="B6904" s="40"/>
      <c r="C6904" s="40"/>
      <c r="D6904" s="41"/>
      <c r="E6904" s="43">
        <f>C6904</f>
        <v>0</v>
      </c>
      <c r="F6904" s="42"/>
    </row>
    <row r="6905" spans="1:6">
      <c r="A6905" s="39">
        <f>A6904</f>
        <v>46048</v>
      </c>
      <c r="B6905" s="40"/>
      <c r="C6905" s="40"/>
      <c r="D6905" s="41"/>
      <c r="E6905" s="43">
        <f>C6905</f>
        <v>0</v>
      </c>
      <c r="F6905" s="42"/>
    </row>
    <row r="6906" spans="1:6">
      <c r="A6906" s="39">
        <f>A6905</f>
        <v>46048</v>
      </c>
      <c r="B6906" s="40"/>
      <c r="C6906" s="40"/>
      <c r="D6906" s="41"/>
      <c r="E6906" s="43">
        <f>C6906</f>
        <v>0</v>
      </c>
      <c r="F6906" s="42"/>
    </row>
    <row r="6907" spans="1:6">
      <c r="A6907" s="39">
        <f>A6906</f>
        <v>46048</v>
      </c>
      <c r="B6907" s="40"/>
      <c r="C6907" s="40"/>
      <c r="D6907" s="41"/>
      <c r="E6907" s="43">
        <f>C6907</f>
        <v>0</v>
      </c>
      <c r="F6907" s="42"/>
    </row>
    <row r="6908" spans="1:6">
      <c r="A6908" s="39">
        <f>A6907</f>
        <v>46048</v>
      </c>
      <c r="B6908" s="40"/>
      <c r="C6908" s="40"/>
      <c r="D6908" s="41"/>
      <c r="E6908" s="43">
        <f>C6908</f>
        <v>0</v>
      </c>
      <c r="F6908" s="42"/>
    </row>
    <row r="6909" spans="1:6">
      <c r="A6909" s="39">
        <f>A6908</f>
        <v>46048</v>
      </c>
      <c r="B6909" s="40"/>
      <c r="C6909" s="40"/>
      <c r="D6909" s="41"/>
      <c r="E6909" s="43">
        <f>C6909</f>
        <v>0</v>
      </c>
      <c r="F6909" s="42"/>
    </row>
    <row r="6910" spans="1:6">
      <c r="A6910" s="39">
        <f>A6909</f>
        <v>46048</v>
      </c>
      <c r="B6910" s="40"/>
      <c r="C6910" s="40"/>
      <c r="D6910" s="41"/>
      <c r="E6910" s="43">
        <f>C6910</f>
        <v>0</v>
      </c>
      <c r="F6910" s="42"/>
    </row>
    <row r="6911" spans="1:6">
      <c r="A6911" s="39">
        <f>A6910</f>
        <v>46048</v>
      </c>
      <c r="B6911" s="40"/>
      <c r="C6911" s="40"/>
      <c r="D6911" s="41"/>
      <c r="E6911" s="43">
        <f>C6911</f>
        <v>0</v>
      </c>
      <c r="F6911" s="42"/>
    </row>
    <row r="6912" spans="1:6">
      <c r="A6912" s="39">
        <f>A6911</f>
        <v>46048</v>
      </c>
      <c r="B6912" s="40"/>
      <c r="C6912" s="40"/>
      <c r="D6912" s="41"/>
      <c r="E6912" s="43">
        <f>C6912</f>
        <v>0</v>
      </c>
      <c r="F6912" s="42"/>
    </row>
    <row r="6913" spans="1:6">
      <c r="A6913" s="39">
        <f>A6912</f>
        <v>46048</v>
      </c>
      <c r="B6913" s="40"/>
      <c r="C6913" s="40"/>
      <c r="D6913" s="41"/>
      <c r="E6913" s="43">
        <f>C6913</f>
        <v>0</v>
      </c>
      <c r="F6913" s="42"/>
    </row>
    <row r="6914" spans="1:6">
      <c r="A6914" s="39">
        <f>A6913</f>
        <v>46048</v>
      </c>
      <c r="B6914" s="40"/>
      <c r="C6914" s="40"/>
      <c r="D6914" s="41"/>
      <c r="E6914" s="43">
        <f>C6914</f>
        <v>0</v>
      </c>
      <c r="F6914" s="42"/>
    </row>
    <row r="6915" spans="1:6">
      <c r="A6915" s="39">
        <f>A6914</f>
        <v>46048</v>
      </c>
      <c r="B6915" s="40"/>
      <c r="C6915" s="40"/>
      <c r="D6915" s="41"/>
      <c r="E6915" s="43">
        <f>C6915</f>
        <v>0</v>
      </c>
      <c r="F6915" s="42"/>
    </row>
    <row r="6916" spans="1:6">
      <c r="A6916" s="39">
        <f>A6915</f>
        <v>46048</v>
      </c>
      <c r="B6916" s="40"/>
      <c r="C6916" s="40"/>
      <c r="D6916" s="41"/>
      <c r="E6916" s="43">
        <f>C6916</f>
        <v>0</v>
      </c>
      <c r="F6916" s="42"/>
    </row>
    <row r="6917" spans="1:6">
      <c r="A6917" s="39">
        <f>A6916</f>
        <v>46048</v>
      </c>
      <c r="B6917" s="40"/>
      <c r="C6917" s="40"/>
      <c r="D6917" s="41"/>
      <c r="E6917" s="43">
        <f>C6917</f>
        <v>0</v>
      </c>
      <c r="F6917" s="42"/>
    </row>
    <row r="6918" spans="1:6">
      <c r="A6918" s="39">
        <f>A6917</f>
        <v>46048</v>
      </c>
      <c r="B6918" s="40"/>
      <c r="C6918" s="40"/>
      <c r="D6918" s="41"/>
      <c r="E6918" s="43">
        <f>C6918</f>
        <v>0</v>
      </c>
      <c r="F6918" s="42"/>
    </row>
    <row r="6919" spans="1:6">
      <c r="A6919" s="39">
        <f>A6918</f>
        <v>46048</v>
      </c>
      <c r="B6919" s="40"/>
      <c r="C6919" s="40"/>
      <c r="D6919" s="41"/>
      <c r="E6919" s="43">
        <f>C6919</f>
        <v>0</v>
      </c>
      <c r="F6919" s="42"/>
    </row>
    <row r="6920" spans="1:6">
      <c r="A6920" s="39">
        <f>A6919</f>
        <v>46048</v>
      </c>
      <c r="B6920" s="40"/>
      <c r="C6920" s="40"/>
      <c r="D6920" s="41"/>
      <c r="E6920" s="43">
        <f>C6920</f>
        <v>0</v>
      </c>
      <c r="F6920" s="42"/>
    </row>
    <row r="6921" spans="1:6">
      <c r="A6921" s="39">
        <f>A6920</f>
        <v>46048</v>
      </c>
      <c r="B6921" s="40"/>
      <c r="C6921" s="40"/>
      <c r="D6921" s="41"/>
      <c r="E6921" s="43">
        <f>C6921</f>
        <v>0</v>
      </c>
      <c r="F6921" s="42"/>
    </row>
    <row r="6922" spans="1:6">
      <c r="A6922" s="39">
        <f>A6921</f>
        <v>46048</v>
      </c>
      <c r="B6922" s="40"/>
      <c r="C6922" s="40"/>
      <c r="D6922" s="41"/>
      <c r="E6922" s="43">
        <f>C6922</f>
        <v>0</v>
      </c>
      <c r="F6922" s="42"/>
    </row>
    <row r="6923" spans="1:6">
      <c r="A6923" s="39">
        <f>A6922</f>
        <v>46048</v>
      </c>
      <c r="B6923" s="40"/>
      <c r="C6923" s="40"/>
      <c r="D6923" s="41"/>
      <c r="E6923" s="43">
        <f>C6923</f>
        <v>0</v>
      </c>
      <c r="F6923" s="42"/>
    </row>
    <row r="6924" spans="1:6">
      <c r="A6924" s="39">
        <f>A6923</f>
        <v>46048</v>
      </c>
      <c r="B6924" s="40"/>
      <c r="C6924" s="40"/>
      <c r="D6924" s="41"/>
      <c r="E6924" s="43">
        <f>C6924</f>
        <v>0</v>
      </c>
      <c r="F6924" s="42"/>
    </row>
    <row r="6925" spans="1:6">
      <c r="A6925" s="39">
        <f>A6924</f>
        <v>46048</v>
      </c>
      <c r="B6925" s="40"/>
      <c r="C6925" s="40"/>
      <c r="D6925" s="41"/>
      <c r="E6925" s="43">
        <f>C6925</f>
        <v>0</v>
      </c>
      <c r="F6925" s="42"/>
    </row>
    <row r="6926" spans="1:6">
      <c r="A6926" s="39">
        <f>A6925</f>
        <v>46048</v>
      </c>
      <c r="B6926" s="40"/>
      <c r="C6926" s="40"/>
      <c r="D6926" s="41"/>
      <c r="E6926" s="43">
        <f>C6926</f>
        <v>0</v>
      </c>
      <c r="F6926" s="42"/>
    </row>
    <row r="6927" spans="1:6">
      <c r="A6927" s="39">
        <f>A6926</f>
        <v>46048</v>
      </c>
      <c r="B6927" s="40"/>
      <c r="C6927" s="40"/>
      <c r="D6927" s="41"/>
      <c r="E6927" s="43">
        <f>C6927</f>
        <v>0</v>
      </c>
      <c r="F6927" s="42"/>
    </row>
    <row r="6928" spans="1:6">
      <c r="A6928" s="39">
        <f>A6927</f>
        <v>46048</v>
      </c>
      <c r="B6928" s="40"/>
      <c r="C6928" s="40"/>
      <c r="D6928" s="41"/>
      <c r="E6928" s="43">
        <f>C6928</f>
        <v>0</v>
      </c>
      <c r="F6928" s="42"/>
    </row>
    <row r="6929" spans="1:6">
      <c r="A6929" s="39">
        <f>A6928</f>
        <v>46048</v>
      </c>
      <c r="B6929" s="40"/>
      <c r="C6929" s="40"/>
      <c r="D6929" s="41"/>
      <c r="E6929" s="43">
        <f>C6929</f>
        <v>0</v>
      </c>
      <c r="F6929" s="42"/>
    </row>
    <row r="6930" spans="1:6">
      <c r="A6930" s="39">
        <f>A6929</f>
        <v>46048</v>
      </c>
      <c r="B6930" s="40"/>
      <c r="C6930" s="40"/>
      <c r="D6930" s="41"/>
      <c r="E6930" s="43">
        <f>C6930</f>
        <v>0</v>
      </c>
      <c r="F6930" s="42"/>
    </row>
    <row r="6931" spans="1:6">
      <c r="A6931" s="39">
        <f>A6930</f>
        <v>46048</v>
      </c>
      <c r="B6931" s="40"/>
      <c r="C6931" s="40"/>
      <c r="D6931" s="41"/>
      <c r="E6931" s="43">
        <f>C6931</f>
        <v>0</v>
      </c>
      <c r="F6931" s="42"/>
    </row>
    <row r="6932" spans="1:6">
      <c r="A6932" s="39">
        <f>A6931</f>
        <v>46048</v>
      </c>
      <c r="B6932" s="40"/>
      <c r="C6932" s="40"/>
      <c r="D6932" s="41"/>
      <c r="E6932" s="43">
        <f>C6932</f>
        <v>0</v>
      </c>
      <c r="F6932" s="42"/>
    </row>
    <row r="6933" spans="1:6">
      <c r="A6933" s="39">
        <f>A6932</f>
        <v>46048</v>
      </c>
      <c r="B6933" s="40"/>
      <c r="C6933" s="40"/>
      <c r="D6933" s="41"/>
      <c r="E6933" s="43">
        <f>C6933</f>
        <v>0</v>
      </c>
      <c r="F6933" s="42"/>
    </row>
    <row r="6934" spans="1:6">
      <c r="A6934" s="39">
        <f>A6933</f>
        <v>46048</v>
      </c>
      <c r="B6934" s="40"/>
      <c r="C6934" s="40"/>
      <c r="D6934" s="41"/>
      <c r="E6934" s="43">
        <f>C6934</f>
        <v>0</v>
      </c>
      <c r="F6934" s="42"/>
    </row>
    <row r="6935" spans="1:6">
      <c r="A6935" s="39">
        <f>A6934</f>
        <v>46048</v>
      </c>
      <c r="B6935" s="40"/>
      <c r="C6935" s="40"/>
      <c r="D6935" s="41"/>
      <c r="E6935" s="43">
        <f>C6935</f>
        <v>0</v>
      </c>
      <c r="F6935" s="42"/>
    </row>
    <row r="6936" spans="1:6">
      <c r="A6936" s="39">
        <f>A6935</f>
        <v>46048</v>
      </c>
      <c r="B6936" s="40"/>
      <c r="C6936" s="40"/>
      <c r="D6936" s="41"/>
      <c r="E6936" s="43">
        <f>C6936</f>
        <v>0</v>
      </c>
      <c r="F6936" s="42"/>
    </row>
    <row r="6937" spans="1:6">
      <c r="A6937" s="39">
        <f>A6936</f>
        <v>46048</v>
      </c>
      <c r="B6937" s="40"/>
      <c r="C6937" s="40"/>
      <c r="D6937" s="41"/>
      <c r="E6937" s="43">
        <f>C6937</f>
        <v>0</v>
      </c>
      <c r="F6937" s="42"/>
    </row>
    <row r="6938" spans="1:6">
      <c r="A6938" s="39">
        <f>A6937</f>
        <v>46048</v>
      </c>
      <c r="B6938" s="40"/>
      <c r="C6938" s="40"/>
      <c r="D6938" s="41"/>
      <c r="E6938" s="43">
        <f>C6938</f>
        <v>0</v>
      </c>
      <c r="F6938" s="42"/>
    </row>
    <row r="6939" spans="1:6">
      <c r="A6939" s="39">
        <f>A6938</f>
        <v>46048</v>
      </c>
      <c r="B6939" s="40"/>
      <c r="C6939" s="40"/>
      <c r="D6939" s="41"/>
      <c r="E6939" s="43">
        <f>C6939</f>
        <v>0</v>
      </c>
      <c r="F6939" s="42"/>
    </row>
    <row r="6940" spans="1:6">
      <c r="A6940" s="39">
        <f>A6939</f>
        <v>46048</v>
      </c>
      <c r="B6940" s="40"/>
      <c r="C6940" s="40"/>
      <c r="D6940" s="41"/>
      <c r="E6940" s="43">
        <f>C6940</f>
        <v>0</v>
      </c>
      <c r="F6940" s="42"/>
    </row>
    <row r="6941" spans="1:6">
      <c r="A6941" s="39">
        <f>A6940</f>
        <v>46048</v>
      </c>
      <c r="B6941" s="40"/>
      <c r="C6941" s="40"/>
      <c r="D6941" s="41"/>
      <c r="E6941" s="43">
        <f>C6941</f>
        <v>0</v>
      </c>
      <c r="F6941" s="42"/>
    </row>
    <row r="6942" spans="1:6">
      <c r="A6942" s="39">
        <f>A6941</f>
        <v>46048</v>
      </c>
      <c r="B6942" s="40"/>
      <c r="C6942" s="40"/>
      <c r="D6942" s="41"/>
      <c r="E6942" s="43">
        <f>C6942</f>
        <v>0</v>
      </c>
      <c r="F6942" s="42"/>
    </row>
    <row r="6943" spans="1:6">
      <c r="A6943" s="39">
        <f>A6942</f>
        <v>46048</v>
      </c>
      <c r="B6943" s="40"/>
      <c r="C6943" s="40"/>
      <c r="D6943" s="41"/>
      <c r="E6943" s="43">
        <f>C6943</f>
        <v>0</v>
      </c>
      <c r="F6943" s="42"/>
    </row>
    <row r="6944" spans="1:6">
      <c r="A6944" s="39">
        <f>A6943</f>
        <v>46048</v>
      </c>
      <c r="B6944" s="40"/>
      <c r="C6944" s="40"/>
      <c r="D6944" s="41"/>
      <c r="E6944" s="43">
        <f>C6944</f>
        <v>0</v>
      </c>
      <c r="F6944" s="42"/>
    </row>
    <row r="6945" spans="1:6">
      <c r="A6945" s="39">
        <f>A6944</f>
        <v>46048</v>
      </c>
      <c r="B6945" s="40"/>
      <c r="C6945" s="40"/>
      <c r="D6945" s="41"/>
      <c r="E6945" s="43">
        <f>C6945</f>
        <v>0</v>
      </c>
      <c r="F6945" s="42"/>
    </row>
    <row r="6946" spans="1:6">
      <c r="A6946" s="39">
        <f>A6945</f>
        <v>46048</v>
      </c>
      <c r="B6946" s="40"/>
      <c r="C6946" s="40"/>
      <c r="D6946" s="41"/>
      <c r="E6946" s="43">
        <f>C6946</f>
        <v>0</v>
      </c>
      <c r="F6946" s="42"/>
    </row>
    <row r="6947" spans="1:6">
      <c r="A6947" s="39">
        <f>A6946</f>
        <v>46048</v>
      </c>
      <c r="B6947" s="40"/>
      <c r="C6947" s="40"/>
      <c r="D6947" s="41"/>
      <c r="E6947" s="43">
        <f>C6947</f>
        <v>0</v>
      </c>
      <c r="F6947" s="42"/>
    </row>
    <row r="6948" spans="1:6">
      <c r="A6948" s="39">
        <f>A6947</f>
        <v>46048</v>
      </c>
      <c r="B6948" s="40"/>
      <c r="C6948" s="40"/>
      <c r="D6948" s="41"/>
      <c r="E6948" s="43">
        <f>C6948</f>
        <v>0</v>
      </c>
      <c r="F6948" s="42"/>
    </row>
    <row r="6949" spans="1:6">
      <c r="A6949" s="39">
        <f>A6948</f>
        <v>46048</v>
      </c>
      <c r="B6949" s="40"/>
      <c r="C6949" s="40"/>
      <c r="D6949" s="41"/>
      <c r="E6949" s="43">
        <f>C6949</f>
        <v>0</v>
      </c>
      <c r="F6949" s="42"/>
    </row>
    <row r="6950" spans="1:6">
      <c r="A6950" s="39">
        <f>A6949</f>
        <v>46048</v>
      </c>
      <c r="B6950" s="40"/>
      <c r="C6950" s="40"/>
      <c r="D6950" s="41"/>
      <c r="E6950" s="43">
        <f>C6950</f>
        <v>0</v>
      </c>
      <c r="F6950" s="42"/>
    </row>
    <row r="6951" spans="1:6">
      <c r="A6951" s="39">
        <f>A6950</f>
        <v>46048</v>
      </c>
      <c r="B6951" s="40"/>
      <c r="C6951" s="40"/>
      <c r="D6951" s="41"/>
      <c r="E6951" s="43">
        <f>C6951</f>
        <v>0</v>
      </c>
      <c r="F6951" s="42"/>
    </row>
    <row r="6952" spans="1:6">
      <c r="A6952" s="39">
        <f>A6951</f>
        <v>46048</v>
      </c>
      <c r="B6952" s="40"/>
      <c r="C6952" s="40"/>
      <c r="D6952" s="41"/>
      <c r="E6952" s="43">
        <f>C6952</f>
        <v>0</v>
      </c>
      <c r="F6952" s="42"/>
    </row>
    <row r="6953" spans="1:6">
      <c r="A6953" s="39">
        <f>A6952</f>
        <v>46048</v>
      </c>
      <c r="B6953" s="40"/>
      <c r="C6953" s="40"/>
      <c r="D6953" s="41"/>
      <c r="E6953" s="43">
        <f>C6953</f>
        <v>0</v>
      </c>
      <c r="F6953" s="42"/>
    </row>
    <row r="6954" spans="1:6">
      <c r="A6954" s="39">
        <f>A6953</f>
        <v>46048</v>
      </c>
      <c r="B6954" s="40"/>
      <c r="C6954" s="40"/>
      <c r="D6954" s="41"/>
      <c r="E6954" s="43">
        <f>C6954</f>
        <v>0</v>
      </c>
      <c r="F6954" s="42"/>
    </row>
    <row r="6955" spans="1:6">
      <c r="A6955" s="39">
        <f>A6954</f>
        <v>46048</v>
      </c>
      <c r="B6955" s="40"/>
      <c r="C6955" s="40"/>
      <c r="D6955" s="41"/>
      <c r="E6955" s="43">
        <f>C6955</f>
        <v>0</v>
      </c>
      <c r="F6955" s="42"/>
    </row>
    <row r="6956" spans="1:6">
      <c r="A6956" s="39">
        <f>A6955</f>
        <v>46048</v>
      </c>
      <c r="B6956" s="40"/>
      <c r="C6956" s="40"/>
      <c r="D6956" s="41"/>
      <c r="E6956" s="43">
        <f>C6956</f>
        <v>0</v>
      </c>
      <c r="F6956" s="42"/>
    </row>
    <row r="6957" spans="1:6">
      <c r="A6957" s="39">
        <f>A6956</f>
        <v>46048</v>
      </c>
      <c r="B6957" s="40"/>
      <c r="C6957" s="40"/>
      <c r="D6957" s="41"/>
      <c r="E6957" s="43">
        <f>C6957</f>
        <v>0</v>
      </c>
      <c r="F6957" s="42"/>
    </row>
    <row r="6958" spans="1:6">
      <c r="A6958" s="39">
        <f>A6957</f>
        <v>46048</v>
      </c>
      <c r="B6958" s="40"/>
      <c r="C6958" s="40"/>
      <c r="D6958" s="41"/>
      <c r="E6958" s="43">
        <f>C6958</f>
        <v>0</v>
      </c>
      <c r="F6958" s="42"/>
    </row>
    <row r="6959" spans="1:6">
      <c r="A6959" s="39">
        <f>A6958</f>
        <v>46048</v>
      </c>
      <c r="B6959" s="40"/>
      <c r="C6959" s="40"/>
      <c r="D6959" s="41"/>
      <c r="E6959" s="43">
        <f>C6959</f>
        <v>0</v>
      </c>
      <c r="F6959" s="42"/>
    </row>
    <row r="6960" spans="1:6">
      <c r="A6960" s="39">
        <f>A6959</f>
        <v>46048</v>
      </c>
      <c r="B6960" s="40"/>
      <c r="C6960" s="40"/>
      <c r="D6960" s="41"/>
      <c r="E6960" s="43">
        <f>C6960</f>
        <v>0</v>
      </c>
      <c r="F6960" s="42"/>
    </row>
    <row r="6961" spans="1:6">
      <c r="A6961" s="39">
        <f>A6960</f>
        <v>46048</v>
      </c>
      <c r="B6961" s="40"/>
      <c r="C6961" s="40"/>
      <c r="D6961" s="41"/>
      <c r="E6961" s="43">
        <f>C6961</f>
        <v>0</v>
      </c>
      <c r="F6961" s="42"/>
    </row>
    <row r="6962" spans="1:6">
      <c r="A6962" s="39">
        <f>A6961</f>
        <v>46048</v>
      </c>
      <c r="B6962" s="40"/>
      <c r="C6962" s="40"/>
      <c r="D6962" s="41"/>
      <c r="E6962" s="43">
        <f>C6962</f>
        <v>0</v>
      </c>
      <c r="F6962" s="42"/>
    </row>
    <row r="6963" spans="1:6">
      <c r="A6963" s="39">
        <f>A6962</f>
        <v>46048</v>
      </c>
      <c r="B6963" s="40"/>
      <c r="C6963" s="40"/>
      <c r="D6963" s="41"/>
      <c r="E6963" s="43">
        <f>C6963</f>
        <v>0</v>
      </c>
      <c r="F6963" s="42"/>
    </row>
    <row r="6964" spans="1:6">
      <c r="A6964" s="39">
        <f>A6963</f>
        <v>46048</v>
      </c>
      <c r="B6964" s="40"/>
      <c r="C6964" s="40"/>
      <c r="D6964" s="41"/>
      <c r="E6964" s="43">
        <f>C6964</f>
        <v>0</v>
      </c>
      <c r="F6964" s="42"/>
    </row>
    <row r="6965" spans="1:6">
      <c r="A6965" s="39">
        <f>A6964</f>
        <v>46048</v>
      </c>
      <c r="B6965" s="40"/>
      <c r="C6965" s="40"/>
      <c r="D6965" s="41"/>
      <c r="E6965" s="43">
        <f>C6965</f>
        <v>0</v>
      </c>
      <c r="F6965" s="42"/>
    </row>
    <row r="6966" spans="1:6">
      <c r="A6966" s="39">
        <f>A6965</f>
        <v>46048</v>
      </c>
      <c r="B6966" s="40"/>
      <c r="C6966" s="40"/>
      <c r="D6966" s="41"/>
      <c r="E6966" s="43">
        <f>C6966</f>
        <v>0</v>
      </c>
      <c r="F6966" s="42"/>
    </row>
    <row r="6967" spans="1:6">
      <c r="A6967" s="39">
        <f>A6966</f>
        <v>46048</v>
      </c>
      <c r="B6967" s="40"/>
      <c r="C6967" s="40"/>
      <c r="D6967" s="41"/>
      <c r="E6967" s="43">
        <f>C6967</f>
        <v>0</v>
      </c>
      <c r="F6967" s="42"/>
    </row>
    <row r="6968" spans="1:6">
      <c r="A6968" s="39">
        <f>A6967</f>
        <v>46048</v>
      </c>
      <c r="B6968" s="40"/>
      <c r="C6968" s="40"/>
      <c r="D6968" s="41"/>
      <c r="E6968" s="43">
        <f>C6968</f>
        <v>0</v>
      </c>
      <c r="F6968" s="42"/>
    </row>
    <row r="6969" spans="1:6">
      <c r="A6969" s="39">
        <f>A6968</f>
        <v>46048</v>
      </c>
      <c r="B6969" s="40"/>
      <c r="C6969" s="40"/>
      <c r="D6969" s="41"/>
      <c r="E6969" s="43">
        <f>C6969</f>
        <v>0</v>
      </c>
      <c r="F6969" s="42"/>
    </row>
    <row r="6970" spans="1:6">
      <c r="A6970" s="39">
        <f>A6969</f>
        <v>46048</v>
      </c>
      <c r="B6970" s="40"/>
      <c r="C6970" s="40"/>
      <c r="D6970" s="41"/>
      <c r="E6970" s="43">
        <f>C6970</f>
        <v>0</v>
      </c>
      <c r="F6970" s="42"/>
    </row>
    <row r="6971" spans="1:6">
      <c r="A6971" s="39">
        <f>A6970</f>
        <v>46048</v>
      </c>
      <c r="B6971" s="40"/>
      <c r="C6971" s="40"/>
      <c r="D6971" s="41"/>
      <c r="E6971" s="43">
        <f>C6971</f>
        <v>0</v>
      </c>
      <c r="F6971" s="42"/>
    </row>
    <row r="6972" spans="1:6">
      <c r="A6972" s="39">
        <f>A6971</f>
        <v>46048</v>
      </c>
      <c r="B6972" s="40"/>
      <c r="C6972" s="40"/>
      <c r="D6972" s="41"/>
      <c r="E6972" s="43">
        <f>C6972</f>
        <v>0</v>
      </c>
      <c r="F6972" s="42"/>
    </row>
    <row r="6973" spans="1:6">
      <c r="A6973" s="39">
        <f>A6972</f>
        <v>46048</v>
      </c>
      <c r="B6973" s="40"/>
      <c r="C6973" s="40"/>
      <c r="D6973" s="41"/>
      <c r="E6973" s="43">
        <f>C6973</f>
        <v>0</v>
      </c>
      <c r="F6973" s="42"/>
    </row>
    <row r="6974" spans="1:6">
      <c r="A6974" s="39">
        <f>A6973</f>
        <v>46048</v>
      </c>
      <c r="B6974" s="40"/>
      <c r="C6974" s="40"/>
      <c r="D6974" s="41"/>
      <c r="E6974" s="43">
        <f>C6974</f>
        <v>0</v>
      </c>
      <c r="F6974" s="42"/>
    </row>
    <row r="6975" spans="1:6">
      <c r="A6975" s="39">
        <f>A6974</f>
        <v>46048</v>
      </c>
      <c r="B6975" s="40"/>
      <c r="C6975" s="40"/>
      <c r="D6975" s="41"/>
      <c r="E6975" s="43">
        <f>C6975</f>
        <v>0</v>
      </c>
      <c r="F6975" s="42"/>
    </row>
    <row r="6976" spans="1:6">
      <c r="A6976" s="39">
        <f>A6975</f>
        <v>46048</v>
      </c>
      <c r="B6976" s="40"/>
      <c r="C6976" s="40"/>
      <c r="D6976" s="41"/>
      <c r="E6976" s="43">
        <f>C6976</f>
        <v>0</v>
      </c>
      <c r="F6976" s="42"/>
    </row>
    <row r="6977" spans="1:6">
      <c r="A6977" s="39">
        <f>A6976</f>
        <v>46048</v>
      </c>
      <c r="B6977" s="40"/>
      <c r="C6977" s="40"/>
      <c r="D6977" s="41"/>
      <c r="E6977" s="43">
        <f>C6977</f>
        <v>0</v>
      </c>
      <c r="F6977" s="42"/>
    </row>
    <row r="6978" spans="1:6">
      <c r="A6978" s="39">
        <f>A6977</f>
        <v>46048</v>
      </c>
      <c r="B6978" s="40"/>
      <c r="C6978" s="40"/>
      <c r="D6978" s="41"/>
      <c r="E6978" s="43">
        <f>C6978</f>
        <v>0</v>
      </c>
      <c r="F6978" s="42"/>
    </row>
    <row r="6979" spans="1:6">
      <c r="A6979" s="39">
        <f>A6978</f>
        <v>46048</v>
      </c>
      <c r="B6979" s="40"/>
      <c r="C6979" s="40"/>
      <c r="D6979" s="41"/>
      <c r="E6979" s="43">
        <f>C6979</f>
        <v>0</v>
      </c>
      <c r="F6979" s="42"/>
    </row>
    <row r="6980" spans="1:6">
      <c r="A6980" s="39">
        <f>A6979</f>
        <v>46048</v>
      </c>
      <c r="B6980" s="40"/>
      <c r="C6980" s="40"/>
      <c r="D6980" s="41"/>
      <c r="E6980" s="43">
        <f>C6980</f>
        <v>0</v>
      </c>
      <c r="F6980" s="42"/>
    </row>
    <row r="6981" spans="1:6">
      <c r="A6981" s="39">
        <f>A6980</f>
        <v>46048</v>
      </c>
      <c r="B6981" s="40"/>
      <c r="C6981" s="40"/>
      <c r="D6981" s="41"/>
      <c r="E6981" s="43">
        <f>C6981</f>
        <v>0</v>
      </c>
      <c r="F6981" s="42"/>
    </row>
    <row r="6982" spans="1:6">
      <c r="A6982" s="39">
        <f>A6981</f>
        <v>46048</v>
      </c>
      <c r="B6982" s="40"/>
      <c r="C6982" s="40"/>
      <c r="D6982" s="41"/>
      <c r="E6982" s="43">
        <f>C6982</f>
        <v>0</v>
      </c>
      <c r="F6982" s="42"/>
    </row>
    <row r="6983" spans="1:6">
      <c r="A6983" s="39">
        <f>A6982</f>
        <v>46048</v>
      </c>
      <c r="B6983" s="40"/>
      <c r="C6983" s="40"/>
      <c r="D6983" s="41"/>
      <c r="E6983" s="43">
        <f>C6983</f>
        <v>0</v>
      </c>
      <c r="F6983" s="42"/>
    </row>
    <row r="6984" spans="1:6">
      <c r="A6984" s="39">
        <f>A6983</f>
        <v>46048</v>
      </c>
      <c r="B6984" s="40"/>
      <c r="C6984" s="40"/>
      <c r="D6984" s="41"/>
      <c r="E6984" s="43">
        <f>C6984</f>
        <v>0</v>
      </c>
      <c r="F6984" s="42"/>
    </row>
    <row r="6985" spans="1:6">
      <c r="A6985" s="39">
        <f>A6984</f>
        <v>46048</v>
      </c>
      <c r="B6985" s="40"/>
      <c r="C6985" s="40"/>
      <c r="D6985" s="41"/>
      <c r="E6985" s="43">
        <f>C6985</f>
        <v>0</v>
      </c>
      <c r="F6985" s="42"/>
    </row>
    <row r="6986" spans="1:6">
      <c r="A6986" s="39">
        <f>A6985</f>
        <v>46048</v>
      </c>
      <c r="B6986" s="40"/>
      <c r="C6986" s="40"/>
      <c r="D6986" s="41"/>
      <c r="E6986" s="43">
        <f>C6986</f>
        <v>0</v>
      </c>
      <c r="F6986" s="42"/>
    </row>
    <row r="6987" spans="1:6">
      <c r="A6987" s="39">
        <f>A6986</f>
        <v>46048</v>
      </c>
      <c r="B6987" s="40"/>
      <c r="C6987" s="40"/>
      <c r="D6987" s="41"/>
      <c r="E6987" s="43">
        <f>C6987</f>
        <v>0</v>
      </c>
      <c r="F6987" s="42"/>
    </row>
    <row r="6988" spans="1:6">
      <c r="A6988" s="39">
        <f>A6987</f>
        <v>46048</v>
      </c>
      <c r="B6988" s="40"/>
      <c r="C6988" s="40"/>
      <c r="D6988" s="41"/>
      <c r="E6988" s="43">
        <f>C6988</f>
        <v>0</v>
      </c>
      <c r="F6988" s="42"/>
    </row>
    <row r="6989" spans="1:6">
      <c r="A6989" s="39">
        <f>A6988</f>
        <v>46048</v>
      </c>
      <c r="B6989" s="40"/>
      <c r="C6989" s="40"/>
      <c r="D6989" s="41"/>
      <c r="E6989" s="43">
        <f>C6989</f>
        <v>0</v>
      </c>
      <c r="F6989" s="42"/>
    </row>
    <row r="6990" spans="1:6">
      <c r="A6990" s="39">
        <f>A6989</f>
        <v>46048</v>
      </c>
      <c r="B6990" s="40"/>
      <c r="C6990" s="40"/>
      <c r="D6990" s="41"/>
      <c r="E6990" s="43">
        <f>C6990</f>
        <v>0</v>
      </c>
      <c r="F6990" s="42"/>
    </row>
    <row r="6991" spans="1:6">
      <c r="A6991" s="39">
        <f>A6990</f>
        <v>46048</v>
      </c>
      <c r="B6991" s="40"/>
      <c r="C6991" s="40"/>
      <c r="D6991" s="41"/>
      <c r="E6991" s="43">
        <f>C6991</f>
        <v>0</v>
      </c>
      <c r="F6991" s="42"/>
    </row>
    <row r="6992" spans="1:6">
      <c r="A6992" s="39">
        <f>A6991</f>
        <v>46048</v>
      </c>
      <c r="B6992" s="40"/>
      <c r="C6992" s="40"/>
      <c r="D6992" s="41"/>
      <c r="E6992" s="43">
        <f>C6992</f>
        <v>0</v>
      </c>
      <c r="F6992" s="42"/>
    </row>
    <row r="6993" spans="1:6">
      <c r="A6993" s="39">
        <f>A6992</f>
        <v>46048</v>
      </c>
      <c r="B6993" s="40"/>
      <c r="C6993" s="40"/>
      <c r="D6993" s="41"/>
      <c r="E6993" s="43">
        <f>C6993</f>
        <v>0</v>
      </c>
      <c r="F6993" s="42"/>
    </row>
    <row r="6994" spans="1:6">
      <c r="A6994" s="39">
        <f>A6993</f>
        <v>46048</v>
      </c>
      <c r="B6994" s="40"/>
      <c r="C6994" s="40"/>
      <c r="D6994" s="41"/>
      <c r="E6994" s="43">
        <f>C6994</f>
        <v>0</v>
      </c>
      <c r="F6994" s="42"/>
    </row>
    <row r="6995" spans="1:6">
      <c r="A6995" s="39">
        <f>A6994</f>
        <v>46048</v>
      </c>
      <c r="B6995" s="40"/>
      <c r="C6995" s="40"/>
      <c r="D6995" s="41"/>
      <c r="E6995" s="43">
        <f>C6995</f>
        <v>0</v>
      </c>
      <c r="F6995" s="42"/>
    </row>
    <row r="6996" spans="1:6">
      <c r="A6996" s="39">
        <f>A6995</f>
        <v>46048</v>
      </c>
      <c r="B6996" s="40"/>
      <c r="C6996" s="40"/>
      <c r="D6996" s="41"/>
      <c r="E6996" s="43">
        <f>C6996</f>
        <v>0</v>
      </c>
      <c r="F6996" s="42"/>
    </row>
    <row r="6997" spans="1:6">
      <c r="A6997" s="39">
        <f>A6996</f>
        <v>46048</v>
      </c>
      <c r="B6997" s="40"/>
      <c r="C6997" s="40"/>
      <c r="D6997" s="41"/>
      <c r="E6997" s="43">
        <f>C6997</f>
        <v>0</v>
      </c>
      <c r="F6997" s="42"/>
    </row>
    <row r="6998" spans="1:6">
      <c r="A6998" s="39">
        <f>A6997</f>
        <v>46048</v>
      </c>
      <c r="B6998" s="40"/>
      <c r="C6998" s="40"/>
      <c r="D6998" s="41"/>
      <c r="E6998" s="43">
        <f>C6998</f>
        <v>0</v>
      </c>
      <c r="F6998" s="42"/>
    </row>
    <row r="6999" spans="1:6">
      <c r="A6999" s="39">
        <f>A6998</f>
        <v>46048</v>
      </c>
      <c r="B6999" s="40"/>
      <c r="C6999" s="40"/>
      <c r="D6999" s="41"/>
      <c r="E6999" s="43">
        <f>C6999</f>
        <v>0</v>
      </c>
      <c r="F6999" s="42"/>
    </row>
    <row r="7000" spans="1:6">
      <c r="A7000" s="39">
        <f>A6999</f>
        <v>46048</v>
      </c>
      <c r="B7000" s="40"/>
      <c r="C7000" s="40"/>
      <c r="D7000" s="41"/>
      <c r="E7000" s="43">
        <f>C7000</f>
        <v>0</v>
      </c>
      <c r="F7000" s="42"/>
    </row>
    <row r="7001" spans="1:6">
      <c r="A7001" s="39">
        <f>A7000</f>
        <v>46048</v>
      </c>
      <c r="B7001" s="40"/>
      <c r="C7001" s="40"/>
      <c r="D7001" s="41"/>
      <c r="E7001" s="43">
        <f>C7001</f>
        <v>0</v>
      </c>
      <c r="F7001" s="42"/>
    </row>
    <row r="7002" spans="1:6">
      <c r="A7002" s="39">
        <f>A7001</f>
        <v>46048</v>
      </c>
      <c r="B7002" s="40"/>
      <c r="C7002" s="40"/>
      <c r="D7002" s="41"/>
      <c r="E7002" s="43">
        <f>C7002</f>
        <v>0</v>
      </c>
      <c r="F7002" s="42"/>
    </row>
    <row r="7003" spans="1:6">
      <c r="A7003" s="39">
        <f>A7002</f>
        <v>46048</v>
      </c>
      <c r="B7003" s="40"/>
      <c r="C7003" s="40"/>
      <c r="D7003" s="41"/>
      <c r="E7003" s="43">
        <f>C7003</f>
        <v>0</v>
      </c>
      <c r="F7003" s="42"/>
    </row>
    <row r="7004" spans="1:6">
      <c r="A7004" s="39">
        <f>A7003</f>
        <v>46048</v>
      </c>
      <c r="B7004" s="40"/>
      <c r="C7004" s="40"/>
      <c r="D7004" s="41"/>
      <c r="E7004" s="43">
        <f>C7004</f>
        <v>0</v>
      </c>
      <c r="F7004" s="42"/>
    </row>
    <row r="7005" spans="1:6">
      <c r="A7005" s="39">
        <f>A7004</f>
        <v>46048</v>
      </c>
      <c r="B7005" s="40"/>
      <c r="C7005" s="40"/>
      <c r="D7005" s="41"/>
      <c r="E7005" s="43">
        <f>C7005</f>
        <v>0</v>
      </c>
      <c r="F7005" s="42"/>
    </row>
    <row r="7006" spans="1:6">
      <c r="A7006" s="39">
        <f>A7005</f>
        <v>46048</v>
      </c>
      <c r="B7006" s="40"/>
      <c r="C7006" s="40"/>
      <c r="D7006" s="41"/>
      <c r="E7006" s="43">
        <f>C7006</f>
        <v>0</v>
      </c>
      <c r="F7006" s="42"/>
    </row>
    <row r="7007" spans="1:6">
      <c r="A7007" s="39">
        <f>A7006</f>
        <v>46048</v>
      </c>
      <c r="B7007" s="40"/>
      <c r="C7007" s="40"/>
      <c r="D7007" s="41"/>
      <c r="E7007" s="43">
        <f>C7007</f>
        <v>0</v>
      </c>
      <c r="F7007" s="42"/>
    </row>
    <row r="7008" spans="1:6">
      <c r="A7008" s="39">
        <f>A7007</f>
        <v>46048</v>
      </c>
      <c r="B7008" s="40"/>
      <c r="C7008" s="40"/>
      <c r="D7008" s="41"/>
      <c r="E7008" s="43">
        <f>C7008</f>
        <v>0</v>
      </c>
      <c r="F7008" s="42"/>
    </row>
    <row r="7009" spans="1:6">
      <c r="A7009" s="39">
        <f>A7008</f>
        <v>46048</v>
      </c>
      <c r="B7009" s="40"/>
      <c r="C7009" s="40"/>
      <c r="D7009" s="41"/>
      <c r="E7009" s="43">
        <f>C7009</f>
        <v>0</v>
      </c>
      <c r="F7009" s="42"/>
    </row>
    <row r="7010" spans="1:6">
      <c r="A7010" s="39">
        <f>A7009</f>
        <v>46048</v>
      </c>
      <c r="B7010" s="40"/>
      <c r="C7010" s="40"/>
      <c r="D7010" s="41"/>
      <c r="E7010" s="43">
        <f>C7010</f>
        <v>0</v>
      </c>
      <c r="F7010" s="42"/>
    </row>
    <row r="7011" spans="1:6">
      <c r="A7011" s="39">
        <f>A7010</f>
        <v>46048</v>
      </c>
      <c r="B7011" s="40"/>
      <c r="C7011" s="40"/>
      <c r="D7011" s="41"/>
      <c r="E7011" s="43">
        <f>C7011</f>
        <v>0</v>
      </c>
      <c r="F7011" s="42"/>
    </row>
    <row r="7012" spans="1:6">
      <c r="A7012" s="39">
        <f>A7011</f>
        <v>46048</v>
      </c>
      <c r="B7012" s="40"/>
      <c r="C7012" s="40"/>
      <c r="D7012" s="41"/>
      <c r="E7012" s="43">
        <f>C7012</f>
        <v>0</v>
      </c>
      <c r="F7012" s="42"/>
    </row>
    <row r="7013" spans="1:6">
      <c r="A7013" s="39">
        <f>A7012</f>
        <v>46048</v>
      </c>
      <c r="B7013" s="40"/>
      <c r="C7013" s="40"/>
      <c r="D7013" s="41"/>
      <c r="E7013" s="43">
        <f>C7013</f>
        <v>0</v>
      </c>
      <c r="F7013" s="42"/>
    </row>
    <row r="7014" spans="1:6">
      <c r="A7014" s="39">
        <f>A7013</f>
        <v>46048</v>
      </c>
      <c r="B7014" s="40"/>
      <c r="C7014" s="40"/>
      <c r="D7014" s="41"/>
      <c r="E7014" s="43">
        <f>C7014</f>
        <v>0</v>
      </c>
      <c r="F7014" s="42"/>
    </row>
    <row r="7015" spans="1:6">
      <c r="A7015" s="39">
        <f>A7014</f>
        <v>46048</v>
      </c>
      <c r="B7015" s="40"/>
      <c r="C7015" s="40"/>
      <c r="D7015" s="41"/>
      <c r="E7015" s="43">
        <f>C7015</f>
        <v>0</v>
      </c>
      <c r="F7015" s="42"/>
    </row>
    <row r="7016" spans="1:6">
      <c r="A7016" s="39">
        <f>A7015</f>
        <v>46048</v>
      </c>
      <c r="B7016" s="40"/>
      <c r="C7016" s="40"/>
      <c r="D7016" s="41"/>
      <c r="E7016" s="43">
        <f>C7016</f>
        <v>0</v>
      </c>
      <c r="F7016" s="42"/>
    </row>
    <row r="7017" spans="1:6">
      <c r="A7017" s="39">
        <f>A7016</f>
        <v>46048</v>
      </c>
      <c r="B7017" s="40"/>
      <c r="C7017" s="40"/>
      <c r="D7017" s="41"/>
      <c r="E7017" s="43">
        <f>C7017</f>
        <v>0</v>
      </c>
      <c r="F7017" s="42"/>
    </row>
    <row r="7018" spans="1:6">
      <c r="A7018" s="39">
        <f>A7017</f>
        <v>46048</v>
      </c>
      <c r="B7018" s="40"/>
      <c r="C7018" s="40"/>
      <c r="D7018" s="41"/>
      <c r="E7018" s="43">
        <f>C7018</f>
        <v>0</v>
      </c>
      <c r="F7018" s="42"/>
    </row>
    <row r="7019" spans="1:6">
      <c r="A7019" s="39">
        <f>A7018</f>
        <v>46048</v>
      </c>
      <c r="B7019" s="40"/>
      <c r="C7019" s="40"/>
      <c r="D7019" s="41"/>
      <c r="E7019" s="43">
        <f>C7019</f>
        <v>0</v>
      </c>
      <c r="F7019" s="42"/>
    </row>
    <row r="7020" spans="1:6">
      <c r="A7020" s="39">
        <f>A7019</f>
        <v>46048</v>
      </c>
      <c r="B7020" s="40"/>
      <c r="C7020" s="40"/>
      <c r="D7020" s="41"/>
      <c r="E7020" s="43">
        <f>C7020</f>
        <v>0</v>
      </c>
      <c r="F7020" s="42"/>
    </row>
    <row r="7021" spans="1:6">
      <c r="A7021" s="39">
        <f>A7020</f>
        <v>46048</v>
      </c>
      <c r="B7021" s="40"/>
      <c r="C7021" s="40"/>
      <c r="D7021" s="41"/>
      <c r="E7021" s="43">
        <f>C7021</f>
        <v>0</v>
      </c>
      <c r="F7021" s="42"/>
    </row>
    <row r="7022" spans="1:6">
      <c r="A7022" s="39">
        <f>A7021</f>
        <v>46048</v>
      </c>
      <c r="B7022" s="40"/>
      <c r="C7022" s="40"/>
      <c r="D7022" s="41"/>
      <c r="E7022" s="43">
        <f>C7022</f>
        <v>0</v>
      </c>
      <c r="F7022" s="42"/>
    </row>
    <row r="7023" spans="1:6">
      <c r="A7023" s="39">
        <f>A7022</f>
        <v>46048</v>
      </c>
      <c r="B7023" s="40"/>
      <c r="C7023" s="40"/>
      <c r="D7023" s="41"/>
      <c r="E7023" s="43">
        <f>C7023</f>
        <v>0</v>
      </c>
      <c r="F7023" s="42"/>
    </row>
    <row r="7024" spans="1:6">
      <c r="A7024" s="39">
        <f>A7023</f>
        <v>46048</v>
      </c>
      <c r="B7024" s="40"/>
      <c r="C7024" s="40"/>
      <c r="D7024" s="41"/>
      <c r="E7024" s="43">
        <f>C7024</f>
        <v>0</v>
      </c>
      <c r="F7024" s="42"/>
    </row>
    <row r="7025" spans="1:6">
      <c r="A7025" s="39">
        <f>A7024</f>
        <v>46048</v>
      </c>
      <c r="B7025" s="40"/>
      <c r="C7025" s="40"/>
      <c r="D7025" s="41"/>
      <c r="E7025" s="43">
        <f>C7025</f>
        <v>0</v>
      </c>
      <c r="F7025" s="42"/>
    </row>
    <row r="7026" spans="1:6">
      <c r="A7026" s="39">
        <f>A7025</f>
        <v>46048</v>
      </c>
      <c r="B7026" s="40"/>
      <c r="C7026" s="40"/>
      <c r="D7026" s="41"/>
      <c r="E7026" s="43">
        <f>C7026</f>
        <v>0</v>
      </c>
      <c r="F7026" s="42"/>
    </row>
    <row r="7027" spans="1:6">
      <c r="A7027" s="39">
        <f>A7026</f>
        <v>46048</v>
      </c>
      <c r="B7027" s="40"/>
      <c r="C7027" s="40"/>
      <c r="D7027" s="41"/>
      <c r="E7027" s="43">
        <f>C7027</f>
        <v>0</v>
      </c>
      <c r="F7027" s="42"/>
    </row>
    <row r="7028" spans="1:6">
      <c r="A7028" s="39">
        <f>A7027</f>
        <v>46048</v>
      </c>
      <c r="B7028" s="40"/>
      <c r="C7028" s="40"/>
      <c r="D7028" s="41"/>
      <c r="E7028" s="43">
        <f>C7028</f>
        <v>0</v>
      </c>
      <c r="F7028" s="42"/>
    </row>
    <row r="7029" spans="1:6">
      <c r="A7029" s="39">
        <f>A7028</f>
        <v>46048</v>
      </c>
      <c r="B7029" s="40"/>
      <c r="C7029" s="40"/>
      <c r="D7029" s="41"/>
      <c r="E7029" s="43">
        <f>C7029</f>
        <v>0</v>
      </c>
      <c r="F7029" s="42"/>
    </row>
    <row r="7030" spans="1:6">
      <c r="A7030" s="39">
        <f>A7029</f>
        <v>46048</v>
      </c>
      <c r="B7030" s="40"/>
      <c r="C7030" s="40"/>
      <c r="D7030" s="41"/>
      <c r="E7030" s="43">
        <f>C7030</f>
        <v>0</v>
      </c>
      <c r="F7030" s="42"/>
    </row>
    <row r="7031" spans="1:6">
      <c r="A7031" s="39">
        <f>A7030</f>
        <v>46048</v>
      </c>
      <c r="B7031" s="40"/>
      <c r="C7031" s="40"/>
      <c r="D7031" s="41"/>
      <c r="E7031" s="43">
        <f>C7031</f>
        <v>0</v>
      </c>
      <c r="F7031" s="42"/>
    </row>
    <row r="7032" spans="1:6">
      <c r="A7032" s="39">
        <f>A7031</f>
        <v>46048</v>
      </c>
      <c r="B7032" s="40"/>
      <c r="C7032" s="40"/>
      <c r="D7032" s="41"/>
      <c r="E7032" s="43">
        <f>C7032</f>
        <v>0</v>
      </c>
      <c r="F7032" s="42"/>
    </row>
    <row r="7033" spans="1:6">
      <c r="A7033" s="39">
        <f>A7032</f>
        <v>46048</v>
      </c>
      <c r="B7033" s="40"/>
      <c r="C7033" s="40"/>
      <c r="D7033" s="41"/>
      <c r="E7033" s="43">
        <f>C7033</f>
        <v>0</v>
      </c>
      <c r="F7033" s="42"/>
    </row>
    <row r="7034" spans="1:6">
      <c r="A7034" s="39">
        <f>A7033</f>
        <v>46048</v>
      </c>
      <c r="B7034" s="40"/>
      <c r="C7034" s="40"/>
      <c r="D7034" s="41"/>
      <c r="E7034" s="43">
        <f>C7034</f>
        <v>0</v>
      </c>
      <c r="F7034" s="42"/>
    </row>
    <row r="7035" spans="1:6">
      <c r="A7035" s="39">
        <f>A7034</f>
        <v>46048</v>
      </c>
      <c r="B7035" s="40"/>
      <c r="C7035" s="40"/>
      <c r="D7035" s="41"/>
      <c r="E7035" s="43">
        <f>C7035</f>
        <v>0</v>
      </c>
      <c r="F7035" s="42"/>
    </row>
    <row r="7036" spans="1:6">
      <c r="A7036" s="39">
        <f>A7035</f>
        <v>46048</v>
      </c>
      <c r="B7036" s="40"/>
      <c r="C7036" s="40"/>
      <c r="D7036" s="41"/>
      <c r="E7036" s="43">
        <f>C7036</f>
        <v>0</v>
      </c>
      <c r="F7036" s="42"/>
    </row>
    <row r="7037" spans="1:6">
      <c r="A7037" s="39">
        <f>A7036</f>
        <v>46048</v>
      </c>
      <c r="B7037" s="40"/>
      <c r="C7037" s="40"/>
      <c r="D7037" s="41"/>
      <c r="E7037" s="43">
        <f>C7037</f>
        <v>0</v>
      </c>
      <c r="F7037" s="42"/>
    </row>
    <row r="7038" spans="1:6">
      <c r="A7038" s="39">
        <f>A7037</f>
        <v>46048</v>
      </c>
      <c r="B7038" s="40"/>
      <c r="C7038" s="40"/>
      <c r="D7038" s="41"/>
      <c r="E7038" s="43">
        <f>C7038</f>
        <v>0</v>
      </c>
      <c r="F7038" s="42"/>
    </row>
    <row r="7039" spans="1:6">
      <c r="A7039" s="39">
        <f>A7038</f>
        <v>46048</v>
      </c>
      <c r="B7039" s="40"/>
      <c r="C7039" s="40"/>
      <c r="D7039" s="41"/>
      <c r="E7039" s="43">
        <f>C7039</f>
        <v>0</v>
      </c>
      <c r="F7039" s="42"/>
    </row>
    <row r="7040" spans="1:6">
      <c r="A7040" s="39">
        <f>A7039</f>
        <v>46048</v>
      </c>
      <c r="B7040" s="40"/>
      <c r="C7040" s="40"/>
      <c r="D7040" s="41"/>
      <c r="E7040" s="43">
        <f>C7040</f>
        <v>0</v>
      </c>
      <c r="F7040" s="42"/>
    </row>
    <row r="7041" spans="1:6">
      <c r="A7041" s="39">
        <f>A7040</f>
        <v>46048</v>
      </c>
      <c r="B7041" s="40"/>
      <c r="C7041" s="40"/>
      <c r="D7041" s="41"/>
      <c r="E7041" s="43">
        <f>C7041</f>
        <v>0</v>
      </c>
      <c r="F7041" s="42"/>
    </row>
    <row r="7042" spans="1:6">
      <c r="A7042" s="39">
        <f>A7041</f>
        <v>46048</v>
      </c>
      <c r="B7042" s="40"/>
      <c r="C7042" s="40"/>
      <c r="D7042" s="41"/>
      <c r="E7042" s="43">
        <f>C7042</f>
        <v>0</v>
      </c>
      <c r="F7042" s="42"/>
    </row>
    <row r="7043" spans="1:6">
      <c r="A7043" s="39">
        <f>A7042</f>
        <v>46048</v>
      </c>
      <c r="B7043" s="40"/>
      <c r="C7043" s="40"/>
      <c r="D7043" s="41"/>
      <c r="E7043" s="43">
        <f>C7043</f>
        <v>0</v>
      </c>
      <c r="F7043" s="42"/>
    </row>
    <row r="7044" spans="1:6">
      <c r="A7044" s="39">
        <f>A7043</f>
        <v>46048</v>
      </c>
      <c r="B7044" s="40"/>
      <c r="C7044" s="40"/>
      <c r="D7044" s="41"/>
      <c r="E7044" s="43">
        <f>C7044</f>
        <v>0</v>
      </c>
      <c r="F7044" s="42"/>
    </row>
    <row r="7045" spans="1:6">
      <c r="A7045" s="39">
        <f>A7044</f>
        <v>46048</v>
      </c>
      <c r="B7045" s="40"/>
      <c r="C7045" s="40"/>
      <c r="D7045" s="41"/>
      <c r="E7045" s="43">
        <f>C7045</f>
        <v>0</v>
      </c>
      <c r="F7045" s="42"/>
    </row>
    <row r="7046" spans="1:6">
      <c r="A7046" s="39">
        <f>A7045</f>
        <v>46048</v>
      </c>
      <c r="B7046" s="40"/>
      <c r="C7046" s="40"/>
      <c r="D7046" s="41"/>
      <c r="E7046" s="43">
        <f>C7046</f>
        <v>0</v>
      </c>
      <c r="F7046" s="42"/>
    </row>
    <row r="7047" spans="1:6">
      <c r="A7047" s="39">
        <f>A7046</f>
        <v>46048</v>
      </c>
      <c r="B7047" s="40"/>
      <c r="C7047" s="40"/>
      <c r="D7047" s="41"/>
      <c r="E7047" s="43">
        <f>C7047</f>
        <v>0</v>
      </c>
      <c r="F7047" s="42"/>
    </row>
    <row r="7048" spans="1:6">
      <c r="A7048" s="39">
        <f>A7047</f>
        <v>46048</v>
      </c>
      <c r="B7048" s="40"/>
      <c r="C7048" s="40"/>
      <c r="D7048" s="41"/>
      <c r="E7048" s="43">
        <f>C7048</f>
        <v>0</v>
      </c>
      <c r="F7048" s="42"/>
    </row>
    <row r="7049" spans="1:6">
      <c r="A7049" s="39">
        <f>A7048</f>
        <v>46048</v>
      </c>
      <c r="B7049" s="40"/>
      <c r="C7049" s="40"/>
      <c r="D7049" s="41"/>
      <c r="E7049" s="43">
        <f>C7049</f>
        <v>0</v>
      </c>
      <c r="F7049" s="42"/>
    </row>
    <row r="7050" spans="1:6">
      <c r="A7050" s="39">
        <f>A7049</f>
        <v>46048</v>
      </c>
      <c r="B7050" s="40"/>
      <c r="C7050" s="40"/>
      <c r="D7050" s="41"/>
      <c r="E7050" s="43">
        <f>C7050</f>
        <v>0</v>
      </c>
      <c r="F7050" s="42"/>
    </row>
    <row r="7051" spans="1:6">
      <c r="A7051" s="39">
        <f>A7050</f>
        <v>46048</v>
      </c>
      <c r="B7051" s="40"/>
      <c r="C7051" s="40"/>
      <c r="D7051" s="41"/>
      <c r="E7051" s="43">
        <f>C7051</f>
        <v>0</v>
      </c>
      <c r="F7051" s="42"/>
    </row>
    <row r="7052" spans="1:6">
      <c r="A7052" s="39">
        <f>A7051</f>
        <v>46048</v>
      </c>
      <c r="B7052" s="40"/>
      <c r="C7052" s="40"/>
      <c r="D7052" s="41"/>
      <c r="E7052" s="43">
        <f>C7052</f>
        <v>0</v>
      </c>
      <c r="F7052" s="42"/>
    </row>
    <row r="7053" spans="1:6">
      <c r="A7053" s="39">
        <f>A7052</f>
        <v>46048</v>
      </c>
      <c r="B7053" s="40"/>
      <c r="C7053" s="40"/>
      <c r="D7053" s="41"/>
      <c r="E7053" s="43">
        <f>C7053</f>
        <v>0</v>
      </c>
      <c r="F7053" s="42"/>
    </row>
    <row r="7054" spans="1:6">
      <c r="A7054" s="39">
        <f>A7053</f>
        <v>46048</v>
      </c>
      <c r="B7054" s="40"/>
      <c r="C7054" s="40"/>
      <c r="D7054" s="41"/>
      <c r="E7054" s="43">
        <f>C7054</f>
        <v>0</v>
      </c>
      <c r="F7054" s="42"/>
    </row>
    <row r="7055" spans="1:6">
      <c r="A7055" s="39">
        <f>A7054</f>
        <v>46048</v>
      </c>
      <c r="B7055" s="40"/>
      <c r="C7055" s="40"/>
      <c r="D7055" s="41"/>
      <c r="E7055" s="43">
        <f>C7055</f>
        <v>0</v>
      </c>
      <c r="F7055" s="42"/>
    </row>
    <row r="7056" spans="1:6">
      <c r="A7056" s="39">
        <f>A7055</f>
        <v>46048</v>
      </c>
      <c r="B7056" s="40"/>
      <c r="C7056" s="40"/>
      <c r="D7056" s="41"/>
      <c r="E7056" s="43">
        <f>C7056</f>
        <v>0</v>
      </c>
      <c r="F7056" s="42"/>
    </row>
    <row r="7057" spans="1:6">
      <c r="A7057" s="39">
        <f>A7056</f>
        <v>46048</v>
      </c>
      <c r="B7057" s="40"/>
      <c r="C7057" s="40"/>
      <c r="D7057" s="41"/>
      <c r="E7057" s="43">
        <f>C7057</f>
        <v>0</v>
      </c>
      <c r="F7057" s="42"/>
    </row>
    <row r="7058" spans="1:6">
      <c r="A7058" s="39">
        <f>A7057</f>
        <v>46048</v>
      </c>
      <c r="B7058" s="40"/>
      <c r="C7058" s="40"/>
      <c r="D7058" s="41"/>
      <c r="E7058" s="43">
        <f>C7058</f>
        <v>0</v>
      </c>
      <c r="F7058" s="42"/>
    </row>
    <row r="7059" spans="1:6">
      <c r="A7059" s="39">
        <f>A7058</f>
        <v>46048</v>
      </c>
      <c r="B7059" s="40"/>
      <c r="C7059" s="40"/>
      <c r="D7059" s="41"/>
      <c r="E7059" s="43">
        <f>C7059</f>
        <v>0</v>
      </c>
      <c r="F7059" s="42"/>
    </row>
    <row r="7060" spans="1:6">
      <c r="A7060" s="39">
        <f>A7059</f>
        <v>46048</v>
      </c>
      <c r="B7060" s="40"/>
      <c r="C7060" s="40"/>
      <c r="D7060" s="41"/>
      <c r="E7060" s="43">
        <f>C7060</f>
        <v>0</v>
      </c>
      <c r="F7060" s="42"/>
    </row>
    <row r="7061" spans="1:6">
      <c r="A7061" s="39">
        <f>A7060</f>
        <v>46048</v>
      </c>
      <c r="B7061" s="40"/>
      <c r="C7061" s="40"/>
      <c r="D7061" s="41"/>
      <c r="E7061" s="43">
        <f>C7061</f>
        <v>0</v>
      </c>
      <c r="F7061" s="42"/>
    </row>
    <row r="7062" spans="1:6">
      <c r="A7062" s="39">
        <f>A7061</f>
        <v>46048</v>
      </c>
      <c r="B7062" s="40"/>
      <c r="C7062" s="40"/>
      <c r="D7062" s="41"/>
      <c r="E7062" s="43">
        <f>C7062</f>
        <v>0</v>
      </c>
      <c r="F7062" s="42"/>
    </row>
    <row r="7063" spans="1:6">
      <c r="A7063" s="39">
        <f>A7062</f>
        <v>46048</v>
      </c>
      <c r="B7063" s="40"/>
      <c r="C7063" s="40"/>
      <c r="D7063" s="41"/>
      <c r="E7063" s="43">
        <f>C7063</f>
        <v>0</v>
      </c>
      <c r="F7063" s="42"/>
    </row>
    <row r="7064" spans="1:6">
      <c r="A7064" s="39">
        <f>A7063</f>
        <v>46048</v>
      </c>
      <c r="B7064" s="40"/>
      <c r="C7064" s="40"/>
      <c r="D7064" s="41"/>
      <c r="E7064" s="43">
        <f>C7064</f>
        <v>0</v>
      </c>
      <c r="F7064" s="42"/>
    </row>
    <row r="7065" spans="1:6">
      <c r="A7065" s="39">
        <f>A7064</f>
        <v>46048</v>
      </c>
      <c r="B7065" s="40"/>
      <c r="C7065" s="40"/>
      <c r="D7065" s="41"/>
      <c r="E7065" s="43">
        <f>C7065</f>
        <v>0</v>
      </c>
      <c r="F7065" s="42"/>
    </row>
    <row r="7066" spans="1:6">
      <c r="A7066" s="39">
        <f>A7065</f>
        <v>46048</v>
      </c>
      <c r="B7066" s="40"/>
      <c r="C7066" s="40"/>
      <c r="D7066" s="41"/>
      <c r="E7066" s="43">
        <f>C7066</f>
        <v>0</v>
      </c>
      <c r="F7066" s="42"/>
    </row>
    <row r="7067" spans="1:6">
      <c r="A7067" s="39">
        <f>A7066</f>
        <v>46048</v>
      </c>
      <c r="B7067" s="40"/>
      <c r="C7067" s="40"/>
      <c r="D7067" s="41"/>
      <c r="E7067" s="43">
        <f>C7067</f>
        <v>0</v>
      </c>
      <c r="F7067" s="42"/>
    </row>
    <row r="7068" spans="1:6">
      <c r="A7068" s="39">
        <f>A7067</f>
        <v>46048</v>
      </c>
      <c r="B7068" s="40"/>
      <c r="C7068" s="40"/>
      <c r="D7068" s="41"/>
      <c r="E7068" s="43">
        <f>C7068</f>
        <v>0</v>
      </c>
      <c r="F7068" s="42"/>
    </row>
    <row r="7069" spans="1:6">
      <c r="A7069" s="39">
        <f>A7068</f>
        <v>46048</v>
      </c>
      <c r="B7069" s="40"/>
      <c r="C7069" s="40"/>
      <c r="D7069" s="41"/>
      <c r="E7069" s="43">
        <f>C7069</f>
        <v>0</v>
      </c>
      <c r="F7069" s="42"/>
    </row>
    <row r="7070" spans="1:6">
      <c r="A7070" s="39">
        <f>A7069</f>
        <v>46048</v>
      </c>
      <c r="B7070" s="40"/>
      <c r="C7070" s="40"/>
      <c r="D7070" s="41"/>
      <c r="E7070" s="43">
        <f>C7070</f>
        <v>0</v>
      </c>
      <c r="F7070" s="42"/>
    </row>
    <row r="7071" spans="1:6">
      <c r="A7071" s="39">
        <f>A7070</f>
        <v>46048</v>
      </c>
      <c r="B7071" s="40"/>
      <c r="C7071" s="40"/>
      <c r="D7071" s="41"/>
      <c r="E7071" s="43">
        <f>C7071</f>
        <v>0</v>
      </c>
      <c r="F7071" s="42"/>
    </row>
    <row r="7072" spans="1:6">
      <c r="A7072" s="39">
        <f>A7071</f>
        <v>46048</v>
      </c>
      <c r="B7072" s="40"/>
      <c r="C7072" s="40"/>
      <c r="D7072" s="41"/>
      <c r="E7072" s="43">
        <f>C7072</f>
        <v>0</v>
      </c>
      <c r="F7072" s="42"/>
    </row>
    <row r="7073" spans="1:6">
      <c r="A7073" s="39">
        <f>A7072</f>
        <v>46048</v>
      </c>
      <c r="B7073" s="40"/>
      <c r="C7073" s="40"/>
      <c r="D7073" s="41"/>
      <c r="E7073" s="43">
        <f>C7073</f>
        <v>0</v>
      </c>
      <c r="F7073" s="42"/>
    </row>
    <row r="7074" spans="1:6">
      <c r="A7074" s="39">
        <f>A7073</f>
        <v>46048</v>
      </c>
      <c r="B7074" s="40"/>
      <c r="C7074" s="40"/>
      <c r="D7074" s="41"/>
      <c r="E7074" s="43">
        <f>C7074</f>
        <v>0</v>
      </c>
      <c r="F7074" s="42"/>
    </row>
    <row r="7075" spans="1:6">
      <c r="A7075" s="39">
        <f>A7074</f>
        <v>46048</v>
      </c>
      <c r="B7075" s="40"/>
      <c r="C7075" s="40"/>
      <c r="D7075" s="41"/>
      <c r="E7075" s="43">
        <f>C7075</f>
        <v>0</v>
      </c>
      <c r="F7075" s="42"/>
    </row>
    <row r="7076" spans="1:6">
      <c r="A7076" s="39">
        <f>A7075</f>
        <v>46048</v>
      </c>
      <c r="B7076" s="40"/>
      <c r="C7076" s="40"/>
      <c r="D7076" s="41"/>
      <c r="E7076" s="43">
        <f>C7076</f>
        <v>0</v>
      </c>
      <c r="F7076" s="42"/>
    </row>
    <row r="7077" spans="1:6">
      <c r="A7077" s="39">
        <f>A7076</f>
        <v>46048</v>
      </c>
      <c r="B7077" s="40"/>
      <c r="C7077" s="40"/>
      <c r="D7077" s="41"/>
      <c r="E7077" s="43">
        <f>C7077</f>
        <v>0</v>
      </c>
      <c r="F7077" s="42"/>
    </row>
    <row r="7078" spans="1:6">
      <c r="A7078" s="39">
        <f>A7077</f>
        <v>46048</v>
      </c>
      <c r="B7078" s="40"/>
      <c r="C7078" s="40"/>
      <c r="D7078" s="41"/>
      <c r="E7078" s="43">
        <f>C7078</f>
        <v>0</v>
      </c>
      <c r="F7078" s="42"/>
    </row>
    <row r="7079" spans="1:6">
      <c r="A7079" s="39">
        <f>A7078</f>
        <v>46048</v>
      </c>
      <c r="B7079" s="40"/>
      <c r="C7079" s="40"/>
      <c r="D7079" s="41"/>
      <c r="E7079" s="43">
        <f>C7079</f>
        <v>0</v>
      </c>
      <c r="F7079" s="42"/>
    </row>
    <row r="7080" spans="1:6">
      <c r="A7080" s="39">
        <f>A7079</f>
        <v>46048</v>
      </c>
      <c r="B7080" s="40"/>
      <c r="C7080" s="40"/>
      <c r="D7080" s="41"/>
      <c r="E7080" s="43">
        <f>C7080</f>
        <v>0</v>
      </c>
      <c r="F7080" s="42"/>
    </row>
    <row r="7081" spans="1:6">
      <c r="A7081" s="39">
        <f>A7080</f>
        <v>46048</v>
      </c>
      <c r="B7081" s="40"/>
      <c r="C7081" s="40"/>
      <c r="D7081" s="41"/>
      <c r="E7081" s="43">
        <f>C7081</f>
        <v>0</v>
      </c>
      <c r="F7081" s="42"/>
    </row>
    <row r="7082" spans="1:6">
      <c r="A7082" s="39">
        <f>A7081</f>
        <v>46048</v>
      </c>
      <c r="B7082" s="40"/>
      <c r="C7082" s="40"/>
      <c r="D7082" s="41"/>
      <c r="E7082" s="43">
        <f>C7082</f>
        <v>0</v>
      </c>
      <c r="F7082" s="42"/>
    </row>
    <row r="7083" spans="1:6">
      <c r="A7083" s="39">
        <f>A7082</f>
        <v>46048</v>
      </c>
      <c r="B7083" s="40"/>
      <c r="C7083" s="40"/>
      <c r="D7083" s="41"/>
      <c r="E7083" s="43">
        <f>C7083</f>
        <v>0</v>
      </c>
      <c r="F7083" s="42"/>
    </row>
    <row r="7084" spans="1:6">
      <c r="A7084" s="39">
        <f>A7083</f>
        <v>46048</v>
      </c>
      <c r="B7084" s="40"/>
      <c r="C7084" s="40"/>
      <c r="D7084" s="41"/>
      <c r="E7084" s="43">
        <f>C7084</f>
        <v>0</v>
      </c>
      <c r="F7084" s="42"/>
    </row>
    <row r="7085" spans="1:6">
      <c r="A7085" s="39">
        <f>A7084</f>
        <v>46048</v>
      </c>
      <c r="B7085" s="40"/>
      <c r="C7085" s="40"/>
      <c r="D7085" s="41"/>
      <c r="E7085" s="43">
        <f>C7085</f>
        <v>0</v>
      </c>
      <c r="F7085" s="42"/>
    </row>
    <row r="7086" spans="1:6">
      <c r="A7086" s="39">
        <f>A7085</f>
        <v>46048</v>
      </c>
      <c r="B7086" s="40"/>
      <c r="C7086" s="40"/>
      <c r="D7086" s="41"/>
      <c r="E7086" s="43">
        <f>C7086</f>
        <v>0</v>
      </c>
      <c r="F7086" s="42"/>
    </row>
    <row r="7087" spans="1:6">
      <c r="A7087" s="39">
        <f>A7086</f>
        <v>46048</v>
      </c>
      <c r="B7087" s="40"/>
      <c r="C7087" s="40"/>
      <c r="D7087" s="41"/>
      <c r="E7087" s="43">
        <f>C7087</f>
        <v>0</v>
      </c>
      <c r="F7087" s="42"/>
    </row>
    <row r="7088" spans="1:6">
      <c r="A7088" s="39">
        <f>A7087</f>
        <v>46048</v>
      </c>
      <c r="B7088" s="40"/>
      <c r="C7088" s="40"/>
      <c r="D7088" s="41"/>
      <c r="E7088" s="43">
        <f>C7088</f>
        <v>0</v>
      </c>
      <c r="F7088" s="42"/>
    </row>
    <row r="7089" spans="1:6">
      <c r="A7089" s="39">
        <f>A7088</f>
        <v>46048</v>
      </c>
      <c r="B7089" s="40"/>
      <c r="C7089" s="40"/>
      <c r="D7089" s="41"/>
      <c r="E7089" s="43">
        <f>C7089</f>
        <v>0</v>
      </c>
      <c r="F7089" s="42"/>
    </row>
    <row r="7090" spans="1:6">
      <c r="A7090" s="39">
        <f>A7089</f>
        <v>46048</v>
      </c>
      <c r="B7090" s="40"/>
      <c r="C7090" s="40"/>
      <c r="D7090" s="41"/>
      <c r="E7090" s="43">
        <f>C7090</f>
        <v>0</v>
      </c>
      <c r="F7090" s="42"/>
    </row>
    <row r="7091" spans="1:6">
      <c r="A7091" s="39">
        <f>A7090</f>
        <v>46048</v>
      </c>
      <c r="B7091" s="40"/>
      <c r="C7091" s="40"/>
      <c r="D7091" s="41"/>
      <c r="E7091" s="43">
        <f>C7091</f>
        <v>0</v>
      </c>
      <c r="F7091" s="42"/>
    </row>
    <row r="7092" spans="1:6">
      <c r="A7092" s="39">
        <f>A7091</f>
        <v>46048</v>
      </c>
      <c r="B7092" s="40"/>
      <c r="C7092" s="40"/>
      <c r="D7092" s="41"/>
      <c r="E7092" s="43">
        <f>C7092</f>
        <v>0</v>
      </c>
      <c r="F7092" s="42"/>
    </row>
    <row r="7093" spans="1:6">
      <c r="A7093" s="39">
        <f>A7092</f>
        <v>46048</v>
      </c>
      <c r="B7093" s="40"/>
      <c r="C7093" s="40"/>
      <c r="D7093" s="41"/>
      <c r="E7093" s="43">
        <f>C7093</f>
        <v>0</v>
      </c>
      <c r="F7093" s="42"/>
    </row>
    <row r="7094" spans="1:6">
      <c r="A7094" s="39">
        <f>A7093</f>
        <v>46048</v>
      </c>
      <c r="B7094" s="40"/>
      <c r="C7094" s="40"/>
      <c r="D7094" s="41"/>
      <c r="E7094" s="43">
        <f>C7094</f>
        <v>0</v>
      </c>
      <c r="F7094" s="42"/>
    </row>
    <row r="7095" spans="1:6">
      <c r="A7095" s="39">
        <f>A7094</f>
        <v>46048</v>
      </c>
      <c r="B7095" s="40"/>
      <c r="C7095" s="40"/>
      <c r="D7095" s="41"/>
      <c r="E7095" s="43">
        <f>C7095</f>
        <v>0</v>
      </c>
      <c r="F7095" s="42"/>
    </row>
    <row r="7096" spans="1:6">
      <c r="A7096" s="39">
        <f>A7095</f>
        <v>46048</v>
      </c>
      <c r="B7096" s="40"/>
      <c r="C7096" s="40"/>
      <c r="D7096" s="41"/>
      <c r="E7096" s="43">
        <f>C7096</f>
        <v>0</v>
      </c>
      <c r="F7096" s="42"/>
    </row>
    <row r="7097" spans="1:6">
      <c r="A7097" s="39">
        <f>A7096</f>
        <v>46048</v>
      </c>
      <c r="B7097" s="40"/>
      <c r="C7097" s="40"/>
      <c r="D7097" s="41"/>
      <c r="E7097" s="43">
        <f>C7097</f>
        <v>0</v>
      </c>
      <c r="F7097" s="42"/>
    </row>
    <row r="7098" spans="1:6">
      <c r="A7098" s="39">
        <f>A7097</f>
        <v>46048</v>
      </c>
      <c r="B7098" s="40"/>
      <c r="C7098" s="40"/>
      <c r="D7098" s="41"/>
      <c r="E7098" s="43">
        <f>C7098</f>
        <v>0</v>
      </c>
      <c r="F7098" s="42"/>
    </row>
    <row r="7099" spans="1:6">
      <c r="A7099" s="39">
        <f>A7098</f>
        <v>46048</v>
      </c>
      <c r="B7099" s="40"/>
      <c r="C7099" s="40"/>
      <c r="D7099" s="41"/>
      <c r="E7099" s="43">
        <f>C7099</f>
        <v>0</v>
      </c>
      <c r="F7099" s="42"/>
    </row>
    <row r="7100" spans="1:6">
      <c r="A7100" s="39">
        <f>A7099</f>
        <v>46048</v>
      </c>
      <c r="B7100" s="40"/>
      <c r="C7100" s="40"/>
      <c r="D7100" s="41"/>
      <c r="E7100" s="43">
        <f>C7100</f>
        <v>0</v>
      </c>
      <c r="F7100" s="42"/>
    </row>
    <row r="7101" spans="1:6">
      <c r="A7101" s="39">
        <f>A7100</f>
        <v>46048</v>
      </c>
      <c r="B7101" s="40"/>
      <c r="C7101" s="40"/>
      <c r="D7101" s="41"/>
      <c r="E7101" s="43">
        <f>C7101</f>
        <v>0</v>
      </c>
      <c r="F7101" s="42"/>
    </row>
    <row r="7102" spans="1:6">
      <c r="A7102" s="39">
        <f>A7101</f>
        <v>46048</v>
      </c>
      <c r="B7102" s="40"/>
      <c r="C7102" s="40"/>
      <c r="D7102" s="41"/>
      <c r="E7102" s="43">
        <f>C7102</f>
        <v>0</v>
      </c>
      <c r="F7102" s="42"/>
    </row>
    <row r="7103" spans="1:6">
      <c r="A7103" s="39">
        <f>A7102</f>
        <v>46048</v>
      </c>
      <c r="B7103" s="40"/>
      <c r="C7103" s="40"/>
      <c r="D7103" s="41"/>
      <c r="E7103" s="43">
        <f>C7103</f>
        <v>0</v>
      </c>
      <c r="F7103" s="42"/>
    </row>
    <row r="7104" spans="1:6">
      <c r="A7104" s="39">
        <f>A7103</f>
        <v>46048</v>
      </c>
      <c r="B7104" s="40"/>
      <c r="C7104" s="40"/>
      <c r="D7104" s="41"/>
      <c r="E7104" s="43">
        <f>C7104</f>
        <v>0</v>
      </c>
      <c r="F7104" s="42"/>
    </row>
    <row r="7105" spans="1:6">
      <c r="A7105" s="39">
        <f>A7104</f>
        <v>46048</v>
      </c>
      <c r="B7105" s="40"/>
      <c r="C7105" s="40"/>
      <c r="D7105" s="41"/>
      <c r="E7105" s="43">
        <f>C7105</f>
        <v>0</v>
      </c>
      <c r="F7105" s="42"/>
    </row>
    <row r="7106" spans="1:6">
      <c r="A7106" s="39">
        <f>A7105</f>
        <v>46048</v>
      </c>
      <c r="B7106" s="40"/>
      <c r="C7106" s="40"/>
      <c r="D7106" s="41"/>
      <c r="E7106" s="43">
        <f>C7106</f>
        <v>0</v>
      </c>
      <c r="F7106" s="42"/>
    </row>
    <row r="7107" spans="1:6">
      <c r="A7107" s="39">
        <f>A7106</f>
        <v>46048</v>
      </c>
      <c r="B7107" s="40"/>
      <c r="C7107" s="40"/>
      <c r="D7107" s="41"/>
      <c r="E7107" s="43">
        <f>C7107</f>
        <v>0</v>
      </c>
      <c r="F7107" s="42"/>
    </row>
    <row r="7108" spans="1:6">
      <c r="A7108" s="39">
        <f>A7107</f>
        <v>46048</v>
      </c>
      <c r="B7108" s="40"/>
      <c r="C7108" s="40"/>
      <c r="D7108" s="41"/>
      <c r="E7108" s="43">
        <f>C7108</f>
        <v>0</v>
      </c>
      <c r="F7108" s="42"/>
    </row>
    <row r="7109" spans="1:6">
      <c r="A7109" s="39">
        <f>A7108</f>
        <v>46048</v>
      </c>
      <c r="B7109" s="40"/>
      <c r="C7109" s="40"/>
      <c r="D7109" s="41"/>
      <c r="E7109" s="43">
        <f>C7109</f>
        <v>0</v>
      </c>
      <c r="F7109" s="42"/>
    </row>
    <row r="7110" spans="1:6">
      <c r="A7110" s="39">
        <f>A7109</f>
        <v>46048</v>
      </c>
      <c r="B7110" s="40"/>
      <c r="C7110" s="40"/>
      <c r="D7110" s="41"/>
      <c r="E7110" s="43">
        <f>C7110</f>
        <v>0</v>
      </c>
      <c r="F7110" s="42"/>
    </row>
    <row r="7111" spans="1:6">
      <c r="A7111" s="39">
        <f>A7110</f>
        <v>46048</v>
      </c>
      <c r="B7111" s="40"/>
      <c r="C7111" s="40"/>
      <c r="D7111" s="41"/>
      <c r="E7111" s="43">
        <f>C7111</f>
        <v>0</v>
      </c>
      <c r="F7111" s="42"/>
    </row>
    <row r="7112" spans="1:6">
      <c r="A7112" s="39">
        <f>A7111</f>
        <v>46048</v>
      </c>
      <c r="B7112" s="40"/>
      <c r="C7112" s="40"/>
      <c r="D7112" s="41"/>
      <c r="E7112" s="43">
        <f>C7112</f>
        <v>0</v>
      </c>
      <c r="F7112" s="42"/>
    </row>
    <row r="7113" spans="1:6">
      <c r="A7113" s="39">
        <f>A7112</f>
        <v>46048</v>
      </c>
      <c r="B7113" s="40"/>
      <c r="C7113" s="40"/>
      <c r="D7113" s="41"/>
      <c r="E7113" s="43">
        <f>C7113</f>
        <v>0</v>
      </c>
      <c r="F7113" s="42"/>
    </row>
    <row r="7114" spans="1:6">
      <c r="A7114" s="39">
        <f>A7113</f>
        <v>46048</v>
      </c>
      <c r="B7114" s="40"/>
      <c r="C7114" s="40"/>
      <c r="D7114" s="41"/>
      <c r="E7114" s="43">
        <f>C7114</f>
        <v>0</v>
      </c>
      <c r="F7114" s="42"/>
    </row>
    <row r="7115" spans="1:6">
      <c r="A7115" s="39">
        <f>A7114</f>
        <v>46048</v>
      </c>
      <c r="B7115" s="40"/>
      <c r="C7115" s="40"/>
      <c r="D7115" s="41"/>
      <c r="E7115" s="43">
        <f>C7115</f>
        <v>0</v>
      </c>
      <c r="F7115" s="42"/>
    </row>
    <row r="7116" spans="1:6">
      <c r="A7116" s="39">
        <f>A7115</f>
        <v>46048</v>
      </c>
      <c r="B7116" s="40"/>
      <c r="C7116" s="40"/>
      <c r="D7116" s="41"/>
      <c r="E7116" s="43">
        <f>C7116</f>
        <v>0</v>
      </c>
      <c r="F7116" s="42"/>
    </row>
    <row r="7117" spans="1:6">
      <c r="A7117" s="39">
        <f>A7116</f>
        <v>46048</v>
      </c>
      <c r="B7117" s="40"/>
      <c r="C7117" s="40"/>
      <c r="D7117" s="41"/>
      <c r="E7117" s="43">
        <f>C7117</f>
        <v>0</v>
      </c>
      <c r="F7117" s="42"/>
    </row>
    <row r="7118" spans="1:6">
      <c r="A7118" s="39">
        <f>A7117</f>
        <v>46048</v>
      </c>
      <c r="B7118" s="40"/>
      <c r="C7118" s="40"/>
      <c r="D7118" s="41"/>
      <c r="E7118" s="43">
        <f>C7118</f>
        <v>0</v>
      </c>
      <c r="F7118" s="42"/>
    </row>
    <row r="7119" spans="1:6">
      <c r="A7119" s="39">
        <f>A7118</f>
        <v>46048</v>
      </c>
      <c r="B7119" s="40"/>
      <c r="C7119" s="40"/>
      <c r="D7119" s="41"/>
      <c r="E7119" s="43">
        <f>C7119</f>
        <v>0</v>
      </c>
      <c r="F7119" s="42"/>
    </row>
    <row r="7120" spans="1:6">
      <c r="A7120" s="39">
        <f>A7119</f>
        <v>46048</v>
      </c>
      <c r="B7120" s="40"/>
      <c r="C7120" s="40"/>
      <c r="D7120" s="41"/>
      <c r="E7120" s="43">
        <f>C7120</f>
        <v>0</v>
      </c>
      <c r="F7120" s="42"/>
    </row>
    <row r="7121" spans="1:6">
      <c r="A7121" s="39">
        <f>A7120</f>
        <v>46048</v>
      </c>
      <c r="B7121" s="40"/>
      <c r="C7121" s="40"/>
      <c r="D7121" s="41"/>
      <c r="E7121" s="43">
        <f>C7121</f>
        <v>0</v>
      </c>
      <c r="F7121" s="42"/>
    </row>
    <row r="7122" spans="1:6">
      <c r="A7122" s="39">
        <f>A7121</f>
        <v>46048</v>
      </c>
      <c r="B7122" s="40"/>
      <c r="C7122" s="40"/>
      <c r="D7122" s="41"/>
      <c r="E7122" s="43">
        <f>C7122</f>
        <v>0</v>
      </c>
      <c r="F7122" s="42"/>
    </row>
    <row r="7123" spans="1:6">
      <c r="A7123" s="39">
        <f>A7122</f>
        <v>46048</v>
      </c>
      <c r="B7123" s="40"/>
      <c r="C7123" s="40"/>
      <c r="D7123" s="41"/>
      <c r="E7123" s="43">
        <f>C7123</f>
        <v>0</v>
      </c>
      <c r="F7123" s="42"/>
    </row>
    <row r="7124" spans="1:6">
      <c r="A7124" s="39">
        <f>A7123</f>
        <v>46048</v>
      </c>
      <c r="B7124" s="40"/>
      <c r="C7124" s="40"/>
      <c r="D7124" s="41"/>
      <c r="E7124" s="43">
        <f>C7124</f>
        <v>0</v>
      </c>
      <c r="F7124" s="42"/>
    </row>
    <row r="7125" spans="1:6">
      <c r="A7125" s="39">
        <f>A7124</f>
        <v>46048</v>
      </c>
      <c r="B7125" s="40"/>
      <c r="C7125" s="40"/>
      <c r="D7125" s="41"/>
      <c r="E7125" s="43">
        <f>C7125</f>
        <v>0</v>
      </c>
      <c r="F7125" s="42"/>
    </row>
    <row r="7126" spans="1:6">
      <c r="A7126" s="39">
        <f>A7125</f>
        <v>46048</v>
      </c>
      <c r="B7126" s="40"/>
      <c r="C7126" s="40"/>
      <c r="D7126" s="41"/>
      <c r="E7126" s="43">
        <f>C7126</f>
        <v>0</v>
      </c>
      <c r="F7126" s="42"/>
    </row>
    <row r="7127" spans="1:6">
      <c r="A7127" s="39">
        <f>A7126</f>
        <v>46048</v>
      </c>
      <c r="B7127" s="40"/>
      <c r="C7127" s="40"/>
      <c r="D7127" s="41"/>
      <c r="E7127" s="43">
        <f>C7127</f>
        <v>0</v>
      </c>
      <c r="F7127" s="42"/>
    </row>
    <row r="7128" spans="1:6">
      <c r="A7128" s="39">
        <f>A7127</f>
        <v>46048</v>
      </c>
      <c r="B7128" s="40"/>
      <c r="C7128" s="40"/>
      <c r="D7128" s="41"/>
      <c r="E7128" s="43">
        <f>C7128</f>
        <v>0</v>
      </c>
      <c r="F7128" s="42"/>
    </row>
    <row r="7129" spans="1:6">
      <c r="A7129" s="39">
        <f>A7128</f>
        <v>46048</v>
      </c>
      <c r="B7129" s="40"/>
      <c r="C7129" s="40"/>
      <c r="D7129" s="41"/>
      <c r="E7129" s="43">
        <f>C7129</f>
        <v>0</v>
      </c>
      <c r="F7129" s="42"/>
    </row>
    <row r="7130" spans="1:6">
      <c r="A7130" s="39">
        <f>A7129</f>
        <v>46048</v>
      </c>
      <c r="B7130" s="40"/>
      <c r="C7130" s="40"/>
      <c r="D7130" s="41"/>
      <c r="E7130" s="43">
        <f>C7130</f>
        <v>0</v>
      </c>
      <c r="F7130" s="42"/>
    </row>
    <row r="7131" spans="1:6">
      <c r="A7131" s="39">
        <f>A7130</f>
        <v>46048</v>
      </c>
      <c r="B7131" s="40"/>
      <c r="C7131" s="40"/>
      <c r="D7131" s="41"/>
      <c r="E7131" s="43">
        <f>C7131</f>
        <v>0</v>
      </c>
      <c r="F7131" s="42"/>
    </row>
    <row r="7132" spans="1:6">
      <c r="A7132" s="39">
        <f>A7131</f>
        <v>46048</v>
      </c>
      <c r="B7132" s="40"/>
      <c r="C7132" s="40"/>
      <c r="D7132" s="41"/>
      <c r="E7132" s="43">
        <f>C7132</f>
        <v>0</v>
      </c>
      <c r="F7132" s="42"/>
    </row>
    <row r="7133" spans="1:6">
      <c r="A7133" s="39">
        <f>A7132</f>
        <v>46048</v>
      </c>
      <c r="B7133" s="40"/>
      <c r="C7133" s="40"/>
      <c r="D7133" s="41"/>
      <c r="E7133" s="43">
        <f>C7133</f>
        <v>0</v>
      </c>
      <c r="F7133" s="42"/>
    </row>
    <row r="7134" spans="1:6">
      <c r="A7134" s="39">
        <f>A7133</f>
        <v>46048</v>
      </c>
      <c r="B7134" s="40"/>
      <c r="C7134" s="40"/>
      <c r="D7134" s="41"/>
      <c r="E7134" s="43">
        <f>C7134</f>
        <v>0</v>
      </c>
      <c r="F7134" s="42"/>
    </row>
    <row r="7135" spans="1:6">
      <c r="A7135" s="39">
        <f>A7134</f>
        <v>46048</v>
      </c>
      <c r="B7135" s="40"/>
      <c r="C7135" s="40"/>
      <c r="D7135" s="41"/>
      <c r="E7135" s="43">
        <f>C7135</f>
        <v>0</v>
      </c>
      <c r="F7135" s="42"/>
    </row>
    <row r="7136" spans="1:6">
      <c r="A7136" s="39">
        <f>A7135</f>
        <v>46048</v>
      </c>
      <c r="B7136" s="40"/>
      <c r="C7136" s="40"/>
      <c r="D7136" s="41"/>
      <c r="E7136" s="43">
        <f>C7136</f>
        <v>0</v>
      </c>
      <c r="F7136" s="42"/>
    </row>
    <row r="7137" spans="1:6">
      <c r="A7137" s="39">
        <f>A7136</f>
        <v>46048</v>
      </c>
      <c r="B7137" s="40"/>
      <c r="C7137" s="40"/>
      <c r="D7137" s="41"/>
      <c r="E7137" s="43">
        <f>C7137</f>
        <v>0</v>
      </c>
      <c r="F7137" s="42"/>
    </row>
    <row r="7138" spans="1:6">
      <c r="A7138" s="39">
        <f>A7137</f>
        <v>46048</v>
      </c>
      <c r="B7138" s="40"/>
      <c r="C7138" s="40"/>
      <c r="D7138" s="41"/>
      <c r="E7138" s="43">
        <f>C7138</f>
        <v>0</v>
      </c>
      <c r="F7138" s="42"/>
    </row>
    <row r="7139" spans="1:6">
      <c r="A7139" s="39">
        <f>A7138</f>
        <v>46048</v>
      </c>
      <c r="B7139" s="40"/>
      <c r="C7139" s="40"/>
      <c r="D7139" s="41"/>
      <c r="E7139" s="43">
        <f>C7139</f>
        <v>0</v>
      </c>
      <c r="F7139" s="42"/>
    </row>
    <row r="7140" spans="1:6">
      <c r="A7140" s="39">
        <f>A7139</f>
        <v>46048</v>
      </c>
      <c r="B7140" s="40"/>
      <c r="C7140" s="40"/>
      <c r="D7140" s="41"/>
      <c r="E7140" s="43">
        <f>C7140</f>
        <v>0</v>
      </c>
      <c r="F7140" s="42"/>
    </row>
    <row r="7141" spans="1:6">
      <c r="A7141" s="39">
        <f>A7140</f>
        <v>46048</v>
      </c>
      <c r="B7141" s="40"/>
      <c r="C7141" s="40"/>
      <c r="D7141" s="41"/>
      <c r="E7141" s="43">
        <f>C7141</f>
        <v>0</v>
      </c>
      <c r="F7141" s="42"/>
    </row>
    <row r="7142" spans="1:6">
      <c r="A7142" s="39">
        <f>A7141</f>
        <v>46048</v>
      </c>
      <c r="B7142" s="40"/>
      <c r="C7142" s="40"/>
      <c r="D7142" s="41"/>
      <c r="E7142" s="43">
        <f>C7142</f>
        <v>0</v>
      </c>
      <c r="F7142" s="42"/>
    </row>
    <row r="7143" spans="1:6">
      <c r="A7143" s="39">
        <f>A7142</f>
        <v>46048</v>
      </c>
      <c r="B7143" s="40"/>
      <c r="C7143" s="40"/>
      <c r="D7143" s="41"/>
      <c r="E7143" s="43">
        <f>C7143</f>
        <v>0</v>
      </c>
      <c r="F7143" s="42"/>
    </row>
    <row r="7144" spans="1:6">
      <c r="A7144" s="39">
        <f>A7143</f>
        <v>46048</v>
      </c>
      <c r="B7144" s="40"/>
      <c r="C7144" s="40"/>
      <c r="D7144" s="41"/>
      <c r="E7144" s="43">
        <f>C7144</f>
        <v>0</v>
      </c>
      <c r="F7144" s="42"/>
    </row>
    <row r="7145" spans="1:6">
      <c r="A7145" s="39">
        <f>A7144</f>
        <v>46048</v>
      </c>
      <c r="B7145" s="40"/>
      <c r="C7145" s="40"/>
      <c r="D7145" s="41"/>
      <c r="E7145" s="43">
        <f>C7145</f>
        <v>0</v>
      </c>
      <c r="F7145" s="42"/>
    </row>
    <row r="7146" spans="1:6">
      <c r="A7146" s="39">
        <f>A7145</f>
        <v>46048</v>
      </c>
      <c r="B7146" s="40"/>
      <c r="C7146" s="40"/>
      <c r="D7146" s="41"/>
      <c r="E7146" s="43">
        <f>C7146</f>
        <v>0</v>
      </c>
      <c r="F7146" s="42"/>
    </row>
    <row r="7147" spans="1:6">
      <c r="A7147" s="39">
        <f>A7146</f>
        <v>46048</v>
      </c>
      <c r="B7147" s="40"/>
      <c r="C7147" s="40"/>
      <c r="D7147" s="41"/>
      <c r="E7147" s="43">
        <f>C7147</f>
        <v>0</v>
      </c>
      <c r="F7147" s="42"/>
    </row>
    <row r="7148" spans="1:6">
      <c r="A7148" s="39">
        <f>A7147</f>
        <v>46048</v>
      </c>
      <c r="B7148" s="40"/>
      <c r="C7148" s="40"/>
      <c r="D7148" s="41"/>
      <c r="E7148" s="43">
        <f>C7148</f>
        <v>0</v>
      </c>
      <c r="F7148" s="42"/>
    </row>
    <row r="7149" spans="1:6">
      <c r="A7149" s="39">
        <f>A7148</f>
        <v>46048</v>
      </c>
      <c r="B7149" s="40"/>
      <c r="C7149" s="40"/>
      <c r="D7149" s="41"/>
      <c r="E7149" s="43">
        <f>C7149</f>
        <v>0</v>
      </c>
      <c r="F7149" s="42"/>
    </row>
    <row r="7150" spans="1:6">
      <c r="A7150" s="39">
        <f>A7149</f>
        <v>46048</v>
      </c>
      <c r="B7150" s="40"/>
      <c r="C7150" s="40"/>
      <c r="D7150" s="41"/>
      <c r="E7150" s="43">
        <f>C7150</f>
        <v>0</v>
      </c>
      <c r="F7150" s="42"/>
    </row>
    <row r="7151" spans="1:6">
      <c r="A7151" s="39">
        <f>A7150</f>
        <v>46048</v>
      </c>
      <c r="B7151" s="40"/>
      <c r="C7151" s="40"/>
      <c r="D7151" s="41"/>
      <c r="E7151" s="43">
        <f>C7151</f>
        <v>0</v>
      </c>
      <c r="F7151" s="42"/>
    </row>
    <row r="7152" spans="1:6">
      <c r="A7152" s="39">
        <f>A7151</f>
        <v>46048</v>
      </c>
      <c r="B7152" s="40"/>
      <c r="C7152" s="40"/>
      <c r="D7152" s="41"/>
      <c r="E7152" s="43">
        <f>C7152</f>
        <v>0</v>
      </c>
      <c r="F7152" s="42"/>
    </row>
    <row r="7153" spans="1:6">
      <c r="A7153" s="39">
        <f>A7152</f>
        <v>46048</v>
      </c>
      <c r="B7153" s="40"/>
      <c r="C7153" s="40"/>
      <c r="D7153" s="41"/>
      <c r="E7153" s="43">
        <f>C7153</f>
        <v>0</v>
      </c>
      <c r="F7153" s="42"/>
    </row>
    <row r="7154" spans="1:6">
      <c r="A7154" s="39">
        <f>A7153</f>
        <v>46048</v>
      </c>
      <c r="B7154" s="40"/>
      <c r="C7154" s="40"/>
      <c r="D7154" s="41"/>
      <c r="E7154" s="43">
        <f>C7154</f>
        <v>0</v>
      </c>
      <c r="F7154" s="42"/>
    </row>
    <row r="7155" spans="1:6">
      <c r="A7155" s="39">
        <f>A7154</f>
        <v>46048</v>
      </c>
      <c r="B7155" s="40"/>
      <c r="C7155" s="40"/>
      <c r="D7155" s="41"/>
      <c r="E7155" s="43">
        <f>C7155</f>
        <v>0</v>
      </c>
      <c r="F7155" s="42"/>
    </row>
    <row r="7156" spans="1:6">
      <c r="A7156" s="39">
        <f>A7155</f>
        <v>46048</v>
      </c>
      <c r="B7156" s="40"/>
      <c r="C7156" s="40"/>
      <c r="D7156" s="41"/>
      <c r="E7156" s="43">
        <f>C7156</f>
        <v>0</v>
      </c>
      <c r="F7156" s="42"/>
    </row>
    <row r="7157" spans="1:6">
      <c r="A7157" s="39">
        <f>A7156</f>
        <v>46048</v>
      </c>
      <c r="B7157" s="40"/>
      <c r="C7157" s="40"/>
      <c r="D7157" s="41"/>
      <c r="E7157" s="43">
        <f>C7157</f>
        <v>0</v>
      </c>
      <c r="F7157" s="42"/>
    </row>
    <row r="7158" spans="1:6">
      <c r="A7158" s="39">
        <f>A7157</f>
        <v>46048</v>
      </c>
      <c r="B7158" s="40"/>
      <c r="C7158" s="40"/>
      <c r="D7158" s="41"/>
      <c r="E7158" s="43">
        <f>C7158</f>
        <v>0</v>
      </c>
      <c r="F7158" s="42"/>
    </row>
    <row r="7159" spans="1:6">
      <c r="A7159" s="39">
        <f>A7158</f>
        <v>46048</v>
      </c>
      <c r="B7159" s="40"/>
      <c r="C7159" s="40"/>
      <c r="D7159" s="41"/>
      <c r="E7159" s="43">
        <f>C7159</f>
        <v>0</v>
      </c>
      <c r="F7159" s="42"/>
    </row>
    <row r="7160" spans="1:6">
      <c r="A7160" s="39">
        <f>A7159</f>
        <v>46048</v>
      </c>
      <c r="B7160" s="40"/>
      <c r="C7160" s="40"/>
      <c r="D7160" s="41"/>
      <c r="E7160" s="43">
        <f>C7160</f>
        <v>0</v>
      </c>
      <c r="F7160" s="42"/>
    </row>
    <row r="7161" spans="1:6">
      <c r="A7161" s="39">
        <f>A7160</f>
        <v>46048</v>
      </c>
      <c r="B7161" s="40"/>
      <c r="C7161" s="40"/>
      <c r="D7161" s="41"/>
      <c r="E7161" s="43">
        <f>C7161</f>
        <v>0</v>
      </c>
      <c r="F7161" s="42"/>
    </row>
    <row r="7162" spans="1:6">
      <c r="A7162" s="39">
        <f>A7161</f>
        <v>46048</v>
      </c>
      <c r="B7162" s="40"/>
      <c r="C7162" s="40"/>
      <c r="D7162" s="41"/>
      <c r="E7162" s="43">
        <f>C7162</f>
        <v>0</v>
      </c>
      <c r="F7162" s="42"/>
    </row>
    <row r="7163" spans="1:6">
      <c r="A7163" s="39">
        <f>A7162</f>
        <v>46048</v>
      </c>
      <c r="B7163" s="40"/>
      <c r="C7163" s="40"/>
      <c r="D7163" s="41"/>
      <c r="E7163" s="43">
        <f>C7163</f>
        <v>0</v>
      </c>
      <c r="F7163" s="42"/>
    </row>
    <row r="7164" spans="1:6">
      <c r="A7164" s="39">
        <f>A7163</f>
        <v>46048</v>
      </c>
      <c r="B7164" s="40"/>
      <c r="C7164" s="40"/>
      <c r="D7164" s="41"/>
      <c r="E7164" s="43">
        <f>C7164</f>
        <v>0</v>
      </c>
      <c r="F7164" s="42"/>
    </row>
    <row r="7165" spans="1:6">
      <c r="A7165" s="39">
        <f>A7164</f>
        <v>46048</v>
      </c>
      <c r="B7165" s="40"/>
      <c r="C7165" s="40"/>
      <c r="D7165" s="41"/>
      <c r="E7165" s="43">
        <f>C7165</f>
        <v>0</v>
      </c>
      <c r="F7165" s="42"/>
    </row>
    <row r="7166" spans="1:6">
      <c r="A7166" s="39">
        <f>A7165</f>
        <v>46048</v>
      </c>
      <c r="B7166" s="40"/>
      <c r="C7166" s="40"/>
      <c r="D7166" s="41"/>
      <c r="E7166" s="43">
        <f>C7166</f>
        <v>0</v>
      </c>
      <c r="F7166" s="42"/>
    </row>
    <row r="7167" spans="1:6">
      <c r="A7167" s="39">
        <f>A7166</f>
        <v>46048</v>
      </c>
      <c r="B7167" s="40"/>
      <c r="C7167" s="40"/>
      <c r="D7167" s="41"/>
      <c r="E7167" s="43">
        <f>C7167</f>
        <v>0</v>
      </c>
      <c r="F7167" s="42"/>
    </row>
    <row r="7168" spans="1:6">
      <c r="A7168" s="39">
        <f>A7167</f>
        <v>46048</v>
      </c>
      <c r="B7168" s="40"/>
      <c r="C7168" s="40"/>
      <c r="D7168" s="41"/>
      <c r="E7168" s="43">
        <f>C7168</f>
        <v>0</v>
      </c>
      <c r="F7168" s="42"/>
    </row>
    <row r="7169" spans="1:6">
      <c r="A7169" s="39">
        <f>A7168</f>
        <v>46048</v>
      </c>
      <c r="B7169" s="40"/>
      <c r="C7169" s="40"/>
      <c r="D7169" s="41"/>
      <c r="E7169" s="43">
        <f>C7169</f>
        <v>0</v>
      </c>
      <c r="F7169" s="42"/>
    </row>
    <row r="7170" spans="1:6">
      <c r="A7170" s="39">
        <f>A7169</f>
        <v>46048</v>
      </c>
      <c r="B7170" s="40"/>
      <c r="C7170" s="40"/>
      <c r="D7170" s="41"/>
      <c r="E7170" s="43">
        <f>C7170</f>
        <v>0</v>
      </c>
      <c r="F7170" s="42"/>
    </row>
    <row r="7171" spans="1:6">
      <c r="A7171" s="39">
        <f>A7170</f>
        <v>46048</v>
      </c>
      <c r="B7171" s="40"/>
      <c r="C7171" s="40"/>
      <c r="D7171" s="41"/>
      <c r="E7171" s="43">
        <f>C7171</f>
        <v>0</v>
      </c>
      <c r="F7171" s="42"/>
    </row>
    <row r="7172" spans="1:6">
      <c r="A7172" s="39">
        <f>A7171</f>
        <v>46048</v>
      </c>
      <c r="B7172" s="40"/>
      <c r="C7172" s="40"/>
      <c r="D7172" s="41"/>
      <c r="E7172" s="43">
        <f>C7172</f>
        <v>0</v>
      </c>
      <c r="F7172" s="42"/>
    </row>
    <row r="7173" spans="1:6">
      <c r="A7173" s="39">
        <f>A7172</f>
        <v>46048</v>
      </c>
      <c r="B7173" s="40"/>
      <c r="C7173" s="40"/>
      <c r="D7173" s="41"/>
      <c r="E7173" s="43">
        <f>C7173</f>
        <v>0</v>
      </c>
      <c r="F7173" s="42"/>
    </row>
    <row r="7174" spans="1:6">
      <c r="A7174" s="39">
        <f>A7173</f>
        <v>46048</v>
      </c>
      <c r="B7174" s="40"/>
      <c r="C7174" s="40"/>
      <c r="D7174" s="41"/>
      <c r="E7174" s="43">
        <f>C7174</f>
        <v>0</v>
      </c>
      <c r="F7174" s="42"/>
    </row>
    <row r="7175" spans="1:6">
      <c r="A7175" s="39">
        <f>A7174</f>
        <v>46048</v>
      </c>
      <c r="B7175" s="40"/>
      <c r="C7175" s="40"/>
      <c r="D7175" s="41"/>
      <c r="E7175" s="43">
        <f>C7175</f>
        <v>0</v>
      </c>
      <c r="F7175" s="42"/>
    </row>
    <row r="7176" spans="1:6">
      <c r="A7176" s="39">
        <f>A7175</f>
        <v>46048</v>
      </c>
      <c r="B7176" s="40"/>
      <c r="C7176" s="40"/>
      <c r="D7176" s="41"/>
      <c r="E7176" s="43">
        <f>C7176</f>
        <v>0</v>
      </c>
      <c r="F7176" s="42"/>
    </row>
    <row r="7177" spans="1:6">
      <c r="A7177" s="39">
        <f>A7176</f>
        <v>46048</v>
      </c>
      <c r="B7177" s="40"/>
      <c r="C7177" s="40"/>
      <c r="D7177" s="41"/>
      <c r="E7177" s="43">
        <f>C7177</f>
        <v>0</v>
      </c>
      <c r="F7177" s="42"/>
    </row>
    <row r="7178" spans="1:6">
      <c r="A7178" s="39">
        <f>A7177</f>
        <v>46048</v>
      </c>
      <c r="B7178" s="40"/>
      <c r="C7178" s="40"/>
      <c r="D7178" s="41"/>
      <c r="E7178" s="43">
        <f>C7178</f>
        <v>0</v>
      </c>
      <c r="F7178" s="42"/>
    </row>
    <row r="7179" spans="1:6">
      <c r="A7179" s="39">
        <f>A7178</f>
        <v>46048</v>
      </c>
      <c r="B7179" s="40"/>
      <c r="C7179" s="40"/>
      <c r="D7179" s="41"/>
      <c r="E7179" s="43">
        <f>C7179</f>
        <v>0</v>
      </c>
      <c r="F7179" s="42"/>
    </row>
    <row r="7180" spans="1:6">
      <c r="A7180" s="39">
        <f>A7179</f>
        <v>46048</v>
      </c>
      <c r="B7180" s="40"/>
      <c r="C7180" s="40"/>
      <c r="D7180" s="41"/>
      <c r="E7180" s="43">
        <f>C7180</f>
        <v>0</v>
      </c>
      <c r="F7180" s="42"/>
    </row>
    <row r="7181" spans="1:6">
      <c r="A7181" s="39">
        <f>A7180</f>
        <v>46048</v>
      </c>
      <c r="B7181" s="40"/>
      <c r="C7181" s="40"/>
      <c r="D7181" s="41"/>
      <c r="E7181" s="43">
        <f>C7181</f>
        <v>0</v>
      </c>
      <c r="F7181" s="42"/>
    </row>
    <row r="7182" spans="1:6">
      <c r="A7182" s="39">
        <f>A7181</f>
        <v>46048</v>
      </c>
      <c r="B7182" s="40"/>
      <c r="C7182" s="40"/>
      <c r="D7182" s="41"/>
      <c r="E7182" s="43">
        <f>C7182</f>
        <v>0</v>
      </c>
      <c r="F7182" s="42"/>
    </row>
    <row r="7183" spans="1:6">
      <c r="A7183" s="39">
        <f>A7182</f>
        <v>46048</v>
      </c>
      <c r="B7183" s="40"/>
      <c r="C7183" s="40"/>
      <c r="D7183" s="41"/>
      <c r="E7183" s="43">
        <f>C7183</f>
        <v>0</v>
      </c>
      <c r="F7183" s="42"/>
    </row>
    <row r="7184" spans="1:6">
      <c r="A7184" s="39">
        <f>A7183</f>
        <v>46048</v>
      </c>
      <c r="B7184" s="40"/>
      <c r="C7184" s="40"/>
      <c r="D7184" s="41"/>
      <c r="E7184" s="43">
        <f>C7184</f>
        <v>0</v>
      </c>
      <c r="F7184" s="42"/>
    </row>
    <row r="7185" spans="1:6">
      <c r="A7185" s="39">
        <f>A7184</f>
        <v>46048</v>
      </c>
      <c r="B7185" s="40"/>
      <c r="C7185" s="40"/>
      <c r="D7185" s="41"/>
      <c r="E7185" s="43">
        <f>C7185</f>
        <v>0</v>
      </c>
      <c r="F7185" s="42"/>
    </row>
    <row r="7186" spans="1:6">
      <c r="A7186" s="39">
        <f>A7185</f>
        <v>46048</v>
      </c>
      <c r="B7186" s="40"/>
      <c r="C7186" s="40"/>
      <c r="D7186" s="41"/>
      <c r="E7186" s="43">
        <f>C7186</f>
        <v>0</v>
      </c>
      <c r="F7186" s="42"/>
    </row>
    <row r="7187" spans="1:6">
      <c r="A7187" s="39">
        <f>A7186</f>
        <v>46048</v>
      </c>
      <c r="B7187" s="40"/>
      <c r="C7187" s="40"/>
      <c r="D7187" s="41"/>
      <c r="E7187" s="43">
        <f>C7187</f>
        <v>0</v>
      </c>
      <c r="F7187" s="42"/>
    </row>
    <row r="7188" spans="1:6">
      <c r="A7188" s="39">
        <f>A7187</f>
        <v>46048</v>
      </c>
      <c r="B7188" s="40"/>
      <c r="C7188" s="40"/>
      <c r="D7188" s="41"/>
      <c r="E7188" s="43">
        <f>C7188</f>
        <v>0</v>
      </c>
      <c r="F7188" s="42"/>
    </row>
    <row r="7189" spans="1:6">
      <c r="A7189" s="39">
        <f>A7188</f>
        <v>46048</v>
      </c>
      <c r="B7189" s="40"/>
      <c r="C7189" s="40"/>
      <c r="D7189" s="41"/>
      <c r="E7189" s="43">
        <f>C7189</f>
        <v>0</v>
      </c>
      <c r="F7189" s="42"/>
    </row>
    <row r="7190" spans="1:6">
      <c r="A7190" s="39">
        <f>A7189</f>
        <v>46048</v>
      </c>
      <c r="B7190" s="40"/>
      <c r="C7190" s="40"/>
      <c r="D7190" s="41"/>
      <c r="E7190" s="43">
        <f>C7190</f>
        <v>0</v>
      </c>
      <c r="F7190" s="42"/>
    </row>
    <row r="7191" spans="1:6">
      <c r="A7191" s="39">
        <f>A7190</f>
        <v>46048</v>
      </c>
      <c r="B7191" s="40"/>
      <c r="C7191" s="40"/>
      <c r="D7191" s="41"/>
      <c r="E7191" s="43">
        <f>C7191</f>
        <v>0</v>
      </c>
      <c r="F7191" s="42"/>
    </row>
    <row r="7192" spans="1:6">
      <c r="A7192" s="39">
        <f>A7191</f>
        <v>46048</v>
      </c>
      <c r="B7192" s="40"/>
      <c r="C7192" s="40"/>
      <c r="D7192" s="41"/>
      <c r="E7192" s="43">
        <f>C7192</f>
        <v>0</v>
      </c>
      <c r="F7192" s="42"/>
    </row>
    <row r="7193" spans="1:6">
      <c r="A7193" s="39">
        <f>A7192</f>
        <v>46048</v>
      </c>
      <c r="B7193" s="40"/>
      <c r="C7193" s="40"/>
      <c r="D7193" s="41"/>
      <c r="E7193" s="43">
        <f>C7193</f>
        <v>0</v>
      </c>
      <c r="F7193" s="42"/>
    </row>
    <row r="7194" spans="1:6">
      <c r="A7194" s="39">
        <f>A7193</f>
        <v>46048</v>
      </c>
      <c r="B7194" s="40"/>
      <c r="C7194" s="40"/>
      <c r="D7194" s="41"/>
      <c r="E7194" s="43">
        <f>C7194</f>
        <v>0</v>
      </c>
      <c r="F7194" s="42"/>
    </row>
    <row r="7195" spans="1:6">
      <c r="A7195" s="39">
        <f>A7194</f>
        <v>46048</v>
      </c>
      <c r="B7195" s="40"/>
      <c r="C7195" s="40"/>
      <c r="D7195" s="41"/>
      <c r="E7195" s="43">
        <f>C7195</f>
        <v>0</v>
      </c>
      <c r="F7195" s="42"/>
    </row>
    <row r="7196" spans="1:6">
      <c r="A7196" s="39">
        <f>A7195</f>
        <v>46048</v>
      </c>
      <c r="B7196" s="40"/>
      <c r="C7196" s="40"/>
      <c r="D7196" s="41"/>
      <c r="E7196" s="43">
        <f>C7196</f>
        <v>0</v>
      </c>
      <c r="F7196" s="42"/>
    </row>
    <row r="7197" spans="1:6">
      <c r="A7197" s="39">
        <f>A7196</f>
        <v>46048</v>
      </c>
      <c r="B7197" s="40"/>
      <c r="C7197" s="40"/>
      <c r="D7197" s="41"/>
      <c r="E7197" s="43">
        <f>C7197</f>
        <v>0</v>
      </c>
      <c r="F7197" s="42"/>
    </row>
    <row r="7198" spans="1:6">
      <c r="A7198" s="39">
        <f>A7197</f>
        <v>46048</v>
      </c>
      <c r="B7198" s="40"/>
      <c r="C7198" s="40"/>
      <c r="D7198" s="41"/>
      <c r="E7198" s="43">
        <f>C7198</f>
        <v>0</v>
      </c>
      <c r="F7198" s="42"/>
    </row>
    <row r="7199" spans="1:6">
      <c r="A7199" s="39">
        <f>A7198</f>
        <v>46048</v>
      </c>
      <c r="B7199" s="40"/>
      <c r="C7199" s="40"/>
      <c r="D7199" s="41"/>
      <c r="E7199" s="43">
        <f>C7199</f>
        <v>0</v>
      </c>
      <c r="F7199" s="42"/>
    </row>
    <row r="7200" spans="1:6">
      <c r="A7200" s="39">
        <f>A7199</f>
        <v>46048</v>
      </c>
      <c r="B7200" s="40"/>
      <c r="C7200" s="40"/>
      <c r="D7200" s="41"/>
      <c r="E7200" s="43">
        <f>C7200</f>
        <v>0</v>
      </c>
      <c r="F7200" s="42"/>
    </row>
    <row r="7201" spans="1:6">
      <c r="A7201" s="39">
        <f>A7200</f>
        <v>46048</v>
      </c>
      <c r="B7201" s="40"/>
      <c r="C7201" s="40"/>
      <c r="D7201" s="41"/>
      <c r="E7201" s="43">
        <f>C7201</f>
        <v>0</v>
      </c>
      <c r="F7201" s="42"/>
    </row>
    <row r="7202" spans="1:6">
      <c r="A7202" s="39">
        <f>A7201</f>
        <v>46048</v>
      </c>
      <c r="B7202" s="40"/>
      <c r="C7202" s="40"/>
      <c r="D7202" s="41"/>
      <c r="E7202" s="43">
        <f>C7202</f>
        <v>0</v>
      </c>
      <c r="F7202" s="42"/>
    </row>
    <row r="7203" spans="1:6">
      <c r="A7203" s="39">
        <f>A7202</f>
        <v>46048</v>
      </c>
      <c r="B7203" s="40"/>
      <c r="C7203" s="40"/>
      <c r="D7203" s="41"/>
      <c r="E7203" s="43">
        <f>C7203</f>
        <v>0</v>
      </c>
      <c r="F7203" s="42"/>
    </row>
    <row r="7204" spans="1:6">
      <c r="A7204" s="39">
        <f>A7203</f>
        <v>46048</v>
      </c>
      <c r="B7204" s="40"/>
      <c r="C7204" s="40"/>
      <c r="D7204" s="41"/>
      <c r="E7204" s="43">
        <f>C7204</f>
        <v>0</v>
      </c>
      <c r="F7204" s="42"/>
    </row>
    <row r="7205" spans="1:6">
      <c r="A7205" s="39">
        <f>A7204</f>
        <v>46048</v>
      </c>
      <c r="B7205" s="40"/>
      <c r="C7205" s="40"/>
      <c r="D7205" s="41"/>
      <c r="E7205" s="43">
        <f>C7205</f>
        <v>0</v>
      </c>
      <c r="F7205" s="42"/>
    </row>
    <row r="7206" spans="1:6">
      <c r="A7206" s="39">
        <f>A7205</f>
        <v>46048</v>
      </c>
      <c r="B7206" s="40"/>
      <c r="C7206" s="40"/>
      <c r="D7206" s="41"/>
      <c r="E7206" s="43">
        <f>C7206</f>
        <v>0</v>
      </c>
      <c r="F7206" s="42"/>
    </row>
    <row r="7207" spans="1:6">
      <c r="A7207" s="39">
        <f>A7206</f>
        <v>46048</v>
      </c>
      <c r="B7207" s="40"/>
      <c r="C7207" s="40"/>
      <c r="D7207" s="41"/>
      <c r="E7207" s="43">
        <f>C7207</f>
        <v>0</v>
      </c>
      <c r="F7207" s="42"/>
    </row>
    <row r="7208" spans="1:6">
      <c r="A7208" s="39">
        <f>A7207</f>
        <v>46048</v>
      </c>
      <c r="B7208" s="40"/>
      <c r="C7208" s="40"/>
      <c r="D7208" s="41"/>
      <c r="E7208" s="43">
        <f>C7208</f>
        <v>0</v>
      </c>
      <c r="F7208" s="42"/>
    </row>
    <row r="7209" spans="1:6">
      <c r="A7209" s="39">
        <f>A7208</f>
        <v>46048</v>
      </c>
      <c r="B7209" s="40"/>
      <c r="C7209" s="40"/>
      <c r="D7209" s="41"/>
      <c r="E7209" s="43">
        <f>C7209</f>
        <v>0</v>
      </c>
      <c r="F7209" s="42"/>
    </row>
    <row r="7210" spans="1:6">
      <c r="A7210" s="39">
        <f>A7209</f>
        <v>46048</v>
      </c>
      <c r="B7210" s="40"/>
      <c r="C7210" s="40"/>
      <c r="D7210" s="41"/>
      <c r="E7210" s="43">
        <f>C7210</f>
        <v>0</v>
      </c>
      <c r="F7210" s="42"/>
    </row>
    <row r="7211" spans="1:6">
      <c r="A7211" s="39">
        <f>A7210</f>
        <v>46048</v>
      </c>
      <c r="B7211" s="40"/>
      <c r="C7211" s="40"/>
      <c r="D7211" s="41"/>
      <c r="E7211" s="43">
        <f>C7211</f>
        <v>0</v>
      </c>
      <c r="F7211" s="42"/>
    </row>
    <row r="7212" spans="1:6">
      <c r="A7212" s="39">
        <f>A7211</f>
        <v>46048</v>
      </c>
      <c r="B7212" s="40"/>
      <c r="C7212" s="40"/>
      <c r="D7212" s="41"/>
      <c r="E7212" s="43">
        <f>C7212</f>
        <v>0</v>
      </c>
      <c r="F7212" s="42"/>
    </row>
    <row r="7213" spans="1:6">
      <c r="A7213" s="39">
        <f>A7212</f>
        <v>46048</v>
      </c>
      <c r="B7213" s="40"/>
      <c r="C7213" s="40"/>
      <c r="D7213" s="41"/>
      <c r="E7213" s="43">
        <f>C7213</f>
        <v>0</v>
      </c>
      <c r="F7213" s="42"/>
    </row>
    <row r="7214" spans="1:6">
      <c r="A7214" s="39">
        <f>A7213</f>
        <v>46048</v>
      </c>
      <c r="B7214" s="40"/>
      <c r="C7214" s="40"/>
      <c r="D7214" s="41"/>
      <c r="E7214" s="43">
        <f>C7214</f>
        <v>0</v>
      </c>
      <c r="F7214" s="42"/>
    </row>
    <row r="7215" spans="1:6">
      <c r="A7215" s="39">
        <f>A7214</f>
        <v>46048</v>
      </c>
      <c r="B7215" s="40"/>
      <c r="C7215" s="40"/>
      <c r="D7215" s="41"/>
      <c r="E7215" s="43">
        <f>C7215</f>
        <v>0</v>
      </c>
      <c r="F7215" s="42"/>
    </row>
    <row r="7216" spans="1:6">
      <c r="A7216" s="39">
        <f>A7215</f>
        <v>46048</v>
      </c>
      <c r="B7216" s="40"/>
      <c r="C7216" s="40"/>
      <c r="D7216" s="41"/>
      <c r="E7216" s="43">
        <f>C7216</f>
        <v>0</v>
      </c>
      <c r="F7216" s="42"/>
    </row>
    <row r="7217" spans="1:6">
      <c r="A7217" s="39">
        <f>A7216</f>
        <v>46048</v>
      </c>
      <c r="B7217" s="40"/>
      <c r="C7217" s="40"/>
      <c r="D7217" s="41"/>
      <c r="E7217" s="43">
        <f>C7217</f>
        <v>0</v>
      </c>
      <c r="F7217" s="42"/>
    </row>
    <row r="7218" spans="1:6">
      <c r="A7218" s="39">
        <f>A7217</f>
        <v>46048</v>
      </c>
      <c r="B7218" s="40"/>
      <c r="C7218" s="40"/>
      <c r="D7218" s="41"/>
      <c r="E7218" s="43">
        <f>C7218</f>
        <v>0</v>
      </c>
      <c r="F7218" s="42"/>
    </row>
    <row r="7219" spans="1:6">
      <c r="A7219" s="39">
        <f>A7218</f>
        <v>46048</v>
      </c>
      <c r="B7219" s="40"/>
      <c r="C7219" s="40"/>
      <c r="D7219" s="41"/>
      <c r="E7219" s="43">
        <f>C7219</f>
        <v>0</v>
      </c>
      <c r="F7219" s="42"/>
    </row>
    <row r="7220" spans="1:6">
      <c r="A7220" s="39">
        <f>A7219</f>
        <v>46048</v>
      </c>
      <c r="B7220" s="40"/>
      <c r="C7220" s="40"/>
      <c r="D7220" s="41"/>
      <c r="E7220" s="43">
        <f>C7220</f>
        <v>0</v>
      </c>
      <c r="F7220" s="42"/>
    </row>
    <row r="7221" spans="1:6">
      <c r="A7221" s="39">
        <f>A7220</f>
        <v>46048</v>
      </c>
      <c r="B7221" s="40"/>
      <c r="C7221" s="40"/>
      <c r="D7221" s="41"/>
      <c r="E7221" s="43">
        <f>C7221</f>
        <v>0</v>
      </c>
      <c r="F7221" s="42"/>
    </row>
    <row r="7222" spans="1:6">
      <c r="A7222" s="39">
        <f>A7221</f>
        <v>46048</v>
      </c>
      <c r="B7222" s="40"/>
      <c r="C7222" s="40"/>
      <c r="D7222" s="41"/>
      <c r="E7222" s="43">
        <f>C7222</f>
        <v>0</v>
      </c>
      <c r="F7222" s="42"/>
    </row>
    <row r="7223" spans="1:6">
      <c r="A7223" s="39">
        <f>A7222</f>
        <v>46048</v>
      </c>
      <c r="B7223" s="40"/>
      <c r="C7223" s="40"/>
      <c r="D7223" s="41"/>
      <c r="E7223" s="43">
        <f>C7223</f>
        <v>0</v>
      </c>
      <c r="F7223" s="42"/>
    </row>
    <row r="7224" spans="1:6">
      <c r="A7224" s="39">
        <f>A7223</f>
        <v>46048</v>
      </c>
      <c r="B7224" s="40"/>
      <c r="C7224" s="40"/>
      <c r="D7224" s="41"/>
      <c r="E7224" s="43">
        <f>C7224</f>
        <v>0</v>
      </c>
      <c r="F7224" s="42"/>
    </row>
    <row r="7225" spans="1:6">
      <c r="A7225" s="39">
        <f>A7224</f>
        <v>46048</v>
      </c>
      <c r="B7225" s="40"/>
      <c r="C7225" s="40"/>
      <c r="D7225" s="41"/>
      <c r="E7225" s="43">
        <f>C7225</f>
        <v>0</v>
      </c>
      <c r="F7225" s="42"/>
    </row>
    <row r="7226" spans="1:6">
      <c r="A7226" s="39">
        <f>A7225</f>
        <v>46048</v>
      </c>
      <c r="B7226" s="40"/>
      <c r="C7226" s="40"/>
      <c r="D7226" s="41"/>
      <c r="E7226" s="43">
        <f>C7226</f>
        <v>0</v>
      </c>
      <c r="F7226" s="42"/>
    </row>
    <row r="7227" spans="1:6">
      <c r="A7227" s="39">
        <f>A7226</f>
        <v>46048</v>
      </c>
      <c r="B7227" s="40"/>
      <c r="C7227" s="40"/>
      <c r="D7227" s="41"/>
      <c r="E7227" s="43">
        <f>C7227</f>
        <v>0</v>
      </c>
      <c r="F7227" s="42"/>
    </row>
    <row r="7228" spans="1:6">
      <c r="A7228" s="39">
        <f>A7227</f>
        <v>46048</v>
      </c>
      <c r="B7228" s="40"/>
      <c r="C7228" s="40"/>
      <c r="D7228" s="41"/>
      <c r="E7228" s="43">
        <f>C7228</f>
        <v>0</v>
      </c>
      <c r="F7228" s="42"/>
    </row>
    <row r="7229" spans="1:6">
      <c r="A7229" s="39">
        <f>A7228</f>
        <v>46048</v>
      </c>
      <c r="B7229" s="40"/>
      <c r="C7229" s="40"/>
      <c r="D7229" s="41"/>
      <c r="E7229" s="43">
        <f>C7229</f>
        <v>0</v>
      </c>
      <c r="F7229" s="42"/>
    </row>
    <row r="7230" spans="1:6">
      <c r="A7230" s="39">
        <f>A7229</f>
        <v>46048</v>
      </c>
      <c r="B7230" s="40"/>
      <c r="C7230" s="40"/>
      <c r="D7230" s="41"/>
      <c r="E7230" s="43">
        <f>C7230</f>
        <v>0</v>
      </c>
      <c r="F7230" s="42"/>
    </row>
    <row r="7231" spans="1:6">
      <c r="A7231" s="39">
        <f>A7230</f>
        <v>46048</v>
      </c>
      <c r="B7231" s="40"/>
      <c r="C7231" s="40"/>
      <c r="D7231" s="41"/>
      <c r="E7231" s="43">
        <f>C7231</f>
        <v>0</v>
      </c>
      <c r="F7231" s="42"/>
    </row>
    <row r="7232" spans="1:6">
      <c r="A7232" s="39">
        <f>A7231</f>
        <v>46048</v>
      </c>
      <c r="B7232" s="40"/>
      <c r="C7232" s="40"/>
      <c r="D7232" s="41"/>
      <c r="E7232" s="43">
        <f>C7232</f>
        <v>0</v>
      </c>
      <c r="F7232" s="42"/>
    </row>
    <row r="7233" spans="1:6">
      <c r="A7233" s="39">
        <f>A7232</f>
        <v>46048</v>
      </c>
      <c r="B7233" s="40"/>
      <c r="C7233" s="40"/>
      <c r="D7233" s="41"/>
      <c r="E7233" s="43">
        <f>C7233</f>
        <v>0</v>
      </c>
      <c r="F7233" s="42"/>
    </row>
    <row r="7234" spans="1:6">
      <c r="A7234" s="39">
        <f>A7233</f>
        <v>46048</v>
      </c>
      <c r="B7234" s="40"/>
      <c r="C7234" s="40"/>
      <c r="D7234" s="41"/>
      <c r="E7234" s="43">
        <f>C7234</f>
        <v>0</v>
      </c>
      <c r="F7234" s="42"/>
    </row>
    <row r="7235" spans="1:6">
      <c r="A7235" s="39">
        <f>A7234</f>
        <v>46048</v>
      </c>
      <c r="B7235" s="40"/>
      <c r="C7235" s="40"/>
      <c r="D7235" s="41"/>
      <c r="E7235" s="43">
        <f>C7235</f>
        <v>0</v>
      </c>
      <c r="F7235" s="42"/>
    </row>
    <row r="7236" spans="1:6">
      <c r="A7236" s="39">
        <f>A7235</f>
        <v>46048</v>
      </c>
      <c r="B7236" s="40"/>
      <c r="C7236" s="40"/>
      <c r="D7236" s="41"/>
      <c r="E7236" s="43">
        <f>C7236</f>
        <v>0</v>
      </c>
      <c r="F7236" s="42"/>
    </row>
    <row r="7237" spans="1:6">
      <c r="A7237" s="39">
        <f>A7236</f>
        <v>46048</v>
      </c>
      <c r="B7237" s="40"/>
      <c r="C7237" s="40"/>
      <c r="D7237" s="41"/>
      <c r="E7237" s="43">
        <f>C7237</f>
        <v>0</v>
      </c>
      <c r="F7237" s="42"/>
    </row>
    <row r="7238" spans="1:6">
      <c r="A7238" s="39">
        <f>A7237</f>
        <v>46048</v>
      </c>
      <c r="B7238" s="40"/>
      <c r="C7238" s="40"/>
      <c r="D7238" s="41"/>
      <c r="E7238" s="43">
        <f>C7238</f>
        <v>0</v>
      </c>
      <c r="F7238" s="42"/>
    </row>
    <row r="7239" spans="1:6">
      <c r="A7239" s="39">
        <f>A7238</f>
        <v>46048</v>
      </c>
      <c r="B7239" s="40"/>
      <c r="C7239" s="40"/>
      <c r="D7239" s="41"/>
      <c r="E7239" s="43">
        <f>C7239</f>
        <v>0</v>
      </c>
      <c r="F7239" s="42"/>
    </row>
    <row r="7240" spans="1:6">
      <c r="A7240" s="39">
        <f>A7239</f>
        <v>46048</v>
      </c>
      <c r="B7240" s="40"/>
      <c r="C7240" s="40"/>
      <c r="D7240" s="41"/>
      <c r="E7240" s="43">
        <f>C7240</f>
        <v>0</v>
      </c>
      <c r="F7240" s="42"/>
    </row>
    <row r="7241" spans="1:6">
      <c r="A7241" s="39">
        <f>A7240</f>
        <v>46048</v>
      </c>
      <c r="B7241" s="40"/>
      <c r="C7241" s="40"/>
      <c r="D7241" s="41"/>
      <c r="E7241" s="43">
        <f>C7241</f>
        <v>0</v>
      </c>
      <c r="F7241" s="42"/>
    </row>
    <row r="7242" spans="1:6">
      <c r="A7242" s="39">
        <f>A7241</f>
        <v>46048</v>
      </c>
      <c r="B7242" s="40"/>
      <c r="C7242" s="40"/>
      <c r="D7242" s="41"/>
      <c r="E7242" s="43">
        <f>C7242</f>
        <v>0</v>
      </c>
      <c r="F7242" s="42"/>
    </row>
    <row r="7243" spans="1:6">
      <c r="A7243" s="39">
        <f>A7242</f>
        <v>46048</v>
      </c>
      <c r="B7243" s="40"/>
      <c r="C7243" s="40"/>
      <c r="D7243" s="41"/>
      <c r="E7243" s="43">
        <f>C7243</f>
        <v>0</v>
      </c>
      <c r="F7243" s="42"/>
    </row>
    <row r="7244" spans="1:6">
      <c r="A7244" s="39">
        <f>A7243</f>
        <v>46048</v>
      </c>
      <c r="B7244" s="40"/>
      <c r="C7244" s="40"/>
      <c r="D7244" s="41"/>
      <c r="E7244" s="43">
        <f>C7244</f>
        <v>0</v>
      </c>
      <c r="F7244" s="42"/>
    </row>
    <row r="7245" spans="1:6">
      <c r="A7245" s="39">
        <f>A7244</f>
        <v>46048</v>
      </c>
      <c r="B7245" s="40"/>
      <c r="C7245" s="40"/>
      <c r="D7245" s="41"/>
      <c r="E7245" s="43">
        <f>C7245</f>
        <v>0</v>
      </c>
      <c r="F7245" s="42"/>
    </row>
    <row r="7246" spans="1:6">
      <c r="A7246" s="39">
        <f>A7245</f>
        <v>46048</v>
      </c>
      <c r="B7246" s="40"/>
      <c r="C7246" s="40"/>
      <c r="D7246" s="41"/>
      <c r="E7246" s="43">
        <f>C7246</f>
        <v>0</v>
      </c>
      <c r="F7246" s="42"/>
    </row>
    <row r="7247" spans="1:6">
      <c r="A7247" s="39">
        <f>A7246</f>
        <v>46048</v>
      </c>
      <c r="B7247" s="40"/>
      <c r="C7247" s="40"/>
      <c r="D7247" s="41"/>
      <c r="E7247" s="43">
        <f>C7247</f>
        <v>0</v>
      </c>
      <c r="F7247" s="42"/>
    </row>
    <row r="7248" spans="1:6">
      <c r="A7248" s="39">
        <f>A7247</f>
        <v>46048</v>
      </c>
      <c r="B7248" s="40"/>
      <c r="C7248" s="40"/>
      <c r="D7248" s="41"/>
      <c r="E7248" s="43">
        <f>C7248</f>
        <v>0</v>
      </c>
      <c r="F7248" s="42"/>
    </row>
    <row r="7249" spans="1:6">
      <c r="A7249" s="39">
        <f>A7248</f>
        <v>46048</v>
      </c>
      <c r="B7249" s="40"/>
      <c r="C7249" s="40"/>
      <c r="D7249" s="41"/>
      <c r="E7249" s="43">
        <f>C7249</f>
        <v>0</v>
      </c>
      <c r="F7249" s="42"/>
    </row>
    <row r="7250" spans="1:6">
      <c r="A7250" s="39">
        <f>A7249</f>
        <v>46048</v>
      </c>
      <c r="B7250" s="40"/>
      <c r="C7250" s="40"/>
      <c r="D7250" s="41"/>
      <c r="E7250" s="43">
        <f>C7250</f>
        <v>0</v>
      </c>
      <c r="F7250" s="42"/>
    </row>
    <row r="7251" spans="1:6">
      <c r="A7251" s="39">
        <f>A7250</f>
        <v>46048</v>
      </c>
      <c r="B7251" s="40"/>
      <c r="C7251" s="40"/>
      <c r="D7251" s="41"/>
      <c r="E7251" s="43">
        <f>C7251</f>
        <v>0</v>
      </c>
      <c r="F7251" s="42"/>
    </row>
    <row r="7252" spans="1:6">
      <c r="A7252" s="39">
        <f>A7251</f>
        <v>46048</v>
      </c>
      <c r="B7252" s="40"/>
      <c r="C7252" s="40"/>
      <c r="D7252" s="41"/>
      <c r="E7252" s="43">
        <f>C7252</f>
        <v>0</v>
      </c>
      <c r="F7252" s="42"/>
    </row>
    <row r="7253" spans="1:6">
      <c r="A7253" s="39">
        <f>A7252</f>
        <v>46048</v>
      </c>
      <c r="B7253" s="40"/>
      <c r="C7253" s="40"/>
      <c r="D7253" s="41"/>
      <c r="E7253" s="43">
        <f>C7253</f>
        <v>0</v>
      </c>
      <c r="F7253" s="42"/>
    </row>
    <row r="7254" spans="1:6">
      <c r="A7254" s="39">
        <f>A7253</f>
        <v>46048</v>
      </c>
      <c r="B7254" s="40"/>
      <c r="C7254" s="40"/>
      <c r="D7254" s="41"/>
      <c r="E7254" s="43">
        <f>C7254</f>
        <v>0</v>
      </c>
      <c r="F7254" s="42"/>
    </row>
    <row r="7255" spans="1:6">
      <c r="A7255" s="39">
        <f>A7254</f>
        <v>46048</v>
      </c>
      <c r="B7255" s="40"/>
      <c r="C7255" s="40"/>
      <c r="D7255" s="41"/>
      <c r="E7255" s="43">
        <f>C7255</f>
        <v>0</v>
      </c>
      <c r="F7255" s="42"/>
    </row>
    <row r="7256" spans="1:6">
      <c r="A7256" s="39">
        <f>A7255</f>
        <v>46048</v>
      </c>
      <c r="B7256" s="40"/>
      <c r="C7256" s="40"/>
      <c r="D7256" s="41"/>
      <c r="E7256" s="43">
        <f>C7256</f>
        <v>0</v>
      </c>
      <c r="F7256" s="42"/>
    </row>
    <row r="7257" spans="1:6">
      <c r="A7257" s="39">
        <f>A7256</f>
        <v>46048</v>
      </c>
      <c r="B7257" s="40"/>
      <c r="C7257" s="40"/>
      <c r="D7257" s="41"/>
      <c r="E7257" s="43">
        <f>C7257</f>
        <v>0</v>
      </c>
      <c r="F7257" s="42"/>
    </row>
    <row r="7258" spans="1:6">
      <c r="A7258" s="39">
        <f>A7257</f>
        <v>46048</v>
      </c>
      <c r="B7258" s="40"/>
      <c r="C7258" s="40"/>
      <c r="D7258" s="41"/>
      <c r="E7258" s="43">
        <f>C7258</f>
        <v>0</v>
      </c>
      <c r="F7258" s="42"/>
    </row>
    <row r="7259" spans="1:6">
      <c r="A7259" s="39">
        <f>A7258</f>
        <v>46048</v>
      </c>
      <c r="B7259" s="40"/>
      <c r="C7259" s="40"/>
      <c r="D7259" s="41"/>
      <c r="E7259" s="43">
        <f>C7259</f>
        <v>0</v>
      </c>
      <c r="F7259" s="42"/>
    </row>
    <row r="7260" spans="1:6">
      <c r="A7260" s="39">
        <f>A7259</f>
        <v>46048</v>
      </c>
      <c r="B7260" s="40"/>
      <c r="C7260" s="40"/>
      <c r="D7260" s="41"/>
      <c r="E7260" s="43">
        <f>C7260</f>
        <v>0</v>
      </c>
      <c r="F7260" s="42"/>
    </row>
    <row r="7261" spans="1:6">
      <c r="A7261" s="39">
        <f>A7260</f>
        <v>46048</v>
      </c>
      <c r="B7261" s="40"/>
      <c r="C7261" s="40"/>
      <c r="D7261" s="41"/>
      <c r="E7261" s="43">
        <f>C7261</f>
        <v>0</v>
      </c>
      <c r="F7261" s="42"/>
    </row>
    <row r="7262" spans="1:6">
      <c r="A7262" s="39">
        <f>A7261</f>
        <v>46048</v>
      </c>
      <c r="B7262" s="40"/>
      <c r="C7262" s="40"/>
      <c r="D7262" s="41"/>
      <c r="E7262" s="43">
        <f>C7262</f>
        <v>0</v>
      </c>
      <c r="F7262" s="42"/>
    </row>
    <row r="7263" spans="1:6">
      <c r="A7263" s="39">
        <f>A7262</f>
        <v>46048</v>
      </c>
      <c r="B7263" s="40"/>
      <c r="C7263" s="40"/>
      <c r="D7263" s="41"/>
      <c r="E7263" s="43">
        <f>C7263</f>
        <v>0</v>
      </c>
      <c r="F7263" s="42"/>
    </row>
    <row r="7264" spans="1:6">
      <c r="A7264" s="39">
        <f>A7263</f>
        <v>46048</v>
      </c>
      <c r="B7264" s="40"/>
      <c r="C7264" s="40"/>
      <c r="D7264" s="41"/>
      <c r="E7264" s="43">
        <f>C7264</f>
        <v>0</v>
      </c>
      <c r="F7264" s="42"/>
    </row>
    <row r="7265" spans="1:6">
      <c r="A7265" s="39">
        <f>A7264</f>
        <v>46048</v>
      </c>
      <c r="B7265" s="40"/>
      <c r="C7265" s="40"/>
      <c r="D7265" s="41"/>
      <c r="E7265" s="43">
        <f>C7265</f>
        <v>0</v>
      </c>
      <c r="F7265" s="42"/>
    </row>
    <row r="7266" spans="1:6">
      <c r="A7266" s="39">
        <f>A7265</f>
        <v>46048</v>
      </c>
      <c r="B7266" s="40"/>
      <c r="C7266" s="40"/>
      <c r="D7266" s="41"/>
      <c r="E7266" s="43">
        <f>C7266</f>
        <v>0</v>
      </c>
      <c r="F7266" s="42"/>
    </row>
    <row r="7267" spans="1:6">
      <c r="A7267" s="39">
        <f>A7266</f>
        <v>46048</v>
      </c>
      <c r="B7267" s="40"/>
      <c r="C7267" s="40"/>
      <c r="D7267" s="41"/>
      <c r="E7267" s="43">
        <f>C7267</f>
        <v>0</v>
      </c>
      <c r="F7267" s="42"/>
    </row>
    <row r="7268" spans="1:6">
      <c r="A7268" s="39">
        <f>A7267</f>
        <v>46048</v>
      </c>
      <c r="B7268" s="40"/>
      <c r="C7268" s="40"/>
      <c r="D7268" s="41"/>
      <c r="E7268" s="43">
        <f>C7268</f>
        <v>0</v>
      </c>
      <c r="F7268" s="42"/>
    </row>
    <row r="7269" spans="1:6">
      <c r="A7269" s="39">
        <f>A7268</f>
        <v>46048</v>
      </c>
      <c r="B7269" s="40"/>
      <c r="C7269" s="40"/>
      <c r="D7269" s="41"/>
      <c r="E7269" s="43">
        <f>C7269</f>
        <v>0</v>
      </c>
      <c r="F7269" s="42"/>
    </row>
    <row r="7270" spans="1:6">
      <c r="A7270" s="39">
        <f>A7269</f>
        <v>46048</v>
      </c>
      <c r="B7270" s="40"/>
      <c r="C7270" s="40"/>
      <c r="D7270" s="41"/>
      <c r="E7270" s="43">
        <f>C7270</f>
        <v>0</v>
      </c>
      <c r="F7270" s="42"/>
    </row>
    <row r="7271" spans="1:6">
      <c r="A7271" s="39">
        <f>A7270</f>
        <v>46048</v>
      </c>
      <c r="B7271" s="40"/>
      <c r="C7271" s="40"/>
      <c r="D7271" s="41"/>
      <c r="E7271" s="43">
        <f>C7271</f>
        <v>0</v>
      </c>
      <c r="F7271" s="42"/>
    </row>
    <row r="7272" spans="1:6">
      <c r="A7272" s="39">
        <f>A7271</f>
        <v>46048</v>
      </c>
      <c r="B7272" s="40"/>
      <c r="C7272" s="40"/>
      <c r="D7272" s="41"/>
      <c r="E7272" s="43">
        <f>C7272</f>
        <v>0</v>
      </c>
      <c r="F7272" s="42"/>
    </row>
    <row r="7273" spans="1:6">
      <c r="A7273" s="39">
        <f>A7272</f>
        <v>46048</v>
      </c>
      <c r="B7273" s="40"/>
      <c r="C7273" s="40"/>
      <c r="D7273" s="41"/>
      <c r="E7273" s="43">
        <f>C7273</f>
        <v>0</v>
      </c>
      <c r="F7273" s="42"/>
    </row>
    <row r="7274" spans="1:6">
      <c r="A7274" s="39">
        <f>A7273</f>
        <v>46048</v>
      </c>
      <c r="B7274" s="40"/>
      <c r="C7274" s="40"/>
      <c r="D7274" s="41"/>
      <c r="E7274" s="43">
        <f>C7274</f>
        <v>0</v>
      </c>
      <c r="F7274" s="42"/>
    </row>
    <row r="7275" spans="1:6">
      <c r="A7275" s="39">
        <f>A7274</f>
        <v>46048</v>
      </c>
      <c r="B7275" s="40"/>
      <c r="C7275" s="40"/>
      <c r="D7275" s="41"/>
      <c r="E7275" s="43">
        <f>C7275</f>
        <v>0</v>
      </c>
      <c r="F7275" s="42"/>
    </row>
    <row r="7276" spans="1:6">
      <c r="A7276" s="39">
        <f>A7275</f>
        <v>46048</v>
      </c>
      <c r="B7276" s="40"/>
      <c r="C7276" s="40"/>
      <c r="D7276" s="41"/>
      <c r="E7276" s="43">
        <f>C7276</f>
        <v>0</v>
      </c>
      <c r="F7276" s="42"/>
    </row>
    <row r="7277" spans="1:6">
      <c r="A7277" s="39">
        <f>A7276</f>
        <v>46048</v>
      </c>
      <c r="B7277" s="40"/>
      <c r="C7277" s="40"/>
      <c r="D7277" s="41"/>
      <c r="E7277" s="43">
        <f>C7277</f>
        <v>0</v>
      </c>
      <c r="F7277" s="42"/>
    </row>
    <row r="7278" spans="1:6">
      <c r="A7278" s="39">
        <f>A7277</f>
        <v>46048</v>
      </c>
      <c r="B7278" s="40"/>
      <c r="C7278" s="40"/>
      <c r="D7278" s="41"/>
      <c r="E7278" s="43">
        <f>C7278</f>
        <v>0</v>
      </c>
      <c r="F7278" s="42"/>
    </row>
    <row r="7279" spans="1:6">
      <c r="A7279" s="39">
        <f>A7278</f>
        <v>46048</v>
      </c>
      <c r="B7279" s="40"/>
      <c r="C7279" s="40"/>
      <c r="D7279" s="41"/>
      <c r="E7279" s="43">
        <f>C7279</f>
        <v>0</v>
      </c>
      <c r="F7279" s="42"/>
    </row>
    <row r="7280" spans="1:6">
      <c r="A7280" s="39">
        <f>A7279</f>
        <v>46048</v>
      </c>
      <c r="B7280" s="40"/>
      <c r="C7280" s="40"/>
      <c r="D7280" s="41"/>
      <c r="E7280" s="43">
        <f>C7280</f>
        <v>0</v>
      </c>
      <c r="F7280" s="42"/>
    </row>
    <row r="7281" spans="1:6">
      <c r="A7281" s="39">
        <f>A7280</f>
        <v>46048</v>
      </c>
      <c r="B7281" s="40"/>
      <c r="C7281" s="40"/>
      <c r="D7281" s="41"/>
      <c r="E7281" s="43">
        <f>C7281</f>
        <v>0</v>
      </c>
      <c r="F7281" s="42"/>
    </row>
    <row r="7282" spans="1:6">
      <c r="A7282" s="39">
        <f>A7281</f>
        <v>46048</v>
      </c>
      <c r="B7282" s="40"/>
      <c r="C7282" s="40"/>
      <c r="D7282" s="41"/>
      <c r="E7282" s="43">
        <f>C7282</f>
        <v>0</v>
      </c>
      <c r="F7282" s="42"/>
    </row>
    <row r="7283" spans="1:6">
      <c r="A7283" s="39">
        <f>A7282</f>
        <v>46048</v>
      </c>
      <c r="B7283" s="40"/>
      <c r="C7283" s="40"/>
      <c r="D7283" s="41"/>
      <c r="E7283" s="43">
        <f>C7283</f>
        <v>0</v>
      </c>
      <c r="F7283" s="42"/>
    </row>
    <row r="7284" spans="1:6">
      <c r="A7284" s="39">
        <f>A7283</f>
        <v>46048</v>
      </c>
      <c r="B7284" s="40"/>
      <c r="C7284" s="40"/>
      <c r="D7284" s="41"/>
      <c r="E7284" s="43">
        <f>C7284</f>
        <v>0</v>
      </c>
      <c r="F7284" s="42"/>
    </row>
    <row r="7285" spans="1:6">
      <c r="A7285" s="39">
        <f>A7284</f>
        <v>46048</v>
      </c>
      <c r="B7285" s="40"/>
      <c r="C7285" s="40"/>
      <c r="D7285" s="41"/>
      <c r="E7285" s="43">
        <f>C7285</f>
        <v>0</v>
      </c>
      <c r="F7285" s="42"/>
    </row>
    <row r="7286" spans="1:6">
      <c r="A7286" s="39">
        <f>A7285</f>
        <v>46048</v>
      </c>
      <c r="B7286" s="40"/>
      <c r="C7286" s="40"/>
      <c r="D7286" s="41"/>
      <c r="E7286" s="43">
        <f>C7286</f>
        <v>0</v>
      </c>
      <c r="F7286" s="42"/>
    </row>
    <row r="7287" spans="1:6">
      <c r="A7287" s="39">
        <f>A7286</f>
        <v>46048</v>
      </c>
      <c r="B7287" s="40"/>
      <c r="C7287" s="40"/>
      <c r="D7287" s="41"/>
      <c r="E7287" s="43">
        <f>C7287</f>
        <v>0</v>
      </c>
      <c r="F7287" s="42"/>
    </row>
    <row r="7288" spans="1:6">
      <c r="A7288" s="39">
        <f>A7287</f>
        <v>46048</v>
      </c>
      <c r="B7288" s="40"/>
      <c r="C7288" s="40"/>
      <c r="D7288" s="41"/>
      <c r="E7288" s="43">
        <f>C7288</f>
        <v>0</v>
      </c>
      <c r="F7288" s="42"/>
    </row>
    <row r="7289" spans="1:6">
      <c r="A7289" s="39">
        <f>A7288</f>
        <v>46048</v>
      </c>
      <c r="B7289" s="40"/>
      <c r="C7289" s="40"/>
      <c r="D7289" s="41"/>
      <c r="E7289" s="43">
        <f>C7289</f>
        <v>0</v>
      </c>
      <c r="F7289" s="42"/>
    </row>
    <row r="7290" spans="1:6">
      <c r="A7290" s="39">
        <f>A7289</f>
        <v>46048</v>
      </c>
      <c r="B7290" s="40"/>
      <c r="C7290" s="40"/>
      <c r="D7290" s="41"/>
      <c r="E7290" s="43">
        <f>C7290</f>
        <v>0</v>
      </c>
      <c r="F7290" s="42"/>
    </row>
    <row r="7291" spans="1:6">
      <c r="A7291" s="39">
        <f>A7290</f>
        <v>46048</v>
      </c>
      <c r="B7291" s="40"/>
      <c r="C7291" s="40"/>
      <c r="D7291" s="41"/>
      <c r="E7291" s="43">
        <f>C7291</f>
        <v>0</v>
      </c>
      <c r="F7291" s="42"/>
    </row>
    <row r="7292" spans="1:6">
      <c r="A7292" s="39">
        <f>A7291</f>
        <v>46048</v>
      </c>
      <c r="B7292" s="40"/>
      <c r="C7292" s="40"/>
      <c r="D7292" s="41"/>
      <c r="E7292" s="43">
        <f>C7292</f>
        <v>0</v>
      </c>
      <c r="F7292" s="42"/>
    </row>
    <row r="7293" spans="1:6">
      <c r="A7293" s="39">
        <f>A7292</f>
        <v>46048</v>
      </c>
      <c r="B7293" s="40"/>
      <c r="C7293" s="40"/>
      <c r="D7293" s="41"/>
      <c r="E7293" s="43">
        <f>C7293</f>
        <v>0</v>
      </c>
      <c r="F7293" s="42"/>
    </row>
    <row r="7294" spans="1:6">
      <c r="A7294" s="39">
        <f>A7293</f>
        <v>46048</v>
      </c>
      <c r="B7294" s="40"/>
      <c r="C7294" s="40"/>
      <c r="D7294" s="41"/>
      <c r="E7294" s="43">
        <f>C7294</f>
        <v>0</v>
      </c>
      <c r="F7294" s="42"/>
    </row>
    <row r="7295" spans="1:6">
      <c r="A7295" s="39">
        <f>A7294</f>
        <v>46048</v>
      </c>
      <c r="B7295" s="40"/>
      <c r="C7295" s="40"/>
      <c r="D7295" s="41"/>
      <c r="E7295" s="43">
        <f>C7295</f>
        <v>0</v>
      </c>
      <c r="F7295" s="42"/>
    </row>
    <row r="7296" spans="1:6">
      <c r="A7296" s="39">
        <f>A7295</f>
        <v>46048</v>
      </c>
      <c r="B7296" s="40"/>
      <c r="C7296" s="40"/>
      <c r="D7296" s="41"/>
      <c r="E7296" s="43">
        <f>C7296</f>
        <v>0</v>
      </c>
      <c r="F7296" s="42"/>
    </row>
    <row r="7297" spans="1:6">
      <c r="A7297" s="39">
        <f>A7296</f>
        <v>46048</v>
      </c>
      <c r="B7297" s="40"/>
      <c r="C7297" s="40"/>
      <c r="D7297" s="41"/>
      <c r="E7297" s="43">
        <f>C7297</f>
        <v>0</v>
      </c>
      <c r="F7297" s="42"/>
    </row>
    <row r="7298" spans="1:6">
      <c r="A7298" s="39">
        <f>A7297</f>
        <v>46048</v>
      </c>
      <c r="B7298" s="40"/>
      <c r="C7298" s="40"/>
      <c r="D7298" s="41"/>
      <c r="E7298" s="43">
        <f>C7298</f>
        <v>0</v>
      </c>
      <c r="F7298" s="42"/>
    </row>
    <row r="7299" spans="1:6">
      <c r="A7299" s="39">
        <f>A7298</f>
        <v>46048</v>
      </c>
      <c r="B7299" s="40"/>
      <c r="C7299" s="40"/>
      <c r="D7299" s="41"/>
      <c r="E7299" s="43">
        <f>C7299</f>
        <v>0</v>
      </c>
      <c r="F7299" s="42"/>
    </row>
    <row r="7300" spans="1:6">
      <c r="A7300" s="39">
        <f>A7299</f>
        <v>46048</v>
      </c>
      <c r="B7300" s="40"/>
      <c r="C7300" s="40"/>
      <c r="D7300" s="41"/>
      <c r="E7300" s="43">
        <f>C7300</f>
        <v>0</v>
      </c>
      <c r="F7300" s="42"/>
    </row>
    <row r="7301" spans="1:6">
      <c r="A7301" s="39">
        <f>A7300</f>
        <v>46048</v>
      </c>
      <c r="B7301" s="40"/>
      <c r="C7301" s="40"/>
      <c r="D7301" s="41"/>
      <c r="E7301" s="43">
        <f>C7301</f>
        <v>0</v>
      </c>
      <c r="F7301" s="42"/>
    </row>
    <row r="7302" spans="1:6">
      <c r="A7302" s="39">
        <f>A7301</f>
        <v>46048</v>
      </c>
      <c r="B7302" s="40"/>
      <c r="C7302" s="40"/>
      <c r="D7302" s="41"/>
      <c r="E7302" s="43">
        <f>C7302</f>
        <v>0</v>
      </c>
      <c r="F7302" s="42"/>
    </row>
    <row r="7303" spans="1:6">
      <c r="A7303" s="39">
        <f>A7302</f>
        <v>46048</v>
      </c>
      <c r="B7303" s="40"/>
      <c r="C7303" s="40"/>
      <c r="D7303" s="41"/>
      <c r="E7303" s="43">
        <f>C7303</f>
        <v>0</v>
      </c>
      <c r="F7303" s="42"/>
    </row>
    <row r="7304" spans="1:6">
      <c r="A7304" s="39">
        <f>A7303</f>
        <v>46048</v>
      </c>
      <c r="B7304" s="40"/>
      <c r="C7304" s="40"/>
      <c r="D7304" s="41"/>
      <c r="E7304" s="43">
        <f>C7304</f>
        <v>0</v>
      </c>
      <c r="F7304" s="42"/>
    </row>
    <row r="7305" spans="1:6">
      <c r="A7305" s="39">
        <f>A7304</f>
        <v>46048</v>
      </c>
      <c r="B7305" s="40"/>
      <c r="C7305" s="40"/>
      <c r="D7305" s="41"/>
      <c r="E7305" s="43">
        <f>C7305</f>
        <v>0</v>
      </c>
      <c r="F7305" s="42"/>
    </row>
    <row r="7306" spans="1:6">
      <c r="A7306" s="39">
        <f>A7305</f>
        <v>46048</v>
      </c>
      <c r="B7306" s="40"/>
      <c r="C7306" s="40"/>
      <c r="D7306" s="41"/>
      <c r="E7306" s="43">
        <f>C7306</f>
        <v>0</v>
      </c>
      <c r="F7306" s="42"/>
    </row>
    <row r="7307" spans="1:6">
      <c r="A7307" s="39">
        <f>A7306</f>
        <v>46048</v>
      </c>
      <c r="B7307" s="40"/>
      <c r="C7307" s="40"/>
      <c r="D7307" s="41"/>
      <c r="E7307" s="43">
        <f>C7307</f>
        <v>0</v>
      </c>
      <c r="F7307" s="42"/>
    </row>
    <row r="7308" spans="1:6">
      <c r="A7308" s="39">
        <f>A7307</f>
        <v>46048</v>
      </c>
      <c r="B7308" s="40"/>
      <c r="C7308" s="40"/>
      <c r="D7308" s="41"/>
      <c r="E7308" s="43">
        <f>C7308</f>
        <v>0</v>
      </c>
      <c r="F7308" s="42"/>
    </row>
    <row r="7309" spans="1:6">
      <c r="A7309" s="39">
        <f>A7308</f>
        <v>46048</v>
      </c>
      <c r="B7309" s="40"/>
      <c r="C7309" s="40"/>
      <c r="D7309" s="41"/>
      <c r="E7309" s="43">
        <f>C7309</f>
        <v>0</v>
      </c>
      <c r="F7309" s="42"/>
    </row>
    <row r="7310" spans="1:6">
      <c r="A7310" s="39">
        <f>A7309</f>
        <v>46048</v>
      </c>
      <c r="B7310" s="40"/>
      <c r="C7310" s="40"/>
      <c r="D7310" s="41"/>
      <c r="E7310" s="43">
        <f>C7310</f>
        <v>0</v>
      </c>
      <c r="F7310" s="42"/>
    </row>
    <row r="7311" spans="1:6">
      <c r="A7311" s="39">
        <f>A7310</f>
        <v>46048</v>
      </c>
      <c r="B7311" s="40"/>
      <c r="C7311" s="40"/>
      <c r="D7311" s="41"/>
      <c r="E7311" s="43">
        <f>C7311</f>
        <v>0</v>
      </c>
      <c r="F7311" s="42"/>
    </row>
    <row r="7312" spans="1:6">
      <c r="A7312" s="39">
        <f>A7311</f>
        <v>46048</v>
      </c>
      <c r="B7312" s="40"/>
      <c r="C7312" s="40"/>
      <c r="D7312" s="41"/>
      <c r="E7312" s="43">
        <f>C7312</f>
        <v>0</v>
      </c>
      <c r="F7312" s="42"/>
    </row>
    <row r="7313" spans="1:6">
      <c r="A7313" s="39">
        <f>A7312</f>
        <v>46048</v>
      </c>
      <c r="B7313" s="40"/>
      <c r="C7313" s="40"/>
      <c r="D7313" s="41"/>
      <c r="E7313" s="43">
        <f>C7313</f>
        <v>0</v>
      </c>
      <c r="F7313" s="42"/>
    </row>
    <row r="7314" spans="1:6">
      <c r="A7314" s="39">
        <f>A7313</f>
        <v>46048</v>
      </c>
      <c r="B7314" s="40"/>
      <c r="C7314" s="40"/>
      <c r="D7314" s="41"/>
      <c r="E7314" s="43">
        <f>C7314</f>
        <v>0</v>
      </c>
      <c r="F7314" s="42"/>
    </row>
    <row r="7315" spans="1:6">
      <c r="A7315" s="39">
        <f>A7314</f>
        <v>46048</v>
      </c>
      <c r="B7315" s="40"/>
      <c r="C7315" s="40"/>
      <c r="D7315" s="41"/>
      <c r="E7315" s="43">
        <f>C7315</f>
        <v>0</v>
      </c>
      <c r="F7315" s="42"/>
    </row>
    <row r="7316" spans="1:6">
      <c r="A7316" s="39">
        <f>A7315</f>
        <v>46048</v>
      </c>
      <c r="B7316" s="40"/>
      <c r="C7316" s="40"/>
      <c r="D7316" s="41"/>
      <c r="E7316" s="43">
        <f>C7316</f>
        <v>0</v>
      </c>
      <c r="F7316" s="42"/>
    </row>
    <row r="7317" spans="1:6">
      <c r="A7317" s="39">
        <f>A7316</f>
        <v>46048</v>
      </c>
      <c r="B7317" s="40"/>
      <c r="C7317" s="40"/>
      <c r="D7317" s="41"/>
      <c r="E7317" s="43">
        <f>C7317</f>
        <v>0</v>
      </c>
      <c r="F7317" s="42"/>
    </row>
    <row r="7318" spans="1:6">
      <c r="A7318" s="39">
        <f>A7317</f>
        <v>46048</v>
      </c>
      <c r="B7318" s="40"/>
      <c r="C7318" s="40"/>
      <c r="D7318" s="41"/>
      <c r="E7318" s="43">
        <f>C7318</f>
        <v>0</v>
      </c>
      <c r="F7318" s="42"/>
    </row>
    <row r="7319" spans="1:6">
      <c r="A7319" s="39">
        <f>A7318</f>
        <v>46048</v>
      </c>
      <c r="B7319" s="40"/>
      <c r="C7319" s="40"/>
      <c r="D7319" s="41"/>
      <c r="E7319" s="43">
        <f>C7319</f>
        <v>0</v>
      </c>
      <c r="F7319" s="42"/>
    </row>
    <row r="7320" spans="1:6">
      <c r="A7320" s="39">
        <f>A7319</f>
        <v>46048</v>
      </c>
      <c r="B7320" s="40"/>
      <c r="C7320" s="40"/>
      <c r="D7320" s="41"/>
      <c r="E7320" s="43">
        <f>C7320</f>
        <v>0</v>
      </c>
      <c r="F7320" s="42"/>
    </row>
    <row r="7321" spans="1:6">
      <c r="A7321" s="39">
        <f>A7320</f>
        <v>46048</v>
      </c>
      <c r="B7321" s="40"/>
      <c r="C7321" s="40"/>
      <c r="D7321" s="41"/>
      <c r="E7321" s="43">
        <f>C7321</f>
        <v>0</v>
      </c>
      <c r="F7321" s="42"/>
    </row>
    <row r="7322" spans="1:6">
      <c r="A7322" s="39">
        <f>A7321</f>
        <v>46048</v>
      </c>
      <c r="B7322" s="40"/>
      <c r="C7322" s="40"/>
      <c r="D7322" s="41"/>
      <c r="E7322" s="43">
        <f>C7322</f>
        <v>0</v>
      </c>
      <c r="F7322" s="42"/>
    </row>
    <row r="7323" spans="1:6">
      <c r="A7323" s="39">
        <f>A7322</f>
        <v>46048</v>
      </c>
      <c r="B7323" s="40"/>
      <c r="C7323" s="40"/>
      <c r="D7323" s="41"/>
      <c r="E7323" s="43">
        <f>C7323</f>
        <v>0</v>
      </c>
      <c r="F7323" s="42"/>
    </row>
    <row r="7324" spans="1:6">
      <c r="A7324" s="39">
        <f>A7323</f>
        <v>46048</v>
      </c>
      <c r="B7324" s="40"/>
      <c r="C7324" s="40"/>
      <c r="D7324" s="41"/>
      <c r="E7324" s="43">
        <f>C7324</f>
        <v>0</v>
      </c>
      <c r="F7324" s="42"/>
    </row>
    <row r="7325" spans="1:6">
      <c r="A7325" s="39">
        <f>A7324</f>
        <v>46048</v>
      </c>
      <c r="B7325" s="40"/>
      <c r="C7325" s="40"/>
      <c r="D7325" s="41"/>
      <c r="E7325" s="43">
        <f>C7325</f>
        <v>0</v>
      </c>
      <c r="F7325" s="42"/>
    </row>
    <row r="7326" spans="1:6">
      <c r="A7326" s="39">
        <f>A7325</f>
        <v>46048</v>
      </c>
      <c r="B7326" s="40"/>
      <c r="C7326" s="40"/>
      <c r="D7326" s="41"/>
      <c r="E7326" s="43">
        <f>C7326</f>
        <v>0</v>
      </c>
      <c r="F7326" s="42"/>
    </row>
    <row r="7327" spans="1:6">
      <c r="A7327" s="39">
        <f>A7326</f>
        <v>46048</v>
      </c>
      <c r="B7327" s="40"/>
      <c r="C7327" s="40"/>
      <c r="D7327" s="41"/>
      <c r="E7327" s="43">
        <f>C7327</f>
        <v>0</v>
      </c>
      <c r="F7327" s="42"/>
    </row>
    <row r="7328" spans="1:6">
      <c r="A7328" s="39">
        <f>A7327</f>
        <v>46048</v>
      </c>
      <c r="B7328" s="40"/>
      <c r="C7328" s="40"/>
      <c r="D7328" s="41"/>
      <c r="E7328" s="43">
        <f>C7328</f>
        <v>0</v>
      </c>
      <c r="F7328" s="42"/>
    </row>
    <row r="7329" spans="1:6">
      <c r="A7329" s="39">
        <f>A7328</f>
        <v>46048</v>
      </c>
      <c r="B7329" s="40"/>
      <c r="C7329" s="40"/>
      <c r="D7329" s="41"/>
      <c r="E7329" s="43">
        <f>C7329</f>
        <v>0</v>
      </c>
      <c r="F7329" s="42"/>
    </row>
    <row r="7330" spans="1:6">
      <c r="A7330" s="39">
        <f>A7329</f>
        <v>46048</v>
      </c>
      <c r="B7330" s="40"/>
      <c r="C7330" s="40"/>
      <c r="D7330" s="41"/>
      <c r="E7330" s="43">
        <f>C7330</f>
        <v>0</v>
      </c>
      <c r="F7330" s="42"/>
    </row>
    <row r="7331" spans="1:6">
      <c r="A7331" s="39">
        <f>A7330</f>
        <v>46048</v>
      </c>
      <c r="B7331" s="40"/>
      <c r="C7331" s="40"/>
      <c r="D7331" s="41"/>
      <c r="E7331" s="43">
        <f>C7331</f>
        <v>0</v>
      </c>
      <c r="F7331" s="42"/>
    </row>
    <row r="7332" spans="1:6">
      <c r="A7332" s="39">
        <f>A7331</f>
        <v>46048</v>
      </c>
      <c r="B7332" s="40"/>
      <c r="C7332" s="40"/>
      <c r="D7332" s="41"/>
      <c r="E7332" s="43">
        <f>C7332</f>
        <v>0</v>
      </c>
      <c r="F7332" s="42"/>
    </row>
    <row r="7333" spans="1:6">
      <c r="A7333" s="39">
        <f>A7332</f>
        <v>46048</v>
      </c>
      <c r="B7333" s="40"/>
      <c r="C7333" s="40"/>
      <c r="D7333" s="41"/>
      <c r="E7333" s="43">
        <f>C7333</f>
        <v>0</v>
      </c>
      <c r="F7333" s="42"/>
    </row>
    <row r="7334" spans="1:6">
      <c r="A7334" s="39">
        <f>A7333</f>
        <v>46048</v>
      </c>
      <c r="B7334" s="40"/>
      <c r="C7334" s="40"/>
      <c r="D7334" s="41"/>
      <c r="E7334" s="43">
        <f>C7334</f>
        <v>0</v>
      </c>
      <c r="F7334" s="42"/>
    </row>
    <row r="7335" spans="1:6">
      <c r="A7335" s="39">
        <f>A7334</f>
        <v>46048</v>
      </c>
      <c r="B7335" s="40"/>
      <c r="C7335" s="40"/>
      <c r="D7335" s="41"/>
      <c r="E7335" s="43">
        <f>C7335</f>
        <v>0</v>
      </c>
      <c r="F7335" s="42"/>
    </row>
    <row r="7336" spans="1:6">
      <c r="A7336" s="39">
        <f>A7335</f>
        <v>46048</v>
      </c>
      <c r="B7336" s="40"/>
      <c r="C7336" s="40"/>
      <c r="D7336" s="41"/>
      <c r="E7336" s="43">
        <f>C7336</f>
        <v>0</v>
      </c>
      <c r="F7336" s="42"/>
    </row>
    <row r="7337" spans="1:6">
      <c r="A7337" s="39">
        <f>A7336</f>
        <v>46048</v>
      </c>
      <c r="B7337" s="40"/>
      <c r="C7337" s="40"/>
      <c r="D7337" s="41"/>
      <c r="E7337" s="43">
        <f>C7337</f>
        <v>0</v>
      </c>
      <c r="F7337" s="42"/>
    </row>
    <row r="7338" spans="1:6">
      <c r="A7338" s="39">
        <f>A7337</f>
        <v>46048</v>
      </c>
      <c r="B7338" s="40"/>
      <c r="C7338" s="40"/>
      <c r="D7338" s="41"/>
      <c r="E7338" s="43">
        <f>C7338</f>
        <v>0</v>
      </c>
      <c r="F7338" s="42"/>
    </row>
    <row r="7339" spans="1:6">
      <c r="A7339" s="39">
        <f>A7338</f>
        <v>46048</v>
      </c>
      <c r="B7339" s="40"/>
      <c r="C7339" s="40"/>
      <c r="D7339" s="41"/>
      <c r="E7339" s="43">
        <f>C7339</f>
        <v>0</v>
      </c>
      <c r="F7339" s="42"/>
    </row>
    <row r="7340" spans="1:6">
      <c r="A7340" s="39">
        <f>A7339</f>
        <v>46048</v>
      </c>
      <c r="B7340" s="40"/>
      <c r="C7340" s="40"/>
      <c r="D7340" s="41"/>
      <c r="E7340" s="43">
        <f>C7340</f>
        <v>0</v>
      </c>
      <c r="F7340" s="42"/>
    </row>
    <row r="7341" spans="1:6">
      <c r="A7341" s="39">
        <f>A7340</f>
        <v>46048</v>
      </c>
      <c r="B7341" s="40"/>
      <c r="C7341" s="40"/>
      <c r="D7341" s="41"/>
      <c r="E7341" s="43">
        <f>C7341</f>
        <v>0</v>
      </c>
      <c r="F7341" s="42"/>
    </row>
    <row r="7342" spans="1:6">
      <c r="A7342" s="39">
        <f>A7341</f>
        <v>46048</v>
      </c>
      <c r="B7342" s="40"/>
      <c r="C7342" s="40"/>
      <c r="D7342" s="41"/>
      <c r="E7342" s="43">
        <f>C7342</f>
        <v>0</v>
      </c>
      <c r="F7342" s="42"/>
    </row>
    <row r="7343" spans="1:6">
      <c r="A7343" s="39">
        <f>A7342</f>
        <v>46048</v>
      </c>
      <c r="B7343" s="40"/>
      <c r="C7343" s="40"/>
      <c r="D7343" s="41"/>
      <c r="E7343" s="43">
        <f>C7343</f>
        <v>0</v>
      </c>
      <c r="F7343" s="42"/>
    </row>
    <row r="7344" spans="1:6">
      <c r="A7344" s="39">
        <f>A7343</f>
        <v>46048</v>
      </c>
      <c r="B7344" s="40"/>
      <c r="C7344" s="40"/>
      <c r="D7344" s="41"/>
      <c r="E7344" s="43">
        <f>C7344</f>
        <v>0</v>
      </c>
      <c r="F7344" s="42"/>
    </row>
    <row r="7345" spans="1:6">
      <c r="A7345" s="39">
        <f>A7344</f>
        <v>46048</v>
      </c>
      <c r="B7345" s="40"/>
      <c r="C7345" s="40"/>
      <c r="D7345" s="41"/>
      <c r="E7345" s="43">
        <f>C7345</f>
        <v>0</v>
      </c>
      <c r="F7345" s="42"/>
    </row>
    <row r="7346" spans="1:6">
      <c r="A7346" s="39">
        <f>A7345</f>
        <v>46048</v>
      </c>
      <c r="B7346" s="40"/>
      <c r="C7346" s="40"/>
      <c r="D7346" s="41"/>
      <c r="E7346" s="43">
        <f>C7346</f>
        <v>0</v>
      </c>
      <c r="F7346" s="42"/>
    </row>
    <row r="7347" spans="1:6">
      <c r="A7347" s="39">
        <f>A7346</f>
        <v>46048</v>
      </c>
      <c r="B7347" s="40"/>
      <c r="C7347" s="40"/>
      <c r="D7347" s="41"/>
      <c r="E7347" s="43">
        <f>C7347</f>
        <v>0</v>
      </c>
      <c r="F7347" s="42"/>
    </row>
    <row r="7348" spans="1:6">
      <c r="A7348" s="39">
        <f>A7347</f>
        <v>46048</v>
      </c>
      <c r="B7348" s="40"/>
      <c r="C7348" s="40"/>
      <c r="D7348" s="41"/>
      <c r="E7348" s="43">
        <f>C7348</f>
        <v>0</v>
      </c>
      <c r="F7348" s="42"/>
    </row>
    <row r="7349" spans="1:6">
      <c r="A7349" s="39">
        <f>A7348</f>
        <v>46048</v>
      </c>
      <c r="B7349" s="40"/>
      <c r="C7349" s="40"/>
      <c r="D7349" s="41"/>
      <c r="E7349" s="43">
        <f>C7349</f>
        <v>0</v>
      </c>
      <c r="F7349" s="42"/>
    </row>
    <row r="7350" spans="1:6">
      <c r="A7350" s="39">
        <f>A7349</f>
        <v>46048</v>
      </c>
      <c r="B7350" s="40"/>
      <c r="C7350" s="40"/>
      <c r="D7350" s="41"/>
      <c r="E7350" s="43">
        <f>C7350</f>
        <v>0</v>
      </c>
      <c r="F7350" s="42"/>
    </row>
    <row r="7351" spans="1:6">
      <c r="A7351" s="39">
        <f>A7350</f>
        <v>46048</v>
      </c>
      <c r="B7351" s="40"/>
      <c r="C7351" s="40"/>
      <c r="D7351" s="41"/>
      <c r="E7351" s="43">
        <f>C7351</f>
        <v>0</v>
      </c>
      <c r="F7351" s="42"/>
    </row>
    <row r="7352" spans="1:6">
      <c r="A7352" s="39">
        <f>A7351</f>
        <v>46048</v>
      </c>
      <c r="B7352" s="40"/>
      <c r="C7352" s="40"/>
      <c r="D7352" s="41"/>
      <c r="E7352" s="43">
        <f>C7352</f>
        <v>0</v>
      </c>
      <c r="F7352" s="42"/>
    </row>
    <row r="7353" spans="1:6">
      <c r="A7353" s="39">
        <f>A7352</f>
        <v>46048</v>
      </c>
      <c r="B7353" s="40"/>
      <c r="C7353" s="40"/>
      <c r="D7353" s="41"/>
      <c r="E7353" s="43">
        <f>C7353</f>
        <v>0</v>
      </c>
      <c r="F7353" s="42"/>
    </row>
    <row r="7354" spans="1:6">
      <c r="A7354" s="39">
        <f>A7353</f>
        <v>46048</v>
      </c>
      <c r="B7354" s="40"/>
      <c r="C7354" s="40"/>
      <c r="D7354" s="41"/>
      <c r="E7354" s="43">
        <f>C7354</f>
        <v>0</v>
      </c>
      <c r="F7354" s="42"/>
    </row>
    <row r="7355" spans="1:6">
      <c r="A7355" s="39">
        <f>A7354</f>
        <v>46048</v>
      </c>
      <c r="B7355" s="40"/>
      <c r="C7355" s="40"/>
      <c r="D7355" s="41"/>
      <c r="E7355" s="43">
        <f>C7355</f>
        <v>0</v>
      </c>
      <c r="F7355" s="42"/>
    </row>
    <row r="7356" spans="1:6">
      <c r="A7356" s="39">
        <f>A7355</f>
        <v>46048</v>
      </c>
      <c r="B7356" s="40"/>
      <c r="C7356" s="40"/>
      <c r="D7356" s="41"/>
      <c r="E7356" s="43">
        <f>C7356</f>
        <v>0</v>
      </c>
      <c r="F7356" s="42"/>
    </row>
    <row r="7357" spans="1:6">
      <c r="A7357" s="39">
        <f>A7356</f>
        <v>46048</v>
      </c>
      <c r="B7357" s="40"/>
      <c r="C7357" s="40"/>
      <c r="D7357" s="41"/>
      <c r="E7357" s="43">
        <f>C7357</f>
        <v>0</v>
      </c>
      <c r="F7357" s="42"/>
    </row>
    <row r="7358" spans="1:6">
      <c r="A7358" s="39">
        <f>A7357</f>
        <v>46048</v>
      </c>
      <c r="B7358" s="40"/>
      <c r="C7358" s="40"/>
      <c r="D7358" s="41"/>
      <c r="E7358" s="43">
        <f>C7358</f>
        <v>0</v>
      </c>
      <c r="F7358" s="42"/>
    </row>
    <row r="7359" spans="1:6">
      <c r="A7359" s="39">
        <f>A7358</f>
        <v>46048</v>
      </c>
      <c r="B7359" s="40"/>
      <c r="C7359" s="40"/>
      <c r="D7359" s="41"/>
      <c r="E7359" s="43">
        <f>C7359</f>
        <v>0</v>
      </c>
      <c r="F7359" s="42"/>
    </row>
    <row r="7360" spans="1:6">
      <c r="A7360" s="39">
        <f>A7359</f>
        <v>46048</v>
      </c>
      <c r="B7360" s="40"/>
      <c r="C7360" s="40"/>
      <c r="D7360" s="41"/>
      <c r="E7360" s="43">
        <f>C7360</f>
        <v>0</v>
      </c>
      <c r="F7360" s="42"/>
    </row>
    <row r="7361" spans="1:6">
      <c r="A7361" s="39">
        <f>A7360</f>
        <v>46048</v>
      </c>
      <c r="B7361" s="40"/>
      <c r="C7361" s="40"/>
      <c r="D7361" s="41"/>
      <c r="E7361" s="43">
        <f>C7361</f>
        <v>0</v>
      </c>
      <c r="F7361" s="42"/>
    </row>
    <row r="7362" spans="1:6">
      <c r="A7362" s="39">
        <f>A7361</f>
        <v>46048</v>
      </c>
      <c r="B7362" s="40"/>
      <c r="C7362" s="40"/>
      <c r="D7362" s="41"/>
      <c r="E7362" s="43">
        <f>C7362</f>
        <v>0</v>
      </c>
      <c r="F7362" s="42"/>
    </row>
    <row r="7363" spans="1:6">
      <c r="A7363" s="39">
        <f>A7362</f>
        <v>46048</v>
      </c>
      <c r="B7363" s="40"/>
      <c r="C7363" s="40"/>
      <c r="D7363" s="41"/>
      <c r="E7363" s="43">
        <f>C7363</f>
        <v>0</v>
      </c>
      <c r="F7363" s="42"/>
    </row>
    <row r="7364" spans="1:6">
      <c r="A7364" s="39">
        <f>A7363</f>
        <v>46048</v>
      </c>
      <c r="B7364" s="40"/>
      <c r="C7364" s="40"/>
      <c r="D7364" s="41"/>
      <c r="E7364" s="43">
        <f>C7364</f>
        <v>0</v>
      </c>
      <c r="F7364" s="42"/>
    </row>
    <row r="7365" spans="1:6">
      <c r="A7365" s="39">
        <f>A7364</f>
        <v>46048</v>
      </c>
      <c r="B7365" s="40"/>
      <c r="C7365" s="40"/>
      <c r="D7365" s="41"/>
      <c r="E7365" s="43">
        <f>C7365</f>
        <v>0</v>
      </c>
      <c r="F7365" s="42"/>
    </row>
    <row r="7366" spans="1:6">
      <c r="A7366" s="39">
        <f>A7365</f>
        <v>46048</v>
      </c>
      <c r="B7366" s="40"/>
      <c r="C7366" s="40"/>
      <c r="D7366" s="41"/>
      <c r="E7366" s="43">
        <f>C7366</f>
        <v>0</v>
      </c>
      <c r="F7366" s="42"/>
    </row>
    <row r="7367" spans="1:6">
      <c r="A7367" s="39">
        <f>A7366</f>
        <v>46048</v>
      </c>
      <c r="B7367" s="40"/>
      <c r="C7367" s="40"/>
      <c r="D7367" s="41"/>
      <c r="E7367" s="43">
        <f>C7367</f>
        <v>0</v>
      </c>
      <c r="F7367" s="42"/>
    </row>
    <row r="7368" spans="1:6">
      <c r="A7368" s="39">
        <f>A7367</f>
        <v>46048</v>
      </c>
      <c r="B7368" s="40"/>
      <c r="C7368" s="40"/>
      <c r="D7368" s="41"/>
      <c r="E7368" s="43">
        <f>C7368</f>
        <v>0</v>
      </c>
      <c r="F7368" s="42"/>
    </row>
    <row r="7369" spans="1:6">
      <c r="A7369" s="39">
        <f>A7368</f>
        <v>46048</v>
      </c>
      <c r="B7369" s="40"/>
      <c r="C7369" s="40"/>
      <c r="D7369" s="41"/>
      <c r="E7369" s="43">
        <f>C7369</f>
        <v>0</v>
      </c>
      <c r="F7369" s="42"/>
    </row>
    <row r="7370" spans="1:6">
      <c r="A7370" s="39">
        <f>A7369</f>
        <v>46048</v>
      </c>
      <c r="B7370" s="40"/>
      <c r="C7370" s="40"/>
      <c r="D7370" s="41"/>
      <c r="E7370" s="43">
        <f>C7370</f>
        <v>0</v>
      </c>
      <c r="F7370" s="42"/>
    </row>
    <row r="7371" spans="1:6">
      <c r="A7371" s="39">
        <f>A7370</f>
        <v>46048</v>
      </c>
      <c r="B7371" s="40"/>
      <c r="C7371" s="40"/>
      <c r="D7371" s="41"/>
      <c r="E7371" s="43">
        <f>C7371</f>
        <v>0</v>
      </c>
      <c r="F7371" s="42"/>
    </row>
    <row r="7372" spans="1:6">
      <c r="A7372" s="39">
        <f>A7371</f>
        <v>46048</v>
      </c>
      <c r="B7372" s="40"/>
      <c r="C7372" s="40"/>
      <c r="D7372" s="41"/>
      <c r="E7372" s="43">
        <f>C7372</f>
        <v>0</v>
      </c>
      <c r="F7372" s="42"/>
    </row>
    <row r="7373" spans="1:6">
      <c r="A7373" s="39">
        <f>A7372</f>
        <v>46048</v>
      </c>
      <c r="B7373" s="40"/>
      <c r="C7373" s="40"/>
      <c r="D7373" s="41"/>
      <c r="E7373" s="43">
        <f>C7373</f>
        <v>0</v>
      </c>
      <c r="F7373" s="42"/>
    </row>
    <row r="7374" spans="1:6">
      <c r="A7374" s="39">
        <f>A7373</f>
        <v>46048</v>
      </c>
      <c r="B7374" s="40"/>
      <c r="C7374" s="40"/>
      <c r="D7374" s="41"/>
      <c r="E7374" s="43">
        <f>C7374</f>
        <v>0</v>
      </c>
      <c r="F7374" s="42"/>
    </row>
    <row r="7375" spans="1:6">
      <c r="A7375" s="39">
        <f>A7374</f>
        <v>46048</v>
      </c>
      <c r="B7375" s="40"/>
      <c r="C7375" s="40"/>
      <c r="D7375" s="41"/>
      <c r="E7375" s="43">
        <f>C7375</f>
        <v>0</v>
      </c>
      <c r="F7375" s="42"/>
    </row>
    <row r="7376" spans="1:6">
      <c r="A7376" s="39">
        <f>A7375</f>
        <v>46048</v>
      </c>
      <c r="B7376" s="40"/>
      <c r="C7376" s="40"/>
      <c r="D7376" s="41"/>
      <c r="E7376" s="43">
        <f>C7376</f>
        <v>0</v>
      </c>
      <c r="F7376" s="42"/>
    </row>
    <row r="7377" spans="1:6">
      <c r="A7377" s="39">
        <f>A7376</f>
        <v>46048</v>
      </c>
      <c r="B7377" s="40"/>
      <c r="C7377" s="40"/>
      <c r="D7377" s="41"/>
      <c r="E7377" s="43">
        <f>C7377</f>
        <v>0</v>
      </c>
      <c r="F7377" s="42"/>
    </row>
    <row r="7378" spans="1:6">
      <c r="A7378" s="39">
        <f>A7377</f>
        <v>46048</v>
      </c>
      <c r="B7378" s="40"/>
      <c r="C7378" s="40"/>
      <c r="D7378" s="41"/>
      <c r="E7378" s="43">
        <f>C7378</f>
        <v>0</v>
      </c>
      <c r="F7378" s="42"/>
    </row>
    <row r="7379" spans="1:6">
      <c r="A7379" s="39">
        <f>A7378</f>
        <v>46048</v>
      </c>
      <c r="B7379" s="40"/>
      <c r="C7379" s="40"/>
      <c r="D7379" s="41"/>
      <c r="E7379" s="43">
        <f>C7379</f>
        <v>0</v>
      </c>
      <c r="F7379" s="42"/>
    </row>
    <row r="7380" spans="1:6">
      <c r="A7380" s="39">
        <f>A7379</f>
        <v>46048</v>
      </c>
      <c r="B7380" s="40"/>
      <c r="C7380" s="40"/>
      <c r="D7380" s="41"/>
      <c r="E7380" s="43">
        <f>C7380</f>
        <v>0</v>
      </c>
      <c r="F7380" s="42"/>
    </row>
    <row r="7381" spans="1:6">
      <c r="A7381" s="39">
        <f>A7380</f>
        <v>46048</v>
      </c>
      <c r="B7381" s="40"/>
      <c r="C7381" s="40"/>
      <c r="D7381" s="41"/>
      <c r="E7381" s="43">
        <f>C7381</f>
        <v>0</v>
      </c>
      <c r="F7381" s="42"/>
    </row>
    <row r="7382" spans="1:6">
      <c r="A7382" s="39">
        <f>A7381</f>
        <v>46048</v>
      </c>
      <c r="B7382" s="40"/>
      <c r="C7382" s="40"/>
      <c r="D7382" s="41"/>
      <c r="E7382" s="43">
        <f>C7382</f>
        <v>0</v>
      </c>
      <c r="F7382" s="42"/>
    </row>
    <row r="7383" spans="1:6">
      <c r="A7383" s="39">
        <f>A7382</f>
        <v>46048</v>
      </c>
      <c r="B7383" s="40"/>
      <c r="C7383" s="40"/>
      <c r="D7383" s="41"/>
      <c r="E7383" s="43">
        <f>C7383</f>
        <v>0</v>
      </c>
      <c r="F7383" s="42"/>
    </row>
    <row r="7384" spans="1:6">
      <c r="A7384" s="39">
        <f>A7383</f>
        <v>46048</v>
      </c>
      <c r="B7384" s="40"/>
      <c r="C7384" s="40"/>
      <c r="D7384" s="41"/>
      <c r="E7384" s="43">
        <f>C7384</f>
        <v>0</v>
      </c>
      <c r="F7384" s="42"/>
    </row>
    <row r="7385" spans="1:6">
      <c r="A7385" s="39">
        <f>A7384</f>
        <v>46048</v>
      </c>
      <c r="B7385" s="40"/>
      <c r="C7385" s="40"/>
      <c r="D7385" s="41"/>
      <c r="E7385" s="43">
        <f>C7385</f>
        <v>0</v>
      </c>
      <c r="F7385" s="42"/>
    </row>
    <row r="7386" spans="1:6">
      <c r="A7386" s="39">
        <f>A7385</f>
        <v>46048</v>
      </c>
      <c r="B7386" s="40"/>
      <c r="C7386" s="40"/>
      <c r="D7386" s="41"/>
      <c r="E7386" s="43">
        <f>C7386</f>
        <v>0</v>
      </c>
      <c r="F7386" s="42"/>
    </row>
    <row r="7387" spans="1:6">
      <c r="A7387" s="39">
        <f>A7386</f>
        <v>46048</v>
      </c>
      <c r="B7387" s="40"/>
      <c r="C7387" s="40"/>
      <c r="D7387" s="41"/>
      <c r="E7387" s="43">
        <f>C7387</f>
        <v>0</v>
      </c>
      <c r="F7387" s="42"/>
    </row>
    <row r="7388" spans="1:6">
      <c r="A7388" s="39">
        <f>A7387</f>
        <v>46048</v>
      </c>
      <c r="B7388" s="40"/>
      <c r="C7388" s="40"/>
      <c r="D7388" s="41"/>
      <c r="E7388" s="43">
        <f>C7388</f>
        <v>0</v>
      </c>
      <c r="F7388" s="42"/>
    </row>
    <row r="7389" spans="1:6">
      <c r="A7389" s="39">
        <f>A7388</f>
        <v>46048</v>
      </c>
      <c r="B7389" s="40"/>
      <c r="C7389" s="40"/>
      <c r="D7389" s="41"/>
      <c r="E7389" s="43">
        <f>C7389</f>
        <v>0</v>
      </c>
      <c r="F7389" s="42"/>
    </row>
    <row r="7390" spans="1:6">
      <c r="A7390" s="39">
        <f>A7389</f>
        <v>46048</v>
      </c>
      <c r="B7390" s="40"/>
      <c r="C7390" s="40"/>
      <c r="D7390" s="41"/>
      <c r="E7390" s="43">
        <f>C7390</f>
        <v>0</v>
      </c>
      <c r="F7390" s="42"/>
    </row>
    <row r="7391" spans="1:6">
      <c r="A7391" s="39">
        <f>A7390</f>
        <v>46048</v>
      </c>
      <c r="B7391" s="40"/>
      <c r="C7391" s="40"/>
      <c r="D7391" s="41"/>
      <c r="E7391" s="43">
        <f>C7391</f>
        <v>0</v>
      </c>
      <c r="F7391" s="42"/>
    </row>
    <row r="7392" spans="1:6">
      <c r="A7392" s="39">
        <f>A7391</f>
        <v>46048</v>
      </c>
      <c r="B7392" s="40"/>
      <c r="C7392" s="40"/>
      <c r="D7392" s="41"/>
      <c r="E7392" s="43">
        <f>C7392</f>
        <v>0</v>
      </c>
      <c r="F7392" s="42"/>
    </row>
    <row r="7393" spans="1:6">
      <c r="A7393" s="39">
        <f>A7392</f>
        <v>46048</v>
      </c>
      <c r="B7393" s="40"/>
      <c r="C7393" s="40"/>
      <c r="D7393" s="41"/>
      <c r="E7393" s="43">
        <f>C7393</f>
        <v>0</v>
      </c>
      <c r="F7393" s="42"/>
    </row>
    <row r="7394" spans="1:6">
      <c r="A7394" s="39">
        <f>A7393</f>
        <v>46048</v>
      </c>
      <c r="B7394" s="40"/>
      <c r="C7394" s="40"/>
      <c r="D7394" s="41"/>
      <c r="E7394" s="43">
        <f>C7394</f>
        <v>0</v>
      </c>
      <c r="F7394" s="42"/>
    </row>
    <row r="7395" spans="1:6">
      <c r="A7395" s="39">
        <f>A7394</f>
        <v>46048</v>
      </c>
      <c r="B7395" s="40"/>
      <c r="C7395" s="40"/>
      <c r="D7395" s="41"/>
      <c r="E7395" s="43">
        <f>C7395</f>
        <v>0</v>
      </c>
      <c r="F7395" s="42"/>
    </row>
    <row r="7396" spans="1:6">
      <c r="A7396" s="39">
        <f>A7395</f>
        <v>46048</v>
      </c>
      <c r="B7396" s="40"/>
      <c r="C7396" s="40"/>
      <c r="D7396" s="41"/>
      <c r="E7396" s="43">
        <f>C7396</f>
        <v>0</v>
      </c>
      <c r="F7396" s="42"/>
    </row>
    <row r="7397" spans="1:6">
      <c r="A7397" s="39">
        <f>A7396</f>
        <v>46048</v>
      </c>
      <c r="B7397" s="40"/>
      <c r="C7397" s="40"/>
      <c r="D7397" s="41"/>
      <c r="E7397" s="43">
        <f>C7397</f>
        <v>0</v>
      </c>
      <c r="F7397" s="42"/>
    </row>
    <row r="7398" spans="1:6">
      <c r="A7398" s="39">
        <f>A7397</f>
        <v>46048</v>
      </c>
      <c r="B7398" s="40"/>
      <c r="C7398" s="40"/>
      <c r="D7398" s="41"/>
      <c r="E7398" s="43">
        <f>C7398</f>
        <v>0</v>
      </c>
      <c r="F7398" s="42"/>
    </row>
    <row r="7399" spans="1:6">
      <c r="A7399" s="39">
        <f>A7398</f>
        <v>46048</v>
      </c>
      <c r="B7399" s="40"/>
      <c r="C7399" s="40"/>
      <c r="D7399" s="41"/>
      <c r="E7399" s="43">
        <f>C7399</f>
        <v>0</v>
      </c>
      <c r="F7399" s="42"/>
    </row>
    <row r="7400" spans="1:6">
      <c r="A7400" s="39">
        <f>A7399</f>
        <v>46048</v>
      </c>
      <c r="B7400" s="40"/>
      <c r="C7400" s="40"/>
      <c r="D7400" s="41"/>
      <c r="E7400" s="43">
        <f>C7400</f>
        <v>0</v>
      </c>
      <c r="F7400" s="42"/>
    </row>
    <row r="7401" spans="1:6">
      <c r="A7401" s="39">
        <f>A7400</f>
        <v>46048</v>
      </c>
      <c r="B7401" s="40"/>
      <c r="C7401" s="40"/>
      <c r="D7401" s="41"/>
      <c r="E7401" s="43">
        <f>C7401</f>
        <v>0</v>
      </c>
      <c r="F7401" s="42"/>
    </row>
    <row r="7402" spans="1:6">
      <c r="A7402" s="39">
        <f>A7401</f>
        <v>46048</v>
      </c>
      <c r="B7402" s="40"/>
      <c r="C7402" s="40"/>
      <c r="D7402" s="41"/>
      <c r="E7402" s="43">
        <f>C7402</f>
        <v>0</v>
      </c>
      <c r="F7402" s="42"/>
    </row>
    <row r="7403" spans="1:6">
      <c r="A7403" s="39">
        <f>A7402</f>
        <v>46048</v>
      </c>
      <c r="B7403" s="40"/>
      <c r="C7403" s="40"/>
      <c r="D7403" s="41"/>
      <c r="E7403" s="43">
        <f>C7403</f>
        <v>0</v>
      </c>
      <c r="F7403" s="42"/>
    </row>
    <row r="7404" spans="1:6">
      <c r="A7404" s="39">
        <f>A7403</f>
        <v>46048</v>
      </c>
      <c r="B7404" s="40"/>
      <c r="C7404" s="40"/>
      <c r="D7404" s="41"/>
      <c r="E7404" s="43">
        <f>C7404</f>
        <v>0</v>
      </c>
      <c r="F7404" s="42"/>
    </row>
    <row r="7405" spans="1:6">
      <c r="A7405" s="39">
        <f>A7404</f>
        <v>46048</v>
      </c>
      <c r="B7405" s="40"/>
      <c r="C7405" s="40"/>
      <c r="D7405" s="41"/>
      <c r="E7405" s="43">
        <f>C7405</f>
        <v>0</v>
      </c>
      <c r="F7405" s="42"/>
    </row>
    <row r="7406" spans="1:6">
      <c r="A7406" s="39">
        <f>A7405</f>
        <v>46048</v>
      </c>
      <c r="B7406" s="40"/>
      <c r="C7406" s="40"/>
      <c r="D7406" s="41"/>
      <c r="E7406" s="43">
        <f>C7406</f>
        <v>0</v>
      </c>
      <c r="F7406" s="42"/>
    </row>
    <row r="7407" spans="1:6">
      <c r="A7407" s="39">
        <f>A7406</f>
        <v>46048</v>
      </c>
      <c r="B7407" s="40"/>
      <c r="C7407" s="40"/>
      <c r="D7407" s="41"/>
      <c r="E7407" s="43">
        <f>C7407</f>
        <v>0</v>
      </c>
      <c r="F7407" s="42"/>
    </row>
    <row r="7408" spans="1:6">
      <c r="A7408" s="39">
        <f>A7407</f>
        <v>46048</v>
      </c>
      <c r="B7408" s="40"/>
      <c r="C7408" s="40"/>
      <c r="D7408" s="41"/>
      <c r="E7408" s="43">
        <f>C7408</f>
        <v>0</v>
      </c>
      <c r="F7408" s="42"/>
    </row>
    <row r="7409" spans="1:6">
      <c r="A7409" s="39">
        <f>A7408</f>
        <v>46048</v>
      </c>
      <c r="B7409" s="40"/>
      <c r="C7409" s="40"/>
      <c r="D7409" s="41"/>
      <c r="E7409" s="43">
        <f>C7409</f>
        <v>0</v>
      </c>
      <c r="F7409" s="42"/>
    </row>
    <row r="7410" spans="1:6">
      <c r="A7410" s="39">
        <f>A7409</f>
        <v>46048</v>
      </c>
      <c r="B7410" s="40"/>
      <c r="C7410" s="40"/>
      <c r="D7410" s="41"/>
      <c r="E7410" s="43">
        <f>C7410</f>
        <v>0</v>
      </c>
      <c r="F7410" s="42"/>
    </row>
    <row r="7411" spans="1:6">
      <c r="A7411" s="39">
        <f>A7410</f>
        <v>46048</v>
      </c>
      <c r="B7411" s="40"/>
      <c r="C7411" s="40"/>
      <c r="D7411" s="41"/>
      <c r="E7411" s="43">
        <f>C7411</f>
        <v>0</v>
      </c>
      <c r="F7411" s="42"/>
    </row>
    <row r="7412" spans="1:6">
      <c r="A7412" s="39">
        <f>A7411</f>
        <v>46048</v>
      </c>
      <c r="B7412" s="40"/>
      <c r="C7412" s="40"/>
      <c r="D7412" s="41"/>
      <c r="E7412" s="43">
        <f>C7412</f>
        <v>0</v>
      </c>
      <c r="F7412" s="42"/>
    </row>
    <row r="7413" spans="1:6">
      <c r="A7413" s="39">
        <f>A7412</f>
        <v>46048</v>
      </c>
      <c r="B7413" s="40"/>
      <c r="C7413" s="40"/>
      <c r="D7413" s="41"/>
      <c r="E7413" s="43">
        <f>C7413</f>
        <v>0</v>
      </c>
      <c r="F7413" s="42"/>
    </row>
    <row r="7414" spans="1:6">
      <c r="A7414" s="39">
        <f>A7413</f>
        <v>46048</v>
      </c>
      <c r="B7414" s="40"/>
      <c r="C7414" s="40"/>
      <c r="D7414" s="41"/>
      <c r="E7414" s="43">
        <f>C7414</f>
        <v>0</v>
      </c>
      <c r="F7414" s="42"/>
    </row>
    <row r="7415" spans="1:6">
      <c r="A7415" s="39">
        <f>A7414</f>
        <v>46048</v>
      </c>
      <c r="B7415" s="40"/>
      <c r="C7415" s="40"/>
      <c r="D7415" s="41"/>
      <c r="E7415" s="43">
        <f>C7415</f>
        <v>0</v>
      </c>
      <c r="F7415" s="42"/>
    </row>
    <row r="7416" spans="1:6">
      <c r="A7416" s="39">
        <f>A7415</f>
        <v>46048</v>
      </c>
      <c r="B7416" s="40"/>
      <c r="C7416" s="40"/>
      <c r="D7416" s="41"/>
      <c r="E7416" s="43">
        <f>C7416</f>
        <v>0</v>
      </c>
      <c r="F7416" s="42"/>
    </row>
    <row r="7417" spans="1:6">
      <c r="A7417" s="39">
        <f>A7416</f>
        <v>46048</v>
      </c>
      <c r="B7417" s="40"/>
      <c r="C7417" s="40"/>
      <c r="D7417" s="41"/>
      <c r="E7417" s="43">
        <f>C7417</f>
        <v>0</v>
      </c>
      <c r="F7417" s="42"/>
    </row>
    <row r="7418" spans="1:6">
      <c r="A7418" s="39">
        <f>A7417</f>
        <v>46048</v>
      </c>
      <c r="B7418" s="40"/>
      <c r="C7418" s="40"/>
      <c r="D7418" s="41"/>
      <c r="E7418" s="43">
        <f>C7418</f>
        <v>0</v>
      </c>
      <c r="F7418" s="42"/>
    </row>
    <row r="7419" spans="1:6">
      <c r="A7419" s="39">
        <f>A7418</f>
        <v>46048</v>
      </c>
      <c r="B7419" s="40"/>
      <c r="C7419" s="40"/>
      <c r="D7419" s="41"/>
      <c r="E7419" s="43">
        <f>C7419</f>
        <v>0</v>
      </c>
      <c r="F7419" s="42"/>
    </row>
    <row r="7420" spans="1:6">
      <c r="A7420" s="39">
        <f>A7419</f>
        <v>46048</v>
      </c>
      <c r="B7420" s="40"/>
      <c r="C7420" s="40"/>
      <c r="D7420" s="41"/>
      <c r="E7420" s="43">
        <f>C7420</f>
        <v>0</v>
      </c>
      <c r="F7420" s="42"/>
    </row>
    <row r="7421" spans="1:6">
      <c r="A7421" s="39">
        <f>A7420</f>
        <v>46048</v>
      </c>
      <c r="B7421" s="40"/>
      <c r="C7421" s="40"/>
      <c r="D7421" s="41"/>
      <c r="E7421" s="43">
        <f>C7421</f>
        <v>0</v>
      </c>
      <c r="F7421" s="42"/>
    </row>
    <row r="7422" spans="1:6">
      <c r="A7422" s="39">
        <f>A7421</f>
        <v>46048</v>
      </c>
      <c r="B7422" s="40"/>
      <c r="C7422" s="40"/>
      <c r="D7422" s="41"/>
      <c r="E7422" s="43">
        <f>C7422</f>
        <v>0</v>
      </c>
      <c r="F7422" s="42"/>
    </row>
    <row r="7423" spans="1:6">
      <c r="A7423" s="39">
        <f>A7422</f>
        <v>46048</v>
      </c>
      <c r="B7423" s="40"/>
      <c r="C7423" s="40"/>
      <c r="D7423" s="41"/>
      <c r="E7423" s="43">
        <f>C7423</f>
        <v>0</v>
      </c>
      <c r="F7423" s="42"/>
    </row>
    <row r="7424" spans="1:6">
      <c r="A7424" s="39">
        <f>A7423</f>
        <v>46048</v>
      </c>
      <c r="B7424" s="40"/>
      <c r="C7424" s="40"/>
      <c r="D7424" s="41"/>
      <c r="E7424" s="43">
        <f>C7424</f>
        <v>0</v>
      </c>
      <c r="F7424" s="42"/>
    </row>
    <row r="7425" spans="1:6">
      <c r="A7425" s="39">
        <f>A7424</f>
        <v>46048</v>
      </c>
      <c r="B7425" s="40"/>
      <c r="C7425" s="40"/>
      <c r="D7425" s="41"/>
      <c r="E7425" s="43">
        <f>C7425</f>
        <v>0</v>
      </c>
      <c r="F7425" s="42"/>
    </row>
    <row r="7426" spans="1:6">
      <c r="A7426" s="39">
        <f>A7425</f>
        <v>46048</v>
      </c>
      <c r="B7426" s="40"/>
      <c r="C7426" s="40"/>
      <c r="D7426" s="41"/>
      <c r="E7426" s="43">
        <f>C7426</f>
        <v>0</v>
      </c>
      <c r="F7426" s="42"/>
    </row>
    <row r="7427" spans="1:6">
      <c r="A7427" s="39">
        <f>A7426</f>
        <v>46048</v>
      </c>
      <c r="B7427" s="40"/>
      <c r="C7427" s="40"/>
      <c r="D7427" s="41"/>
      <c r="E7427" s="43">
        <f>C7427</f>
        <v>0</v>
      </c>
      <c r="F7427" s="42"/>
    </row>
    <row r="7428" spans="1:6">
      <c r="A7428" s="39">
        <f>A7427</f>
        <v>46048</v>
      </c>
      <c r="B7428" s="40"/>
      <c r="C7428" s="40"/>
      <c r="D7428" s="41"/>
      <c r="E7428" s="43">
        <f>C7428</f>
        <v>0</v>
      </c>
      <c r="F7428" s="42"/>
    </row>
    <row r="7429" spans="1:6">
      <c r="A7429" s="39">
        <f>A7428</f>
        <v>46048</v>
      </c>
      <c r="B7429" s="40"/>
      <c r="C7429" s="40"/>
      <c r="D7429" s="41"/>
      <c r="E7429" s="43">
        <f>C7429</f>
        <v>0</v>
      </c>
      <c r="F7429" s="42"/>
    </row>
    <row r="7430" spans="1:6">
      <c r="A7430" s="39">
        <f>A7429</f>
        <v>46048</v>
      </c>
      <c r="B7430" s="40"/>
      <c r="C7430" s="40"/>
      <c r="D7430" s="41"/>
      <c r="E7430" s="43">
        <f>C7430</f>
        <v>0</v>
      </c>
      <c r="F7430" s="42"/>
    </row>
    <row r="7431" spans="1:6">
      <c r="A7431" s="39">
        <f>A7430</f>
        <v>46048</v>
      </c>
      <c r="B7431" s="40"/>
      <c r="C7431" s="40"/>
      <c r="D7431" s="41"/>
      <c r="E7431" s="43">
        <f>C7431</f>
        <v>0</v>
      </c>
      <c r="F7431" s="42"/>
    </row>
    <row r="7432" spans="1:6">
      <c r="A7432" s="39">
        <f>A7431</f>
        <v>46048</v>
      </c>
      <c r="B7432" s="40"/>
      <c r="C7432" s="40"/>
      <c r="D7432" s="41"/>
      <c r="E7432" s="43">
        <f>C7432</f>
        <v>0</v>
      </c>
      <c r="F7432" s="42"/>
    </row>
    <row r="7433" spans="1:6">
      <c r="A7433" s="39">
        <f>A7432</f>
        <v>46048</v>
      </c>
      <c r="B7433" s="40"/>
      <c r="C7433" s="40"/>
      <c r="D7433" s="41"/>
      <c r="E7433" s="43">
        <f>C7433</f>
        <v>0</v>
      </c>
      <c r="F7433" s="42"/>
    </row>
    <row r="7434" spans="1:6">
      <c r="A7434" s="39">
        <f>A7433</f>
        <v>46048</v>
      </c>
      <c r="B7434" s="40"/>
      <c r="C7434" s="40"/>
      <c r="D7434" s="41"/>
      <c r="E7434" s="43">
        <f>C7434</f>
        <v>0</v>
      </c>
      <c r="F7434" s="42"/>
    </row>
    <row r="7435" spans="1:6">
      <c r="A7435" s="39">
        <f>A7434</f>
        <v>46048</v>
      </c>
      <c r="B7435" s="40"/>
      <c r="C7435" s="40"/>
      <c r="D7435" s="41"/>
      <c r="E7435" s="43">
        <f>C7435</f>
        <v>0</v>
      </c>
      <c r="F7435" s="42"/>
    </row>
    <row r="7436" spans="1:6">
      <c r="A7436" s="39">
        <f>A7435</f>
        <v>46048</v>
      </c>
      <c r="B7436" s="40"/>
      <c r="C7436" s="40"/>
      <c r="D7436" s="41"/>
      <c r="E7436" s="43">
        <f>C7436</f>
        <v>0</v>
      </c>
      <c r="F7436" s="42"/>
    </row>
    <row r="7437" spans="1:6">
      <c r="A7437" s="39">
        <f>A7436</f>
        <v>46048</v>
      </c>
      <c r="B7437" s="40"/>
      <c r="C7437" s="40"/>
      <c r="D7437" s="41"/>
      <c r="E7437" s="43">
        <f>C7437</f>
        <v>0</v>
      </c>
      <c r="F7437" s="42"/>
    </row>
    <row r="7438" spans="1:6">
      <c r="A7438" s="39">
        <f>A7437</f>
        <v>46048</v>
      </c>
      <c r="B7438" s="40"/>
      <c r="C7438" s="40"/>
      <c r="D7438" s="41"/>
      <c r="E7438" s="43">
        <f>C7438</f>
        <v>0</v>
      </c>
      <c r="F7438" s="42"/>
    </row>
    <row r="7439" spans="1:6">
      <c r="A7439" s="39">
        <f>A7438</f>
        <v>46048</v>
      </c>
      <c r="B7439" s="40"/>
      <c r="C7439" s="40"/>
      <c r="D7439" s="41"/>
      <c r="E7439" s="43">
        <f>C7439</f>
        <v>0</v>
      </c>
      <c r="F7439" s="42"/>
    </row>
    <row r="7440" spans="1:6">
      <c r="A7440" s="39">
        <f>A7439</f>
        <v>46048</v>
      </c>
      <c r="B7440" s="40"/>
      <c r="C7440" s="40"/>
      <c r="D7440" s="41"/>
      <c r="E7440" s="43">
        <f>C7440</f>
        <v>0</v>
      </c>
      <c r="F7440" s="42"/>
    </row>
    <row r="7441" spans="1:6">
      <c r="A7441" s="39">
        <f>A7440</f>
        <v>46048</v>
      </c>
      <c r="B7441" s="40"/>
      <c r="C7441" s="40"/>
      <c r="D7441" s="41"/>
      <c r="E7441" s="43">
        <f>C7441</f>
        <v>0</v>
      </c>
      <c r="F7441" s="42"/>
    </row>
    <row r="7442" spans="1:6">
      <c r="A7442" s="39">
        <f>A7441</f>
        <v>46048</v>
      </c>
      <c r="B7442" s="40"/>
      <c r="C7442" s="40"/>
      <c r="D7442" s="41"/>
      <c r="E7442" s="43">
        <f>C7442</f>
        <v>0</v>
      </c>
      <c r="F7442" s="42"/>
    </row>
    <row r="7443" spans="1:6">
      <c r="A7443" s="39">
        <f>A7442</f>
        <v>46048</v>
      </c>
      <c r="B7443" s="40"/>
      <c r="C7443" s="40"/>
      <c r="D7443" s="41"/>
      <c r="E7443" s="43">
        <f>C7443</f>
        <v>0</v>
      </c>
      <c r="F7443" s="42"/>
    </row>
    <row r="7444" spans="1:6">
      <c r="A7444" s="39">
        <f>A7443</f>
        <v>46048</v>
      </c>
      <c r="B7444" s="40"/>
      <c r="C7444" s="40"/>
      <c r="D7444" s="41"/>
      <c r="E7444" s="43">
        <f>C7444</f>
        <v>0</v>
      </c>
      <c r="F7444" s="42"/>
    </row>
    <row r="7445" spans="1:6">
      <c r="A7445" s="39">
        <f>A7444</f>
        <v>46048</v>
      </c>
      <c r="B7445" s="40"/>
      <c r="C7445" s="40"/>
      <c r="D7445" s="41"/>
      <c r="E7445" s="43">
        <f>C7445</f>
        <v>0</v>
      </c>
      <c r="F7445" s="42"/>
    </row>
    <row r="7446" spans="1:6">
      <c r="A7446" s="39">
        <f>A7445</f>
        <v>46048</v>
      </c>
      <c r="B7446" s="40"/>
      <c r="C7446" s="40"/>
      <c r="D7446" s="41"/>
      <c r="E7446" s="43">
        <f>C7446</f>
        <v>0</v>
      </c>
      <c r="F7446" s="42"/>
    </row>
    <row r="7447" spans="1:6">
      <c r="A7447" s="39">
        <f>A7446</f>
        <v>46048</v>
      </c>
      <c r="B7447" s="40"/>
      <c r="C7447" s="40"/>
      <c r="D7447" s="41"/>
      <c r="E7447" s="43">
        <f>C7447</f>
        <v>0</v>
      </c>
      <c r="F7447" s="42"/>
    </row>
    <row r="7448" spans="1:6">
      <c r="A7448" s="39">
        <f>A7447</f>
        <v>46048</v>
      </c>
      <c r="B7448" s="40"/>
      <c r="C7448" s="40"/>
      <c r="D7448" s="41"/>
      <c r="E7448" s="43">
        <f>C7448</f>
        <v>0</v>
      </c>
      <c r="F7448" s="42"/>
    </row>
    <row r="7449" spans="1:6">
      <c r="A7449" s="39">
        <f>A7448</f>
        <v>46048</v>
      </c>
      <c r="B7449" s="40"/>
      <c r="C7449" s="40"/>
      <c r="D7449" s="41"/>
      <c r="E7449" s="43">
        <f>C7449</f>
        <v>0</v>
      </c>
      <c r="F7449" s="42"/>
    </row>
    <row r="7450" spans="1:6">
      <c r="A7450" s="39">
        <f>A7449</f>
        <v>46048</v>
      </c>
      <c r="B7450" s="40"/>
      <c r="C7450" s="40"/>
      <c r="D7450" s="41"/>
      <c r="E7450" s="43">
        <f>C7450</f>
        <v>0</v>
      </c>
      <c r="F7450" s="42"/>
    </row>
    <row r="7451" spans="1:6">
      <c r="A7451" s="39">
        <f>A7450</f>
        <v>46048</v>
      </c>
      <c r="B7451" s="40"/>
      <c r="C7451" s="40"/>
      <c r="D7451" s="41"/>
      <c r="E7451" s="43">
        <f>C7451</f>
        <v>0</v>
      </c>
      <c r="F7451" s="42"/>
    </row>
    <row r="7452" spans="1:6">
      <c r="A7452" s="39">
        <f>A7451</f>
        <v>46048</v>
      </c>
      <c r="B7452" s="40"/>
      <c r="C7452" s="40"/>
      <c r="D7452" s="41"/>
      <c r="E7452" s="43">
        <f>C7452</f>
        <v>0</v>
      </c>
      <c r="F7452" s="42"/>
    </row>
    <row r="7453" spans="1:6">
      <c r="A7453" s="39">
        <f>A7452</f>
        <v>46048</v>
      </c>
      <c r="B7453" s="40"/>
      <c r="C7453" s="40"/>
      <c r="D7453" s="41"/>
      <c r="E7453" s="43">
        <f>C7453</f>
        <v>0</v>
      </c>
      <c r="F7453" s="42"/>
    </row>
    <row r="7454" spans="1:6">
      <c r="A7454" s="39">
        <f>A7453</f>
        <v>46048</v>
      </c>
      <c r="B7454" s="40"/>
      <c r="C7454" s="40"/>
      <c r="D7454" s="41"/>
      <c r="E7454" s="43">
        <f>C7454</f>
        <v>0</v>
      </c>
      <c r="F7454" s="42"/>
    </row>
    <row r="7455" spans="1:6">
      <c r="A7455" s="39">
        <f>A7454</f>
        <v>46048</v>
      </c>
      <c r="B7455" s="40"/>
      <c r="C7455" s="40"/>
      <c r="D7455" s="41"/>
      <c r="E7455" s="43">
        <f>C7455</f>
        <v>0</v>
      </c>
      <c r="F7455" s="42"/>
    </row>
    <row r="7456" spans="1:6">
      <c r="A7456" s="39">
        <f>A7455</f>
        <v>46048</v>
      </c>
      <c r="B7456" s="40"/>
      <c r="C7456" s="40"/>
      <c r="D7456" s="41"/>
      <c r="E7456" s="43">
        <f>C7456</f>
        <v>0</v>
      </c>
      <c r="F7456" s="42"/>
    </row>
    <row r="7457" spans="1:6">
      <c r="A7457" s="39">
        <f>A7456</f>
        <v>46048</v>
      </c>
      <c r="B7457" s="40"/>
      <c r="C7457" s="40"/>
      <c r="D7457" s="41"/>
      <c r="E7457" s="43">
        <f>C7457</f>
        <v>0</v>
      </c>
      <c r="F7457" s="42"/>
    </row>
    <row r="7458" spans="1:6">
      <c r="A7458" s="39">
        <f>A7457</f>
        <v>46048</v>
      </c>
      <c r="B7458" s="40"/>
      <c r="C7458" s="40"/>
      <c r="D7458" s="41"/>
      <c r="E7458" s="43">
        <f>C7458</f>
        <v>0</v>
      </c>
      <c r="F7458" s="42"/>
    </row>
    <row r="7459" spans="1:6">
      <c r="A7459" s="39">
        <f>A7458</f>
        <v>46048</v>
      </c>
      <c r="B7459" s="40"/>
      <c r="C7459" s="40"/>
      <c r="D7459" s="41"/>
      <c r="E7459" s="43">
        <f>C7459</f>
        <v>0</v>
      </c>
      <c r="F7459" s="42"/>
    </row>
    <row r="7460" spans="1:6">
      <c r="A7460" s="39">
        <f>A7459</f>
        <v>46048</v>
      </c>
      <c r="B7460" s="40"/>
      <c r="C7460" s="40"/>
      <c r="D7460" s="41"/>
      <c r="E7460" s="43">
        <f>C7460</f>
        <v>0</v>
      </c>
      <c r="F7460" s="42"/>
    </row>
    <row r="7461" spans="1:6">
      <c r="A7461" s="39">
        <f>A7460</f>
        <v>46048</v>
      </c>
      <c r="B7461" s="40"/>
      <c r="C7461" s="40"/>
      <c r="D7461" s="41"/>
      <c r="E7461" s="43">
        <f>C7461</f>
        <v>0</v>
      </c>
      <c r="F7461" s="42"/>
    </row>
    <row r="7462" spans="1:6">
      <c r="A7462" s="39">
        <f>A7461</f>
        <v>46048</v>
      </c>
      <c r="B7462" s="40"/>
      <c r="C7462" s="40"/>
      <c r="D7462" s="41"/>
      <c r="E7462" s="43">
        <f>C7462</f>
        <v>0</v>
      </c>
      <c r="F7462" s="42"/>
    </row>
    <row r="7463" spans="1:6">
      <c r="A7463" s="39">
        <f>A7462</f>
        <v>46048</v>
      </c>
      <c r="B7463" s="40"/>
      <c r="C7463" s="40"/>
      <c r="D7463" s="41"/>
      <c r="E7463" s="43">
        <f>C7463</f>
        <v>0</v>
      </c>
      <c r="F7463" s="42"/>
    </row>
    <row r="7464" spans="1:6">
      <c r="A7464" s="39">
        <f>A7463</f>
        <v>46048</v>
      </c>
      <c r="B7464" s="40"/>
      <c r="C7464" s="40"/>
      <c r="D7464" s="41"/>
      <c r="E7464" s="43">
        <f>C7464</f>
        <v>0</v>
      </c>
      <c r="F7464" s="42"/>
    </row>
    <row r="7465" spans="1:6">
      <c r="A7465" s="39">
        <f>A7464</f>
        <v>46048</v>
      </c>
      <c r="B7465" s="40"/>
      <c r="C7465" s="40"/>
      <c r="D7465" s="41"/>
      <c r="E7465" s="43">
        <f>C7465</f>
        <v>0</v>
      </c>
      <c r="F7465" s="42"/>
    </row>
    <row r="7466" spans="1:6">
      <c r="A7466" s="39">
        <f>A7465</f>
        <v>46048</v>
      </c>
      <c r="B7466" s="40"/>
      <c r="C7466" s="40"/>
      <c r="D7466" s="41"/>
      <c r="E7466" s="43">
        <f>C7466</f>
        <v>0</v>
      </c>
      <c r="F7466" s="42"/>
    </row>
    <row r="7467" spans="1:6">
      <c r="A7467" s="39">
        <f>A7466</f>
        <v>46048</v>
      </c>
      <c r="B7467" s="40"/>
      <c r="C7467" s="40"/>
      <c r="D7467" s="41"/>
      <c r="E7467" s="43">
        <f>C7467</f>
        <v>0</v>
      </c>
      <c r="F7467" s="42"/>
    </row>
    <row r="7468" spans="1:6">
      <c r="A7468" s="39">
        <f>A7467</f>
        <v>46048</v>
      </c>
      <c r="B7468" s="40"/>
      <c r="C7468" s="40"/>
      <c r="D7468" s="41"/>
      <c r="E7468" s="43">
        <f>C7468</f>
        <v>0</v>
      </c>
      <c r="F7468" s="42"/>
    </row>
    <row r="7469" spans="1:6">
      <c r="A7469" s="39">
        <f>A7468</f>
        <v>46048</v>
      </c>
      <c r="B7469" s="40"/>
      <c r="C7469" s="40"/>
      <c r="D7469" s="41"/>
      <c r="E7469" s="43">
        <f>C7469</f>
        <v>0</v>
      </c>
      <c r="F7469" s="42"/>
    </row>
    <row r="7470" spans="1:6">
      <c r="A7470" s="39">
        <f>A7469</f>
        <v>46048</v>
      </c>
      <c r="B7470" s="40"/>
      <c r="C7470" s="40"/>
      <c r="D7470" s="41"/>
      <c r="E7470" s="43">
        <f>C7470</f>
        <v>0</v>
      </c>
      <c r="F7470" s="42"/>
    </row>
    <row r="7471" spans="1:6">
      <c r="A7471" s="39">
        <f>A7470</f>
        <v>46048</v>
      </c>
      <c r="B7471" s="40"/>
      <c r="C7471" s="40"/>
      <c r="D7471" s="41"/>
      <c r="E7471" s="43">
        <f>C7471</f>
        <v>0</v>
      </c>
      <c r="F7471" s="42"/>
    </row>
    <row r="7472" spans="1:6">
      <c r="A7472" s="39">
        <f>A7471</f>
        <v>46048</v>
      </c>
      <c r="B7472" s="40"/>
      <c r="C7472" s="40"/>
      <c r="D7472" s="41"/>
      <c r="E7472" s="43">
        <f>C7472</f>
        <v>0</v>
      </c>
      <c r="F7472" s="42"/>
    </row>
    <row r="7473" spans="1:6">
      <c r="A7473" s="39">
        <f>A7472</f>
        <v>46048</v>
      </c>
      <c r="B7473" s="40"/>
      <c r="C7473" s="40"/>
      <c r="D7473" s="41"/>
      <c r="E7473" s="43">
        <f>C7473</f>
        <v>0</v>
      </c>
      <c r="F7473" s="42"/>
    </row>
    <row r="7474" spans="1:6">
      <c r="A7474" s="39">
        <f>A7473</f>
        <v>46048</v>
      </c>
      <c r="B7474" s="40"/>
      <c r="C7474" s="40"/>
      <c r="D7474" s="41"/>
      <c r="E7474" s="43">
        <f>C7474</f>
        <v>0</v>
      </c>
      <c r="F7474" s="42"/>
    </row>
    <row r="7475" spans="1:6">
      <c r="A7475" s="39">
        <f>A7474</f>
        <v>46048</v>
      </c>
      <c r="B7475" s="40"/>
      <c r="C7475" s="40"/>
      <c r="D7475" s="41"/>
      <c r="E7475" s="43">
        <f>C7475</f>
        <v>0</v>
      </c>
      <c r="F7475" s="42"/>
    </row>
    <row r="7476" spans="1:6">
      <c r="A7476" s="39">
        <f>A7475</f>
        <v>46048</v>
      </c>
      <c r="B7476" s="40"/>
      <c r="C7476" s="40"/>
      <c r="D7476" s="41"/>
      <c r="E7476" s="43">
        <f>C7476</f>
        <v>0</v>
      </c>
      <c r="F7476" s="42"/>
    </row>
    <row r="7477" spans="1:6">
      <c r="A7477" s="39">
        <f>A7476</f>
        <v>46048</v>
      </c>
      <c r="B7477" s="40"/>
      <c r="C7477" s="40"/>
      <c r="D7477" s="41"/>
      <c r="E7477" s="43">
        <f>C7477</f>
        <v>0</v>
      </c>
      <c r="F7477" s="42"/>
    </row>
    <row r="7478" spans="1:6">
      <c r="A7478" s="39">
        <f>A7477</f>
        <v>46048</v>
      </c>
      <c r="B7478" s="40"/>
      <c r="C7478" s="40"/>
      <c r="D7478" s="41"/>
      <c r="E7478" s="43">
        <f>C7478</f>
        <v>0</v>
      </c>
      <c r="F7478" s="42"/>
    </row>
    <row r="7479" spans="1:6">
      <c r="A7479" s="39">
        <f>A7478</f>
        <v>46048</v>
      </c>
      <c r="B7479" s="40"/>
      <c r="C7479" s="40"/>
      <c r="D7479" s="41"/>
      <c r="E7479" s="43">
        <f>C7479</f>
        <v>0</v>
      </c>
      <c r="F7479" s="42"/>
    </row>
    <row r="7480" spans="1:6">
      <c r="A7480" s="39">
        <f>A7479</f>
        <v>46048</v>
      </c>
      <c r="B7480" s="40"/>
      <c r="C7480" s="40"/>
      <c r="D7480" s="41"/>
      <c r="E7480" s="43">
        <f>C7480</f>
        <v>0</v>
      </c>
      <c r="F7480" s="42"/>
    </row>
    <row r="7481" spans="1:6">
      <c r="A7481" s="39">
        <f>A7480</f>
        <v>46048</v>
      </c>
      <c r="B7481" s="40"/>
      <c r="C7481" s="40"/>
      <c r="D7481" s="41"/>
      <c r="E7481" s="43">
        <f>C7481</f>
        <v>0</v>
      </c>
      <c r="F7481" s="42"/>
    </row>
    <row r="7482" spans="1:6">
      <c r="A7482" s="39">
        <f>A7481</f>
        <v>46048</v>
      </c>
      <c r="B7482" s="40"/>
      <c r="C7482" s="40"/>
      <c r="D7482" s="41"/>
      <c r="E7482" s="43">
        <f>C7482</f>
        <v>0</v>
      </c>
      <c r="F7482" s="42"/>
    </row>
    <row r="7483" spans="1:6">
      <c r="A7483" s="39">
        <f>A7482</f>
        <v>46048</v>
      </c>
      <c r="B7483" s="40"/>
      <c r="C7483" s="40"/>
      <c r="D7483" s="41"/>
      <c r="E7483" s="43">
        <f>C7483</f>
        <v>0</v>
      </c>
      <c r="F7483" s="42"/>
    </row>
    <row r="7484" spans="1:6">
      <c r="A7484" s="39">
        <f>A7483</f>
        <v>46048</v>
      </c>
      <c r="B7484" s="40"/>
      <c r="C7484" s="40"/>
      <c r="D7484" s="41"/>
      <c r="E7484" s="43">
        <f>C7484</f>
        <v>0</v>
      </c>
      <c r="F7484" s="42"/>
    </row>
    <row r="7485" spans="1:6">
      <c r="A7485" s="39">
        <f>A7484</f>
        <v>46048</v>
      </c>
      <c r="B7485" s="40"/>
      <c r="C7485" s="40"/>
      <c r="D7485" s="41"/>
      <c r="E7485" s="43">
        <f>C7485</f>
        <v>0</v>
      </c>
      <c r="F7485" s="42"/>
    </row>
    <row r="7486" spans="1:6">
      <c r="A7486" s="39">
        <f>A7485</f>
        <v>46048</v>
      </c>
      <c r="B7486" s="40"/>
      <c r="C7486" s="40"/>
      <c r="D7486" s="41"/>
      <c r="E7486" s="43">
        <f>C7486</f>
        <v>0</v>
      </c>
      <c r="F7486" s="42"/>
    </row>
    <row r="7487" spans="1:6">
      <c r="A7487" s="39">
        <f>A7486</f>
        <v>46048</v>
      </c>
      <c r="B7487" s="40"/>
      <c r="C7487" s="40"/>
      <c r="D7487" s="41"/>
      <c r="E7487" s="43">
        <f>C7487</f>
        <v>0</v>
      </c>
      <c r="F7487" s="42"/>
    </row>
    <row r="7488" spans="1:6">
      <c r="A7488" s="39">
        <f>A7487</f>
        <v>46048</v>
      </c>
      <c r="B7488" s="40"/>
      <c r="C7488" s="40"/>
      <c r="D7488" s="41"/>
      <c r="E7488" s="43">
        <f>C7488</f>
        <v>0</v>
      </c>
      <c r="F7488" s="42"/>
    </row>
    <row r="7489" spans="1:6">
      <c r="A7489" s="39">
        <f>A7488</f>
        <v>46048</v>
      </c>
      <c r="B7489" s="40"/>
      <c r="C7489" s="40"/>
      <c r="D7489" s="41"/>
      <c r="E7489" s="43">
        <f>C7489</f>
        <v>0</v>
      </c>
      <c r="F7489" s="42"/>
    </row>
    <row r="7490" spans="1:6">
      <c r="A7490" s="39">
        <f>A7489</f>
        <v>46048</v>
      </c>
      <c r="B7490" s="40"/>
      <c r="C7490" s="40"/>
      <c r="D7490" s="41"/>
      <c r="E7490" s="43">
        <f>C7490</f>
        <v>0</v>
      </c>
      <c r="F7490" s="42"/>
    </row>
    <row r="7491" spans="1:6">
      <c r="A7491" s="39">
        <f>A7490</f>
        <v>46048</v>
      </c>
      <c r="B7491" s="40"/>
      <c r="C7491" s="40"/>
      <c r="D7491" s="41"/>
      <c r="E7491" s="43">
        <f>C7491</f>
        <v>0</v>
      </c>
      <c r="F7491" s="42"/>
    </row>
    <row r="7492" spans="1:6">
      <c r="A7492" s="39">
        <f>A7491</f>
        <v>46048</v>
      </c>
      <c r="B7492" s="40"/>
      <c r="C7492" s="40"/>
      <c r="D7492" s="41"/>
      <c r="E7492" s="43">
        <f>C7492</f>
        <v>0</v>
      </c>
      <c r="F7492" s="42"/>
    </row>
    <row r="7493" spans="1:6">
      <c r="A7493" s="39">
        <f>A7492</f>
        <v>46048</v>
      </c>
      <c r="B7493" s="40"/>
      <c r="C7493" s="40"/>
      <c r="D7493" s="41"/>
      <c r="E7493" s="43">
        <f>C7493</f>
        <v>0</v>
      </c>
      <c r="F7493" s="42"/>
    </row>
    <row r="7494" spans="1:6">
      <c r="A7494" s="39">
        <f>A7493</f>
        <v>46048</v>
      </c>
      <c r="B7494" s="40"/>
      <c r="C7494" s="40"/>
      <c r="D7494" s="41"/>
      <c r="E7494" s="43">
        <f>C7494</f>
        <v>0</v>
      </c>
      <c r="F7494" s="42"/>
    </row>
    <row r="7495" spans="1:6">
      <c r="A7495" s="39">
        <f>A7494</f>
        <v>46048</v>
      </c>
      <c r="B7495" s="40"/>
      <c r="C7495" s="40"/>
      <c r="D7495" s="41"/>
      <c r="E7495" s="43">
        <f>C7495</f>
        <v>0</v>
      </c>
      <c r="F7495" s="42"/>
    </row>
    <row r="7496" spans="1:6">
      <c r="A7496" s="39">
        <f>A7495</f>
        <v>46048</v>
      </c>
      <c r="B7496" s="40"/>
      <c r="C7496" s="40"/>
      <c r="D7496" s="41"/>
      <c r="E7496" s="43">
        <f>C7496</f>
        <v>0</v>
      </c>
      <c r="F7496" s="42"/>
    </row>
    <row r="7497" spans="1:6">
      <c r="A7497" s="39">
        <f>A7496</f>
        <v>46048</v>
      </c>
      <c r="B7497" s="40"/>
      <c r="C7497" s="40"/>
      <c r="D7497" s="41"/>
      <c r="E7497" s="43">
        <f>C7497</f>
        <v>0</v>
      </c>
      <c r="F7497" s="42"/>
    </row>
    <row r="7498" spans="1:6">
      <c r="A7498" s="39">
        <f>A7497</f>
        <v>46048</v>
      </c>
      <c r="B7498" s="40"/>
      <c r="C7498" s="40"/>
      <c r="D7498" s="41"/>
      <c r="E7498" s="43">
        <f>C7498</f>
        <v>0</v>
      </c>
      <c r="F7498" s="42"/>
    </row>
    <row r="7499" spans="1:6">
      <c r="A7499" s="39">
        <f>A7498</f>
        <v>46048</v>
      </c>
      <c r="B7499" s="40"/>
      <c r="C7499" s="40"/>
      <c r="D7499" s="41"/>
      <c r="E7499" s="43">
        <f>C7499</f>
        <v>0</v>
      </c>
      <c r="F7499" s="42"/>
    </row>
    <row r="7500" spans="1:6">
      <c r="A7500" s="39">
        <f>A7499</f>
        <v>46048</v>
      </c>
      <c r="B7500" s="40"/>
      <c r="C7500" s="40"/>
      <c r="D7500" s="41"/>
      <c r="E7500" s="43">
        <f>C7500</f>
        <v>0</v>
      </c>
      <c r="F7500" s="42"/>
    </row>
    <row r="7501" spans="1:6">
      <c r="A7501" s="39">
        <f>A7500</f>
        <v>46048</v>
      </c>
      <c r="B7501" s="40"/>
      <c r="C7501" s="40"/>
      <c r="D7501" s="41"/>
      <c r="E7501" s="43">
        <f>C7501</f>
        <v>0</v>
      </c>
      <c r="F7501" s="42"/>
    </row>
    <row r="7502" spans="1:6">
      <c r="A7502" s="39">
        <f>A7501</f>
        <v>46048</v>
      </c>
      <c r="B7502" s="40"/>
      <c r="C7502" s="40"/>
      <c r="D7502" s="41"/>
      <c r="E7502" s="43">
        <f>C7502</f>
        <v>0</v>
      </c>
      <c r="F7502" s="42"/>
    </row>
    <row r="7503" spans="1:6">
      <c r="A7503" s="39">
        <f>A7502</f>
        <v>46048</v>
      </c>
      <c r="B7503" s="40"/>
      <c r="C7503" s="40"/>
      <c r="D7503" s="41"/>
      <c r="E7503" s="43">
        <f>C7503</f>
        <v>0</v>
      </c>
      <c r="F7503" s="42"/>
    </row>
    <row r="7504" spans="1:6">
      <c r="A7504" s="39">
        <f>A7503</f>
        <v>46048</v>
      </c>
      <c r="B7504" s="40"/>
      <c r="C7504" s="40"/>
      <c r="D7504" s="41"/>
      <c r="E7504" s="43">
        <f>C7504</f>
        <v>0</v>
      </c>
      <c r="F7504" s="42"/>
    </row>
    <row r="7505" spans="1:6">
      <c r="A7505" s="39">
        <f>A7504</f>
        <v>46048</v>
      </c>
      <c r="B7505" s="40"/>
      <c r="C7505" s="40"/>
      <c r="D7505" s="41"/>
      <c r="E7505" s="43">
        <f>C7505</f>
        <v>0</v>
      </c>
      <c r="F7505" s="42"/>
    </row>
    <row r="7506" spans="1:6">
      <c r="A7506" s="39">
        <f>A7505</f>
        <v>46048</v>
      </c>
      <c r="B7506" s="40"/>
      <c r="C7506" s="40"/>
      <c r="D7506" s="41"/>
      <c r="E7506" s="43">
        <f>C7506</f>
        <v>0</v>
      </c>
      <c r="F7506" s="42"/>
    </row>
    <row r="7507" spans="1:6">
      <c r="A7507" s="39">
        <f>A7506</f>
        <v>46048</v>
      </c>
      <c r="B7507" s="40"/>
      <c r="C7507" s="40"/>
      <c r="D7507" s="41"/>
      <c r="E7507" s="43">
        <f>C7507</f>
        <v>0</v>
      </c>
      <c r="F7507" s="42"/>
    </row>
    <row r="7508" spans="1:6">
      <c r="A7508" s="39">
        <f>A7507</f>
        <v>46048</v>
      </c>
      <c r="B7508" s="40"/>
      <c r="C7508" s="40"/>
      <c r="D7508" s="41"/>
      <c r="E7508" s="43">
        <f>C7508</f>
        <v>0</v>
      </c>
      <c r="F7508" s="42"/>
    </row>
    <row r="7509" spans="1:6">
      <c r="A7509" s="39">
        <f>A7508</f>
        <v>46048</v>
      </c>
      <c r="B7509" s="40"/>
      <c r="C7509" s="40"/>
      <c r="D7509" s="41"/>
      <c r="E7509" s="43">
        <f>C7509</f>
        <v>0</v>
      </c>
      <c r="F7509" s="42"/>
    </row>
    <row r="7510" spans="1:6">
      <c r="A7510" s="39">
        <f>A7509</f>
        <v>46048</v>
      </c>
      <c r="B7510" s="40"/>
      <c r="C7510" s="40"/>
      <c r="D7510" s="41"/>
      <c r="E7510" s="43">
        <f>C7510</f>
        <v>0</v>
      </c>
      <c r="F7510" s="42"/>
    </row>
    <row r="7511" spans="1:6">
      <c r="A7511" s="39">
        <f>A7510</f>
        <v>46048</v>
      </c>
      <c r="B7511" s="40"/>
      <c r="C7511" s="40"/>
      <c r="D7511" s="41"/>
      <c r="E7511" s="43">
        <f>C7511</f>
        <v>0</v>
      </c>
      <c r="F7511" s="42"/>
    </row>
    <row r="7512" spans="1:6">
      <c r="A7512" s="39">
        <f>A7511</f>
        <v>46048</v>
      </c>
      <c r="B7512" s="40"/>
      <c r="C7512" s="40"/>
      <c r="D7512" s="41"/>
      <c r="E7512" s="43">
        <f>C7512</f>
        <v>0</v>
      </c>
      <c r="F7512" s="42"/>
    </row>
    <row r="7513" spans="1:6">
      <c r="A7513" s="39">
        <f>A7512</f>
        <v>46048</v>
      </c>
      <c r="B7513" s="40"/>
      <c r="C7513" s="40"/>
      <c r="D7513" s="41"/>
      <c r="E7513" s="43">
        <f>C7513</f>
        <v>0</v>
      </c>
      <c r="F7513" s="42"/>
    </row>
    <row r="7514" spans="1:6">
      <c r="A7514" s="39">
        <f>A7513</f>
        <v>46048</v>
      </c>
      <c r="B7514" s="40"/>
      <c r="C7514" s="40"/>
      <c r="D7514" s="41"/>
      <c r="E7514" s="43">
        <f>C7514</f>
        <v>0</v>
      </c>
      <c r="F7514" s="42"/>
    </row>
    <row r="7515" spans="1:6">
      <c r="A7515" s="39">
        <f>A7514</f>
        <v>46048</v>
      </c>
      <c r="B7515" s="40"/>
      <c r="C7515" s="40"/>
      <c r="D7515" s="41"/>
      <c r="E7515" s="43">
        <f>C7515</f>
        <v>0</v>
      </c>
      <c r="F7515" s="42"/>
    </row>
    <row r="7516" spans="1:6">
      <c r="A7516" s="39">
        <f>A7515</f>
        <v>46048</v>
      </c>
      <c r="B7516" s="40"/>
      <c r="C7516" s="40"/>
      <c r="D7516" s="41"/>
      <c r="E7516" s="43">
        <f>C7516</f>
        <v>0</v>
      </c>
      <c r="F7516" s="42"/>
    </row>
    <row r="7517" spans="1:6">
      <c r="A7517" s="39">
        <f>A7516</f>
        <v>46048</v>
      </c>
      <c r="B7517" s="40"/>
      <c r="C7517" s="40"/>
      <c r="D7517" s="41"/>
      <c r="E7517" s="43">
        <f>C7517</f>
        <v>0</v>
      </c>
      <c r="F7517" s="42"/>
    </row>
    <row r="7518" spans="1:6">
      <c r="A7518" s="39">
        <f>A7517</f>
        <v>46048</v>
      </c>
      <c r="B7518" s="40"/>
      <c r="C7518" s="40"/>
      <c r="D7518" s="41"/>
      <c r="E7518" s="43">
        <f>C7518</f>
        <v>0</v>
      </c>
      <c r="F7518" s="42"/>
    </row>
    <row r="7519" spans="1:6">
      <c r="A7519" s="39">
        <f>A7518</f>
        <v>46048</v>
      </c>
      <c r="B7519" s="40"/>
      <c r="C7519" s="40"/>
      <c r="D7519" s="41"/>
      <c r="E7519" s="43">
        <f>C7519</f>
        <v>0</v>
      </c>
      <c r="F7519" s="42"/>
    </row>
    <row r="7520" spans="1:6">
      <c r="A7520" s="39">
        <f>A7519</f>
        <v>46048</v>
      </c>
      <c r="B7520" s="40"/>
      <c r="C7520" s="40"/>
      <c r="D7520" s="41"/>
      <c r="E7520" s="43">
        <f>C7520</f>
        <v>0</v>
      </c>
      <c r="F7520" s="42"/>
    </row>
    <row r="7521" spans="1:6">
      <c r="A7521" s="39">
        <f>A7520</f>
        <v>46048</v>
      </c>
      <c r="B7521" s="40"/>
      <c r="C7521" s="40"/>
      <c r="D7521" s="41"/>
      <c r="E7521" s="43">
        <f>C7521</f>
        <v>0</v>
      </c>
      <c r="F7521" s="42"/>
    </row>
    <row r="7522" spans="1:6">
      <c r="A7522" s="39">
        <f>A7521</f>
        <v>46048</v>
      </c>
      <c r="B7522" s="40"/>
      <c r="C7522" s="40"/>
      <c r="D7522" s="41"/>
      <c r="E7522" s="43">
        <f>C7522</f>
        <v>0</v>
      </c>
      <c r="F7522" s="42"/>
    </row>
    <row r="7523" spans="1:6">
      <c r="A7523" s="39">
        <f>A7522</f>
        <v>46048</v>
      </c>
      <c r="B7523" s="40"/>
      <c r="C7523" s="40"/>
      <c r="D7523" s="41"/>
      <c r="E7523" s="43">
        <f>C7523</f>
        <v>0</v>
      </c>
      <c r="F7523" s="42"/>
    </row>
    <row r="7524" spans="1:6">
      <c r="A7524" s="39">
        <f>A7523</f>
        <v>46048</v>
      </c>
      <c r="B7524" s="40"/>
      <c r="C7524" s="40"/>
      <c r="D7524" s="41"/>
      <c r="E7524" s="43">
        <f>C7524</f>
        <v>0</v>
      </c>
      <c r="F7524" s="42"/>
    </row>
    <row r="7525" spans="1:6">
      <c r="A7525" s="39">
        <f>A7524</f>
        <v>46048</v>
      </c>
      <c r="B7525" s="40"/>
      <c r="C7525" s="40"/>
      <c r="D7525" s="41"/>
      <c r="E7525" s="43">
        <f>C7525</f>
        <v>0</v>
      </c>
      <c r="F7525" s="42"/>
    </row>
    <row r="7526" spans="1:6">
      <c r="A7526" s="39">
        <f>A7525</f>
        <v>46048</v>
      </c>
      <c r="B7526" s="40"/>
      <c r="C7526" s="40"/>
      <c r="D7526" s="41"/>
      <c r="E7526" s="43">
        <f>C7526</f>
        <v>0</v>
      </c>
      <c r="F7526" s="42"/>
    </row>
    <row r="7527" spans="1:6">
      <c r="A7527" s="39">
        <f>A7526</f>
        <v>46048</v>
      </c>
      <c r="B7527" s="40"/>
      <c r="C7527" s="40"/>
      <c r="D7527" s="41"/>
      <c r="E7527" s="43">
        <f>C7527</f>
        <v>0</v>
      </c>
      <c r="F7527" s="42"/>
    </row>
    <row r="7528" spans="1:6">
      <c r="A7528" s="39">
        <f>A7527</f>
        <v>46048</v>
      </c>
      <c r="B7528" s="40"/>
      <c r="C7528" s="40"/>
      <c r="D7528" s="41"/>
      <c r="E7528" s="43">
        <f>C7528</f>
        <v>0</v>
      </c>
      <c r="F7528" s="42"/>
    </row>
    <row r="7529" spans="1:6">
      <c r="A7529" s="39">
        <f>A7528</f>
        <v>46048</v>
      </c>
      <c r="B7529" s="40"/>
      <c r="C7529" s="40"/>
      <c r="D7529" s="41"/>
      <c r="E7529" s="43">
        <f>C7529</f>
        <v>0</v>
      </c>
      <c r="F7529" s="42"/>
    </row>
    <row r="7530" spans="1:6">
      <c r="A7530" s="39">
        <f>A7529</f>
        <v>46048</v>
      </c>
      <c r="B7530" s="40"/>
      <c r="C7530" s="40"/>
      <c r="D7530" s="41"/>
      <c r="E7530" s="43">
        <f>C7530</f>
        <v>0</v>
      </c>
      <c r="F7530" s="42"/>
    </row>
    <row r="7531" spans="1:6">
      <c r="A7531" s="39">
        <f>A7530</f>
        <v>46048</v>
      </c>
      <c r="B7531" s="40"/>
      <c r="C7531" s="40"/>
      <c r="D7531" s="41"/>
      <c r="E7531" s="43">
        <f>C7531</f>
        <v>0</v>
      </c>
      <c r="F7531" s="42"/>
    </row>
    <row r="7532" spans="1:6">
      <c r="A7532" s="39">
        <f>A7531</f>
        <v>46048</v>
      </c>
      <c r="B7532" s="40"/>
      <c r="C7532" s="40"/>
      <c r="D7532" s="41"/>
      <c r="E7532" s="43">
        <f>C7532</f>
        <v>0</v>
      </c>
      <c r="F7532" s="42"/>
    </row>
    <row r="7533" spans="1:6">
      <c r="A7533" s="39">
        <f>A7532</f>
        <v>46048</v>
      </c>
      <c r="B7533" s="40"/>
      <c r="C7533" s="40"/>
      <c r="D7533" s="41"/>
      <c r="E7533" s="43">
        <f>C7533</f>
        <v>0</v>
      </c>
      <c r="F7533" s="42"/>
    </row>
    <row r="7534" spans="1:6">
      <c r="A7534" s="39">
        <f>A7533</f>
        <v>46048</v>
      </c>
      <c r="B7534" s="40"/>
      <c r="C7534" s="40"/>
      <c r="D7534" s="41"/>
      <c r="E7534" s="43">
        <f>C7534</f>
        <v>0</v>
      </c>
      <c r="F7534" s="42"/>
    </row>
    <row r="7535" spans="1:6">
      <c r="A7535" s="39">
        <f>A7534</f>
        <v>46048</v>
      </c>
      <c r="B7535" s="40"/>
      <c r="C7535" s="40"/>
      <c r="D7535" s="41"/>
      <c r="E7535" s="43">
        <f>C7535</f>
        <v>0</v>
      </c>
      <c r="F7535" s="42"/>
    </row>
    <row r="7536" spans="1:6">
      <c r="A7536" s="39">
        <f>A7535</f>
        <v>46048</v>
      </c>
      <c r="B7536" s="40"/>
      <c r="C7536" s="40"/>
      <c r="D7536" s="41"/>
      <c r="E7536" s="43">
        <f>C7536</f>
        <v>0</v>
      </c>
      <c r="F7536" s="42"/>
    </row>
    <row r="7537" spans="1:6">
      <c r="A7537" s="39">
        <f>A7536</f>
        <v>46048</v>
      </c>
      <c r="B7537" s="40"/>
      <c r="C7537" s="40"/>
      <c r="D7537" s="41"/>
      <c r="E7537" s="43">
        <f>C7537</f>
        <v>0</v>
      </c>
      <c r="F7537" s="42"/>
    </row>
    <row r="7538" spans="1:6">
      <c r="A7538" s="39">
        <f>A7537</f>
        <v>46048</v>
      </c>
      <c r="B7538" s="40"/>
      <c r="C7538" s="40"/>
      <c r="D7538" s="41"/>
      <c r="E7538" s="43">
        <f>C7538</f>
        <v>0</v>
      </c>
      <c r="F7538" s="42"/>
    </row>
    <row r="7539" spans="1:6">
      <c r="A7539" s="39">
        <f>A7538</f>
        <v>46048</v>
      </c>
      <c r="B7539" s="40"/>
      <c r="C7539" s="40"/>
      <c r="D7539" s="41"/>
      <c r="E7539" s="43">
        <f>C7539</f>
        <v>0</v>
      </c>
      <c r="F7539" s="42"/>
    </row>
    <row r="7540" spans="1:6">
      <c r="A7540" s="39">
        <f>A7539</f>
        <v>46048</v>
      </c>
      <c r="B7540" s="40"/>
      <c r="C7540" s="40"/>
      <c r="D7540" s="41"/>
      <c r="E7540" s="43">
        <f>C7540</f>
        <v>0</v>
      </c>
      <c r="F7540" s="42"/>
    </row>
    <row r="7541" spans="1:6">
      <c r="A7541" s="39">
        <f>A7540</f>
        <v>46048</v>
      </c>
      <c r="B7541" s="40"/>
      <c r="C7541" s="40"/>
      <c r="D7541" s="41"/>
      <c r="E7541" s="43">
        <f>C7541</f>
        <v>0</v>
      </c>
      <c r="F7541" s="42"/>
    </row>
    <row r="7542" spans="1:6">
      <c r="A7542" s="39">
        <f>A7541</f>
        <v>46048</v>
      </c>
      <c r="B7542" s="40"/>
      <c r="C7542" s="40"/>
      <c r="D7542" s="41"/>
      <c r="E7542" s="43">
        <f>C7542</f>
        <v>0</v>
      </c>
      <c r="F7542" s="42"/>
    </row>
    <row r="7543" spans="1:6">
      <c r="A7543" s="39">
        <f>A7542</f>
        <v>46048</v>
      </c>
      <c r="B7543" s="40"/>
      <c r="C7543" s="40"/>
      <c r="D7543" s="41"/>
      <c r="E7543" s="43">
        <f>C7543</f>
        <v>0</v>
      </c>
      <c r="F7543" s="42"/>
    </row>
    <row r="7544" spans="1:6">
      <c r="A7544" s="39">
        <f>A7543</f>
        <v>46048</v>
      </c>
      <c r="B7544" s="40"/>
      <c r="C7544" s="40"/>
      <c r="D7544" s="41"/>
      <c r="E7544" s="43">
        <f>C7544</f>
        <v>0</v>
      </c>
      <c r="F7544" s="42"/>
    </row>
    <row r="7545" spans="1:6">
      <c r="A7545" s="39">
        <f>A7544</f>
        <v>46048</v>
      </c>
      <c r="B7545" s="40"/>
      <c r="C7545" s="40"/>
      <c r="D7545" s="41"/>
      <c r="E7545" s="43">
        <f>C7545</f>
        <v>0</v>
      </c>
      <c r="F7545" s="42"/>
    </row>
    <row r="7546" spans="1:6">
      <c r="A7546" s="39">
        <f>A7545</f>
        <v>46048</v>
      </c>
      <c r="B7546" s="40"/>
      <c r="C7546" s="40"/>
      <c r="D7546" s="41"/>
      <c r="E7546" s="43">
        <f>C7546</f>
        <v>0</v>
      </c>
      <c r="F7546" s="42"/>
    </row>
    <row r="7547" spans="1:6">
      <c r="A7547" s="39">
        <f>A7546</f>
        <v>46048</v>
      </c>
      <c r="B7547" s="40"/>
      <c r="C7547" s="40"/>
      <c r="D7547" s="41"/>
      <c r="E7547" s="43">
        <f>C7547</f>
        <v>0</v>
      </c>
      <c r="F7547" s="42"/>
    </row>
    <row r="7548" spans="1:6">
      <c r="A7548" s="39">
        <f>A7547</f>
        <v>46048</v>
      </c>
      <c r="B7548" s="40"/>
      <c r="C7548" s="40"/>
      <c r="D7548" s="41"/>
      <c r="E7548" s="43">
        <f>C7548</f>
        <v>0</v>
      </c>
      <c r="F7548" s="42"/>
    </row>
    <row r="7549" spans="1:6">
      <c r="A7549" s="39">
        <f>A7548</f>
        <v>46048</v>
      </c>
      <c r="B7549" s="40"/>
      <c r="C7549" s="40"/>
      <c r="D7549" s="41"/>
      <c r="E7549" s="43">
        <f>C7549</f>
        <v>0</v>
      </c>
      <c r="F7549" s="42"/>
    </row>
    <row r="7550" spans="1:6">
      <c r="A7550" s="39">
        <f>A7549</f>
        <v>46048</v>
      </c>
      <c r="B7550" s="40"/>
      <c r="C7550" s="40"/>
      <c r="D7550" s="41"/>
      <c r="E7550" s="43">
        <f>C7550</f>
        <v>0</v>
      </c>
      <c r="F7550" s="42"/>
    </row>
    <row r="7551" spans="1:6">
      <c r="A7551" s="39">
        <f>A7550</f>
        <v>46048</v>
      </c>
      <c r="B7551" s="40"/>
      <c r="C7551" s="40"/>
      <c r="D7551" s="41"/>
      <c r="E7551" s="43">
        <f>C7551</f>
        <v>0</v>
      </c>
      <c r="F7551" s="42"/>
    </row>
    <row r="7552" spans="1:6">
      <c r="A7552" s="39">
        <f>A7551</f>
        <v>46048</v>
      </c>
      <c r="B7552" s="40"/>
      <c r="C7552" s="40"/>
      <c r="D7552" s="41"/>
      <c r="E7552" s="43">
        <f>C7552</f>
        <v>0</v>
      </c>
      <c r="F7552" s="42"/>
    </row>
    <row r="7553" spans="1:6">
      <c r="A7553" s="39">
        <f>A7552</f>
        <v>46048</v>
      </c>
      <c r="B7553" s="40"/>
      <c r="C7553" s="40"/>
      <c r="D7553" s="41"/>
      <c r="E7553" s="43">
        <f>C7553</f>
        <v>0</v>
      </c>
      <c r="F7553" s="42"/>
    </row>
    <row r="7554" spans="1:6">
      <c r="A7554" s="39">
        <f>A7553</f>
        <v>46048</v>
      </c>
      <c r="B7554" s="40"/>
      <c r="C7554" s="40"/>
      <c r="D7554" s="41"/>
      <c r="E7554" s="43">
        <f>C7554</f>
        <v>0</v>
      </c>
      <c r="F7554" s="42"/>
    </row>
    <row r="7555" spans="1:6">
      <c r="A7555" s="39">
        <f>A7554</f>
        <v>46048</v>
      </c>
      <c r="B7555" s="40"/>
      <c r="C7555" s="40"/>
      <c r="D7555" s="41"/>
      <c r="E7555" s="43">
        <f>C7555</f>
        <v>0</v>
      </c>
      <c r="F7555" s="42"/>
    </row>
    <row r="7556" spans="1:6">
      <c r="A7556" s="39">
        <f>A7555</f>
        <v>46048</v>
      </c>
      <c r="B7556" s="40"/>
      <c r="C7556" s="40"/>
      <c r="D7556" s="41"/>
      <c r="E7556" s="43">
        <f>C7556</f>
        <v>0</v>
      </c>
      <c r="F7556" s="42"/>
    </row>
    <row r="7557" spans="1:6">
      <c r="A7557" s="39">
        <f>A7556</f>
        <v>46048</v>
      </c>
      <c r="B7557" s="40"/>
      <c r="C7557" s="40"/>
      <c r="D7557" s="41"/>
      <c r="E7557" s="43">
        <f>C7557</f>
        <v>0</v>
      </c>
      <c r="F7557" s="42"/>
    </row>
    <row r="7558" spans="1:6">
      <c r="A7558" s="39">
        <f>A7557</f>
        <v>46048</v>
      </c>
      <c r="B7558" s="40"/>
      <c r="C7558" s="40"/>
      <c r="D7558" s="41"/>
      <c r="E7558" s="43">
        <f>C7558</f>
        <v>0</v>
      </c>
      <c r="F7558" s="42"/>
    </row>
    <row r="7559" spans="1:6">
      <c r="A7559" s="39">
        <f>A7558</f>
        <v>46048</v>
      </c>
      <c r="B7559" s="40"/>
      <c r="C7559" s="40"/>
      <c r="D7559" s="41"/>
      <c r="E7559" s="43">
        <f>C7559</f>
        <v>0</v>
      </c>
      <c r="F7559" s="42"/>
    </row>
    <row r="7560" spans="1:6">
      <c r="A7560" s="39">
        <f>A7559</f>
        <v>46048</v>
      </c>
      <c r="B7560" s="40"/>
      <c r="C7560" s="40"/>
      <c r="D7560" s="41"/>
      <c r="E7560" s="43">
        <f>C7560</f>
        <v>0</v>
      </c>
      <c r="F7560" s="42"/>
    </row>
    <row r="7561" spans="1:6">
      <c r="A7561" s="39">
        <f>A7560</f>
        <v>46048</v>
      </c>
      <c r="B7561" s="40"/>
      <c r="C7561" s="40"/>
      <c r="D7561" s="41"/>
      <c r="E7561" s="43">
        <f>C7561</f>
        <v>0</v>
      </c>
      <c r="F7561" s="42"/>
    </row>
    <row r="7562" spans="1:6">
      <c r="A7562" s="39">
        <f>A7561</f>
        <v>46048</v>
      </c>
      <c r="B7562" s="40"/>
      <c r="C7562" s="40"/>
      <c r="D7562" s="41"/>
      <c r="E7562" s="43">
        <f>C7562</f>
        <v>0</v>
      </c>
      <c r="F7562" s="42"/>
    </row>
    <row r="7563" spans="1:6">
      <c r="A7563" s="39">
        <f>A7562</f>
        <v>46048</v>
      </c>
      <c r="B7563" s="40"/>
      <c r="C7563" s="40"/>
      <c r="D7563" s="41"/>
      <c r="E7563" s="43">
        <f>C7563</f>
        <v>0</v>
      </c>
      <c r="F7563" s="42"/>
    </row>
    <row r="7564" spans="1:6">
      <c r="A7564" s="39">
        <f>A7563</f>
        <v>46048</v>
      </c>
      <c r="B7564" s="40"/>
      <c r="C7564" s="40"/>
      <c r="D7564" s="41"/>
      <c r="E7564" s="43">
        <f>C7564</f>
        <v>0</v>
      </c>
      <c r="F7564" s="42"/>
    </row>
    <row r="7565" spans="1:6">
      <c r="A7565" s="39">
        <f>A7564</f>
        <v>46048</v>
      </c>
      <c r="B7565" s="40"/>
      <c r="C7565" s="40"/>
      <c r="D7565" s="41"/>
      <c r="E7565" s="43">
        <f>C7565</f>
        <v>0</v>
      </c>
      <c r="F7565" s="42"/>
    </row>
    <row r="7566" spans="1:6">
      <c r="A7566" s="39">
        <f>A7565</f>
        <v>46048</v>
      </c>
      <c r="B7566" s="40"/>
      <c r="C7566" s="40"/>
      <c r="D7566" s="41"/>
      <c r="E7566" s="43">
        <f>C7566</f>
        <v>0</v>
      </c>
      <c r="F7566" s="42"/>
    </row>
    <row r="7567" spans="1:6">
      <c r="A7567" s="39">
        <f>A7566</f>
        <v>46048</v>
      </c>
      <c r="B7567" s="40"/>
      <c r="C7567" s="40"/>
      <c r="D7567" s="41"/>
      <c r="E7567" s="43">
        <f>C7567</f>
        <v>0</v>
      </c>
      <c r="F7567" s="42"/>
    </row>
    <row r="7568" spans="1:6">
      <c r="A7568" s="39">
        <f>A7567</f>
        <v>46048</v>
      </c>
      <c r="B7568" s="40"/>
      <c r="C7568" s="40"/>
      <c r="D7568" s="41"/>
      <c r="E7568" s="43">
        <f>C7568</f>
        <v>0</v>
      </c>
      <c r="F7568" s="42"/>
    </row>
    <row r="7569" spans="1:6">
      <c r="A7569" s="39">
        <f>A7568</f>
        <v>46048</v>
      </c>
      <c r="B7569" s="40"/>
      <c r="C7569" s="40"/>
      <c r="D7569" s="41"/>
      <c r="E7569" s="43">
        <f>C7569</f>
        <v>0</v>
      </c>
      <c r="F7569" s="42"/>
    </row>
    <row r="7570" spans="1:6">
      <c r="A7570" s="39">
        <f>A7569</f>
        <v>46048</v>
      </c>
      <c r="B7570" s="40"/>
      <c r="C7570" s="40"/>
      <c r="D7570" s="41"/>
      <c r="E7570" s="43">
        <f>C7570</f>
        <v>0</v>
      </c>
      <c r="F7570" s="42"/>
    </row>
    <row r="7571" spans="1:6">
      <c r="A7571" s="39">
        <f>A7570</f>
        <v>46048</v>
      </c>
      <c r="B7571" s="40"/>
      <c r="C7571" s="40"/>
      <c r="D7571" s="41"/>
      <c r="E7571" s="43">
        <f>C7571</f>
        <v>0</v>
      </c>
      <c r="F7571" s="42"/>
    </row>
    <row r="7572" spans="1:6">
      <c r="A7572" s="39">
        <f>A7571</f>
        <v>46048</v>
      </c>
      <c r="B7572" s="40"/>
      <c r="C7572" s="40"/>
      <c r="D7572" s="41"/>
      <c r="E7572" s="43">
        <f>C7572</f>
        <v>0</v>
      </c>
      <c r="F7572" s="42"/>
    </row>
    <row r="7573" spans="1:6">
      <c r="A7573" s="39">
        <f>A7572</f>
        <v>46048</v>
      </c>
      <c r="B7573" s="40"/>
      <c r="C7573" s="40"/>
      <c r="D7573" s="41"/>
      <c r="E7573" s="43">
        <f>C7573</f>
        <v>0</v>
      </c>
      <c r="F7573" s="42"/>
    </row>
    <row r="7574" spans="1:6">
      <c r="A7574" s="39">
        <f>A7573</f>
        <v>46048</v>
      </c>
      <c r="B7574" s="40"/>
      <c r="C7574" s="40"/>
      <c r="D7574" s="41"/>
      <c r="E7574" s="43">
        <f>C7574</f>
        <v>0</v>
      </c>
      <c r="F7574" s="42"/>
    </row>
    <row r="7575" spans="1:6">
      <c r="A7575" s="39">
        <f>A7574</f>
        <v>46048</v>
      </c>
      <c r="B7575" s="40"/>
      <c r="C7575" s="40"/>
      <c r="D7575" s="41"/>
      <c r="E7575" s="43">
        <f>C7575</f>
        <v>0</v>
      </c>
      <c r="F7575" s="42"/>
    </row>
    <row r="7576" spans="1:6">
      <c r="A7576" s="39">
        <f>A7575</f>
        <v>46048</v>
      </c>
      <c r="B7576" s="40"/>
      <c r="C7576" s="40"/>
      <c r="D7576" s="41"/>
      <c r="E7576" s="43">
        <f>C7576</f>
        <v>0</v>
      </c>
      <c r="F7576" s="42"/>
    </row>
    <row r="7577" spans="1:6">
      <c r="A7577" s="39">
        <f>A7576</f>
        <v>46048</v>
      </c>
      <c r="B7577" s="40"/>
      <c r="C7577" s="40"/>
      <c r="D7577" s="41"/>
      <c r="E7577" s="43">
        <f>C7577</f>
        <v>0</v>
      </c>
      <c r="F7577" s="42"/>
    </row>
    <row r="7578" spans="1:6">
      <c r="A7578" s="39">
        <f>A7577</f>
        <v>46048</v>
      </c>
      <c r="B7578" s="40"/>
      <c r="C7578" s="40"/>
      <c r="D7578" s="41"/>
      <c r="E7578" s="43">
        <f>C7578</f>
        <v>0</v>
      </c>
      <c r="F7578" s="42"/>
    </row>
    <row r="7579" spans="1:6">
      <c r="A7579" s="39">
        <f>A7578</f>
        <v>46048</v>
      </c>
      <c r="B7579" s="40"/>
      <c r="C7579" s="40"/>
      <c r="D7579" s="41"/>
      <c r="E7579" s="43">
        <f>C7579</f>
        <v>0</v>
      </c>
      <c r="F7579" s="42"/>
    </row>
    <row r="7580" spans="1:6">
      <c r="A7580" s="39">
        <f>A7579</f>
        <v>46048</v>
      </c>
      <c r="B7580" s="40"/>
      <c r="C7580" s="40"/>
      <c r="D7580" s="41"/>
      <c r="E7580" s="43">
        <f>C7580</f>
        <v>0</v>
      </c>
      <c r="F7580" s="42"/>
    </row>
    <row r="7581" spans="1:6">
      <c r="A7581" s="39">
        <f>A7580</f>
        <v>46048</v>
      </c>
      <c r="B7581" s="40"/>
      <c r="C7581" s="40"/>
      <c r="D7581" s="41"/>
      <c r="E7581" s="43">
        <f>C7581</f>
        <v>0</v>
      </c>
      <c r="F7581" s="42"/>
    </row>
    <row r="7582" spans="1:6">
      <c r="A7582" s="39">
        <f>A7581</f>
        <v>46048</v>
      </c>
      <c r="B7582" s="40"/>
      <c r="C7582" s="40"/>
      <c r="D7582" s="41"/>
      <c r="E7582" s="43">
        <f>C7582</f>
        <v>0</v>
      </c>
      <c r="F7582" s="42"/>
    </row>
    <row r="7583" spans="1:6">
      <c r="A7583" s="39">
        <f>A7582</f>
        <v>46048</v>
      </c>
      <c r="B7583" s="40"/>
      <c r="C7583" s="40"/>
      <c r="D7583" s="41"/>
      <c r="E7583" s="43">
        <f>C7583</f>
        <v>0</v>
      </c>
      <c r="F7583" s="42"/>
    </row>
    <row r="7584" spans="1:6">
      <c r="A7584" s="39">
        <f>A7583</f>
        <v>46048</v>
      </c>
      <c r="B7584" s="40"/>
      <c r="C7584" s="40"/>
      <c r="D7584" s="41"/>
      <c r="E7584" s="43">
        <f>C7584</f>
        <v>0</v>
      </c>
      <c r="F7584" s="42"/>
    </row>
    <row r="7585" spans="1:6">
      <c r="A7585" s="39">
        <f>A7584</f>
        <v>46048</v>
      </c>
      <c r="B7585" s="40"/>
      <c r="C7585" s="40"/>
      <c r="D7585" s="41"/>
      <c r="E7585" s="43">
        <f>C7585</f>
        <v>0</v>
      </c>
      <c r="F7585" s="42"/>
    </row>
    <row r="7586" spans="1:6">
      <c r="A7586" s="39">
        <f>A7585</f>
        <v>46048</v>
      </c>
      <c r="B7586" s="40"/>
      <c r="C7586" s="40"/>
      <c r="D7586" s="41"/>
      <c r="E7586" s="43">
        <f>C7586</f>
        <v>0</v>
      </c>
      <c r="F7586" s="42"/>
    </row>
    <row r="7587" spans="1:6">
      <c r="A7587" s="39">
        <f>A7586</f>
        <v>46048</v>
      </c>
      <c r="B7587" s="40"/>
      <c r="C7587" s="40"/>
      <c r="D7587" s="41"/>
      <c r="E7587" s="43">
        <f>C7587</f>
        <v>0</v>
      </c>
      <c r="F7587" s="42"/>
    </row>
    <row r="7588" spans="1:6">
      <c r="A7588" s="39">
        <f>A7587</f>
        <v>46048</v>
      </c>
      <c r="B7588" s="40"/>
      <c r="C7588" s="40"/>
      <c r="D7588" s="41"/>
      <c r="E7588" s="43">
        <f>C7588</f>
        <v>0</v>
      </c>
      <c r="F7588" s="42"/>
    </row>
    <row r="7589" spans="1:6">
      <c r="A7589" s="39">
        <f>A7588</f>
        <v>46048</v>
      </c>
      <c r="B7589" s="40"/>
      <c r="C7589" s="40"/>
      <c r="D7589" s="41"/>
      <c r="E7589" s="43">
        <f>C7589</f>
        <v>0</v>
      </c>
      <c r="F7589" s="42"/>
    </row>
    <row r="7590" spans="1:6">
      <c r="A7590" s="39">
        <f>A7589</f>
        <v>46048</v>
      </c>
      <c r="B7590" s="40"/>
      <c r="C7590" s="40"/>
      <c r="D7590" s="41"/>
      <c r="E7590" s="43">
        <f>C7590</f>
        <v>0</v>
      </c>
      <c r="F7590" s="42"/>
    </row>
    <row r="7591" spans="1:6">
      <c r="A7591" s="39">
        <f>A7590</f>
        <v>46048</v>
      </c>
      <c r="B7591" s="40"/>
      <c r="C7591" s="40"/>
      <c r="D7591" s="41"/>
      <c r="E7591" s="43">
        <f>C7591</f>
        <v>0</v>
      </c>
      <c r="F7591" s="42"/>
    </row>
    <row r="7592" spans="1:6">
      <c r="A7592" s="39">
        <f>A7591</f>
        <v>46048</v>
      </c>
      <c r="B7592" s="40"/>
      <c r="C7592" s="40"/>
      <c r="D7592" s="41"/>
      <c r="E7592" s="43">
        <f>C7592</f>
        <v>0</v>
      </c>
      <c r="F7592" s="42"/>
    </row>
    <row r="7593" spans="1:6">
      <c r="A7593" s="39">
        <f>A7592</f>
        <v>46048</v>
      </c>
      <c r="B7593" s="40"/>
      <c r="C7593" s="40"/>
      <c r="D7593" s="41"/>
      <c r="E7593" s="43">
        <f>C7593</f>
        <v>0</v>
      </c>
      <c r="F7593" s="42"/>
    </row>
    <row r="7594" spans="1:6">
      <c r="A7594" s="39">
        <f>A7593</f>
        <v>46048</v>
      </c>
      <c r="B7594" s="40"/>
      <c r="C7594" s="40"/>
      <c r="D7594" s="41"/>
      <c r="E7594" s="43">
        <f>C7594</f>
        <v>0</v>
      </c>
      <c r="F7594" s="42"/>
    </row>
    <row r="7595" spans="1:6">
      <c r="A7595" s="39">
        <f>A7594</f>
        <v>46048</v>
      </c>
      <c r="B7595" s="40"/>
      <c r="C7595" s="40"/>
      <c r="D7595" s="41"/>
      <c r="E7595" s="43">
        <f>C7595</f>
        <v>0</v>
      </c>
      <c r="F7595" s="42"/>
    </row>
    <row r="7596" spans="1:6">
      <c r="A7596" s="39">
        <f>A7595</f>
        <v>46048</v>
      </c>
      <c r="B7596" s="40"/>
      <c r="C7596" s="40"/>
      <c r="D7596" s="41"/>
      <c r="E7596" s="43">
        <f>C7596</f>
        <v>0</v>
      </c>
      <c r="F7596" s="42"/>
    </row>
    <row r="7597" spans="1:6">
      <c r="A7597" s="39">
        <f>A7596</f>
        <v>46048</v>
      </c>
      <c r="B7597" s="40"/>
      <c r="C7597" s="40"/>
      <c r="D7597" s="41"/>
      <c r="E7597" s="43">
        <f>C7597</f>
        <v>0</v>
      </c>
      <c r="F7597" s="42"/>
    </row>
    <row r="7598" spans="1:6">
      <c r="A7598" s="39">
        <f>A7597</f>
        <v>46048</v>
      </c>
      <c r="B7598" s="40"/>
      <c r="C7598" s="40"/>
      <c r="D7598" s="41"/>
      <c r="E7598" s="43">
        <f>C7598</f>
        <v>0</v>
      </c>
      <c r="F7598" s="42"/>
    </row>
    <row r="7599" spans="1:6">
      <c r="A7599" s="39">
        <f>A7598</f>
        <v>46048</v>
      </c>
      <c r="B7599" s="40"/>
      <c r="C7599" s="40"/>
      <c r="D7599" s="41"/>
      <c r="E7599" s="43">
        <f>C7599</f>
        <v>0</v>
      </c>
      <c r="F7599" s="42"/>
    </row>
    <row r="7600" spans="1:6">
      <c r="A7600" s="39">
        <f>A7599</f>
        <v>46048</v>
      </c>
      <c r="B7600" s="40"/>
      <c r="C7600" s="40"/>
      <c r="D7600" s="41"/>
      <c r="E7600" s="43">
        <f>C7600</f>
        <v>0</v>
      </c>
      <c r="F7600" s="42"/>
    </row>
    <row r="7601" spans="1:6">
      <c r="A7601" s="39">
        <f>A7600</f>
        <v>46048</v>
      </c>
      <c r="B7601" s="40"/>
      <c r="C7601" s="40"/>
      <c r="D7601" s="41"/>
      <c r="E7601" s="43">
        <f>C7601</f>
        <v>0</v>
      </c>
      <c r="F7601" s="42"/>
    </row>
    <row r="7602" spans="1:6">
      <c r="A7602" s="39">
        <f>A7601</f>
        <v>46048</v>
      </c>
      <c r="B7602" s="40"/>
      <c r="C7602" s="40"/>
      <c r="D7602" s="41"/>
      <c r="E7602" s="43">
        <f>C7602</f>
        <v>0</v>
      </c>
      <c r="F7602" s="42"/>
    </row>
    <row r="7603" spans="1:6">
      <c r="A7603" s="39">
        <f>A7602</f>
        <v>46048</v>
      </c>
      <c r="B7603" s="40"/>
      <c r="C7603" s="40"/>
      <c r="D7603" s="41"/>
      <c r="E7603" s="43">
        <f>C7603</f>
        <v>0</v>
      </c>
      <c r="F7603" s="42"/>
    </row>
    <row r="7604" spans="1:6">
      <c r="A7604" s="39">
        <f>A7603</f>
        <v>46048</v>
      </c>
      <c r="B7604" s="40"/>
      <c r="C7604" s="40"/>
      <c r="D7604" s="41"/>
      <c r="E7604" s="43">
        <f>C7604</f>
        <v>0</v>
      </c>
      <c r="F7604" s="42"/>
    </row>
    <row r="7605" spans="1:6">
      <c r="A7605" s="39">
        <f>A7604</f>
        <v>46048</v>
      </c>
      <c r="B7605" s="40"/>
      <c r="C7605" s="40"/>
      <c r="D7605" s="41"/>
      <c r="E7605" s="43">
        <f>C7605</f>
        <v>0</v>
      </c>
      <c r="F7605" s="42"/>
    </row>
    <row r="7606" spans="1:6">
      <c r="A7606" s="39">
        <f>A7605</f>
        <v>46048</v>
      </c>
      <c r="B7606" s="40"/>
      <c r="C7606" s="40"/>
      <c r="D7606" s="41"/>
      <c r="E7606" s="43">
        <f>C7606</f>
        <v>0</v>
      </c>
      <c r="F7606" s="42"/>
    </row>
    <row r="7607" spans="1:6">
      <c r="A7607" s="39">
        <f>A7606</f>
        <v>46048</v>
      </c>
      <c r="B7607" s="40"/>
      <c r="C7607" s="40"/>
      <c r="D7607" s="41"/>
      <c r="E7607" s="43">
        <f>C7607</f>
        <v>0</v>
      </c>
      <c r="F7607" s="42"/>
    </row>
    <row r="7608" spans="1:6">
      <c r="A7608" s="39">
        <f>A7607</f>
        <v>46048</v>
      </c>
      <c r="B7608" s="40"/>
      <c r="C7608" s="40"/>
      <c r="D7608" s="41"/>
      <c r="E7608" s="43">
        <f>C7608</f>
        <v>0</v>
      </c>
      <c r="F7608" s="42"/>
    </row>
    <row r="7609" spans="1:6">
      <c r="A7609" s="39">
        <f>A7608</f>
        <v>46048</v>
      </c>
      <c r="B7609" s="40"/>
      <c r="C7609" s="40"/>
      <c r="D7609" s="41"/>
      <c r="E7609" s="43">
        <f>C7609</f>
        <v>0</v>
      </c>
      <c r="F7609" s="42"/>
    </row>
    <row r="7610" spans="1:6">
      <c r="A7610" s="39">
        <f>A7609</f>
        <v>46048</v>
      </c>
      <c r="B7610" s="40"/>
      <c r="C7610" s="40"/>
      <c r="D7610" s="41"/>
      <c r="E7610" s="43">
        <f>C7610</f>
        <v>0</v>
      </c>
      <c r="F7610" s="42"/>
    </row>
    <row r="7611" spans="1:6">
      <c r="A7611" s="39">
        <f>A7610</f>
        <v>46048</v>
      </c>
      <c r="B7611" s="40"/>
      <c r="C7611" s="40"/>
      <c r="D7611" s="41"/>
      <c r="E7611" s="43">
        <f>C7611</f>
        <v>0</v>
      </c>
      <c r="F7611" s="42"/>
    </row>
    <row r="7612" spans="1:6">
      <c r="A7612" s="39">
        <f>A7611</f>
        <v>46048</v>
      </c>
      <c r="B7612" s="40"/>
      <c r="C7612" s="40"/>
      <c r="D7612" s="41"/>
      <c r="E7612" s="43">
        <f>C7612</f>
        <v>0</v>
      </c>
      <c r="F7612" s="42"/>
    </row>
    <row r="7613" spans="1:6">
      <c r="A7613" s="39">
        <f>A7612</f>
        <v>46048</v>
      </c>
      <c r="B7613" s="40"/>
      <c r="C7613" s="40"/>
      <c r="D7613" s="41"/>
      <c r="E7613" s="43">
        <f>C7613</f>
        <v>0</v>
      </c>
      <c r="F7613" s="42"/>
    </row>
    <row r="7614" spans="1:6">
      <c r="A7614" s="39">
        <f>A7613</f>
        <v>46048</v>
      </c>
      <c r="B7614" s="40"/>
      <c r="C7614" s="40"/>
      <c r="D7614" s="41"/>
      <c r="E7614" s="43">
        <f>C7614</f>
        <v>0</v>
      </c>
      <c r="F7614" s="42"/>
    </row>
    <row r="7615" spans="1:6">
      <c r="A7615" s="39">
        <f>A7614</f>
        <v>46048</v>
      </c>
      <c r="B7615" s="40"/>
      <c r="C7615" s="40"/>
      <c r="D7615" s="41"/>
      <c r="E7615" s="43">
        <f>C7615</f>
        <v>0</v>
      </c>
      <c r="F7615" s="42"/>
    </row>
    <row r="7616" spans="1:6">
      <c r="A7616" s="39">
        <f>A7615</f>
        <v>46048</v>
      </c>
      <c r="B7616" s="40"/>
      <c r="C7616" s="40"/>
      <c r="D7616" s="41"/>
      <c r="E7616" s="43">
        <f>C7616</f>
        <v>0</v>
      </c>
      <c r="F7616" s="42"/>
    </row>
    <row r="7617" spans="1:6">
      <c r="A7617" s="39">
        <f>A7616</f>
        <v>46048</v>
      </c>
      <c r="B7617" s="40"/>
      <c r="C7617" s="40"/>
      <c r="D7617" s="41"/>
      <c r="E7617" s="43">
        <f>C7617</f>
        <v>0</v>
      </c>
      <c r="F7617" s="42"/>
    </row>
    <row r="7618" spans="1:6">
      <c r="A7618" s="39">
        <f>A7617</f>
        <v>46048</v>
      </c>
      <c r="B7618" s="40"/>
      <c r="C7618" s="40"/>
      <c r="D7618" s="41"/>
      <c r="E7618" s="43">
        <f>C7618</f>
        <v>0</v>
      </c>
      <c r="F7618" s="42"/>
    </row>
    <row r="7619" spans="1:6">
      <c r="A7619" s="39">
        <f>A7618</f>
        <v>46048</v>
      </c>
      <c r="B7619" s="40"/>
      <c r="C7619" s="40"/>
      <c r="D7619" s="41"/>
      <c r="E7619" s="43">
        <f>C7619</f>
        <v>0</v>
      </c>
      <c r="F7619" s="42"/>
    </row>
    <row r="7620" spans="1:6">
      <c r="A7620" s="39">
        <f>A7619</f>
        <v>46048</v>
      </c>
      <c r="B7620" s="40"/>
      <c r="C7620" s="40"/>
      <c r="D7620" s="41"/>
      <c r="E7620" s="43">
        <f>C7620</f>
        <v>0</v>
      </c>
      <c r="F7620" s="42"/>
    </row>
    <row r="7621" spans="1:6">
      <c r="A7621" s="39">
        <f>A7620</f>
        <v>46048</v>
      </c>
      <c r="B7621" s="40"/>
      <c r="C7621" s="40"/>
      <c r="D7621" s="41"/>
      <c r="E7621" s="43">
        <f>C7621</f>
        <v>0</v>
      </c>
      <c r="F7621" s="42"/>
    </row>
    <row r="7622" spans="1:6">
      <c r="A7622" s="39">
        <f>A7621</f>
        <v>46048</v>
      </c>
      <c r="B7622" s="40"/>
      <c r="C7622" s="40"/>
      <c r="D7622" s="41"/>
      <c r="E7622" s="43">
        <f>C7622</f>
        <v>0</v>
      </c>
      <c r="F7622" s="42"/>
    </row>
    <row r="7623" spans="1:6">
      <c r="A7623" s="39">
        <f>A7622</f>
        <v>46048</v>
      </c>
      <c r="B7623" s="40"/>
      <c r="C7623" s="40"/>
      <c r="D7623" s="41"/>
      <c r="E7623" s="43">
        <f>C7623</f>
        <v>0</v>
      </c>
      <c r="F7623" s="42"/>
    </row>
    <row r="7624" spans="1:6">
      <c r="A7624" s="39">
        <f>A7623</f>
        <v>46048</v>
      </c>
      <c r="B7624" s="40"/>
      <c r="C7624" s="40"/>
      <c r="D7624" s="41"/>
      <c r="E7624" s="43">
        <f>C7624</f>
        <v>0</v>
      </c>
      <c r="F7624" s="42"/>
    </row>
    <row r="7625" spans="1:6">
      <c r="A7625" s="39">
        <f>A7624</f>
        <v>46048</v>
      </c>
      <c r="B7625" s="40"/>
      <c r="C7625" s="40"/>
      <c r="D7625" s="41"/>
      <c r="E7625" s="43">
        <f>C7625</f>
        <v>0</v>
      </c>
      <c r="F7625" s="42"/>
    </row>
    <row r="7626" spans="1:6">
      <c r="A7626" s="39">
        <f>A7625</f>
        <v>46048</v>
      </c>
      <c r="B7626" s="40"/>
      <c r="C7626" s="40"/>
      <c r="D7626" s="41"/>
      <c r="E7626" s="43">
        <f>C7626</f>
        <v>0</v>
      </c>
      <c r="F7626" s="42"/>
    </row>
    <row r="7627" spans="1:6">
      <c r="A7627" s="39">
        <f>A7626</f>
        <v>46048</v>
      </c>
      <c r="B7627" s="40"/>
      <c r="C7627" s="40"/>
      <c r="D7627" s="41"/>
      <c r="E7627" s="43">
        <f>C7627</f>
        <v>0</v>
      </c>
      <c r="F7627" s="42"/>
    </row>
    <row r="7628" spans="1:6">
      <c r="A7628" s="39">
        <f>A7627</f>
        <v>46048</v>
      </c>
      <c r="B7628" s="40"/>
      <c r="C7628" s="40"/>
      <c r="D7628" s="41"/>
      <c r="E7628" s="43">
        <f>C7628</f>
        <v>0</v>
      </c>
      <c r="F7628" s="42"/>
    </row>
    <row r="7629" spans="1:6">
      <c r="A7629" s="39">
        <f>A7628</f>
        <v>46048</v>
      </c>
      <c r="B7629" s="40"/>
      <c r="C7629" s="40"/>
      <c r="D7629" s="41"/>
      <c r="E7629" s="43">
        <f>C7629</f>
        <v>0</v>
      </c>
      <c r="F7629" s="42"/>
    </row>
    <row r="7630" spans="1:6">
      <c r="A7630" s="39">
        <f>A7629</f>
        <v>46048</v>
      </c>
      <c r="B7630" s="40"/>
      <c r="C7630" s="40"/>
      <c r="D7630" s="41"/>
      <c r="E7630" s="43">
        <f>C7630</f>
        <v>0</v>
      </c>
      <c r="F7630" s="42"/>
    </row>
    <row r="7631" spans="1:6">
      <c r="A7631" s="39">
        <f>A7630</f>
        <v>46048</v>
      </c>
      <c r="B7631" s="40"/>
      <c r="C7631" s="40"/>
      <c r="D7631" s="41"/>
      <c r="E7631" s="43">
        <f>C7631</f>
        <v>0</v>
      </c>
      <c r="F7631" s="42"/>
    </row>
    <row r="7632" spans="1:6">
      <c r="A7632" s="39">
        <f>A7631</f>
        <v>46048</v>
      </c>
      <c r="B7632" s="40"/>
      <c r="C7632" s="40"/>
      <c r="D7632" s="41"/>
      <c r="E7632" s="43">
        <f>C7632</f>
        <v>0</v>
      </c>
      <c r="F7632" s="42"/>
    </row>
    <row r="7633" spans="1:6">
      <c r="A7633" s="39">
        <f>A7632</f>
        <v>46048</v>
      </c>
      <c r="B7633" s="40"/>
      <c r="C7633" s="40"/>
      <c r="D7633" s="41"/>
      <c r="E7633" s="43">
        <f>C7633</f>
        <v>0</v>
      </c>
      <c r="F7633" s="42"/>
    </row>
    <row r="7634" spans="1:6">
      <c r="A7634" s="39">
        <f>A7633</f>
        <v>46048</v>
      </c>
      <c r="B7634" s="40"/>
      <c r="C7634" s="40"/>
      <c r="D7634" s="41"/>
      <c r="E7634" s="43">
        <f>C7634</f>
        <v>0</v>
      </c>
      <c r="F7634" s="42"/>
    </row>
    <row r="7635" spans="1:6">
      <c r="A7635" s="39">
        <f>A7634</f>
        <v>46048</v>
      </c>
      <c r="B7635" s="40"/>
      <c r="C7635" s="40"/>
      <c r="D7635" s="41"/>
      <c r="E7635" s="43">
        <f>C7635</f>
        <v>0</v>
      </c>
      <c r="F7635" s="42"/>
    </row>
    <row r="7636" spans="1:6">
      <c r="A7636" s="39">
        <f>A7635</f>
        <v>46048</v>
      </c>
      <c r="B7636" s="40"/>
      <c r="C7636" s="40"/>
      <c r="D7636" s="41"/>
      <c r="E7636" s="43">
        <f>C7636</f>
        <v>0</v>
      </c>
      <c r="F7636" s="42"/>
    </row>
    <row r="7637" spans="1:6">
      <c r="A7637" s="39">
        <f>A7636</f>
        <v>46048</v>
      </c>
      <c r="B7637" s="40"/>
      <c r="C7637" s="40"/>
      <c r="D7637" s="41"/>
      <c r="E7637" s="43">
        <f>C7637</f>
        <v>0</v>
      </c>
      <c r="F7637" s="42"/>
    </row>
    <row r="7638" spans="1:6">
      <c r="A7638" s="39">
        <f>A7637</f>
        <v>46048</v>
      </c>
      <c r="B7638" s="40"/>
      <c r="C7638" s="40"/>
      <c r="D7638" s="41"/>
      <c r="E7638" s="43">
        <f>C7638</f>
        <v>0</v>
      </c>
      <c r="F7638" s="42"/>
    </row>
    <row r="7639" spans="1:6">
      <c r="A7639" s="39">
        <f>A7638</f>
        <v>46048</v>
      </c>
      <c r="B7639" s="40"/>
      <c r="C7639" s="40"/>
      <c r="D7639" s="41"/>
      <c r="E7639" s="43">
        <f>C7639</f>
        <v>0</v>
      </c>
      <c r="F7639" s="42"/>
    </row>
    <row r="7640" spans="1:6">
      <c r="A7640" s="39">
        <f>A7639</f>
        <v>46048</v>
      </c>
      <c r="B7640" s="40"/>
      <c r="C7640" s="40"/>
      <c r="D7640" s="41"/>
      <c r="E7640" s="43">
        <f>C7640</f>
        <v>0</v>
      </c>
      <c r="F7640" s="42"/>
    </row>
    <row r="7641" spans="1:6">
      <c r="A7641" s="39">
        <f>A7640</f>
        <v>46048</v>
      </c>
      <c r="B7641" s="40"/>
      <c r="C7641" s="40"/>
      <c r="D7641" s="41"/>
      <c r="E7641" s="43">
        <f>C7641</f>
        <v>0</v>
      </c>
      <c r="F7641" s="42"/>
    </row>
    <row r="7642" spans="1:6">
      <c r="A7642" s="39">
        <f>A7641</f>
        <v>46048</v>
      </c>
      <c r="B7642" s="40"/>
      <c r="C7642" s="40"/>
      <c r="D7642" s="41"/>
      <c r="E7642" s="43">
        <f>C7642</f>
        <v>0</v>
      </c>
      <c r="F7642" s="42"/>
    </row>
    <row r="7643" spans="1:6">
      <c r="A7643" s="39">
        <f>A7642</f>
        <v>46048</v>
      </c>
      <c r="B7643" s="40"/>
      <c r="C7643" s="40"/>
      <c r="D7643" s="41"/>
      <c r="E7643" s="43">
        <f>C7643</f>
        <v>0</v>
      </c>
      <c r="F7643" s="42"/>
    </row>
    <row r="7644" spans="1:6">
      <c r="A7644" s="39">
        <f>A7643</f>
        <v>46048</v>
      </c>
      <c r="B7644" s="40"/>
      <c r="C7644" s="40"/>
      <c r="D7644" s="41"/>
      <c r="E7644" s="43">
        <f>C7644</f>
        <v>0</v>
      </c>
      <c r="F7644" s="42"/>
    </row>
    <row r="7645" spans="1:6">
      <c r="A7645" s="39">
        <f>A7644</f>
        <v>46048</v>
      </c>
      <c r="B7645" s="40"/>
      <c r="C7645" s="40"/>
      <c r="D7645" s="41"/>
      <c r="E7645" s="43">
        <f>C7645</f>
        <v>0</v>
      </c>
      <c r="F7645" s="42"/>
    </row>
    <row r="7646" spans="1:6">
      <c r="A7646" s="39">
        <f>A7645</f>
        <v>46048</v>
      </c>
      <c r="B7646" s="40"/>
      <c r="C7646" s="40"/>
      <c r="D7646" s="41"/>
      <c r="E7646" s="43">
        <f>C7646</f>
        <v>0</v>
      </c>
      <c r="F7646" s="42"/>
    </row>
    <row r="7647" spans="1:6">
      <c r="A7647" s="39">
        <f>A7646</f>
        <v>46048</v>
      </c>
      <c r="B7647" s="40"/>
      <c r="C7647" s="40"/>
      <c r="D7647" s="41"/>
      <c r="E7647" s="43">
        <f>C7647</f>
        <v>0</v>
      </c>
      <c r="F7647" s="42"/>
    </row>
    <row r="7648" spans="1:6">
      <c r="A7648" s="39">
        <f>A7647</f>
        <v>46048</v>
      </c>
      <c r="B7648" s="40"/>
      <c r="C7648" s="40"/>
      <c r="D7648" s="41"/>
      <c r="E7648" s="43">
        <f>C7648</f>
        <v>0</v>
      </c>
      <c r="F7648" s="42"/>
    </row>
    <row r="7649" spans="1:6">
      <c r="A7649" s="39">
        <f>A7648</f>
        <v>46048</v>
      </c>
      <c r="B7649" s="40"/>
      <c r="C7649" s="40"/>
      <c r="D7649" s="41"/>
      <c r="E7649" s="43">
        <f>C7649</f>
        <v>0</v>
      </c>
      <c r="F7649" s="42"/>
    </row>
    <row r="7650" spans="1:6">
      <c r="A7650" s="39">
        <f>A7649</f>
        <v>46048</v>
      </c>
      <c r="B7650" s="40"/>
      <c r="C7650" s="40"/>
      <c r="D7650" s="41"/>
      <c r="E7650" s="43">
        <f>C7650</f>
        <v>0</v>
      </c>
      <c r="F7650" s="42"/>
    </row>
    <row r="7651" spans="1:6">
      <c r="A7651" s="39">
        <f>A7650</f>
        <v>46048</v>
      </c>
      <c r="B7651" s="40"/>
      <c r="C7651" s="40"/>
      <c r="D7651" s="41"/>
      <c r="E7651" s="43">
        <f>C7651</f>
        <v>0</v>
      </c>
      <c r="F7651" s="42"/>
    </row>
    <row r="7652" spans="1:6">
      <c r="A7652" s="39">
        <f>A7651</f>
        <v>46048</v>
      </c>
      <c r="B7652" s="40"/>
      <c r="C7652" s="40"/>
      <c r="D7652" s="41"/>
      <c r="E7652" s="43">
        <f>C7652</f>
        <v>0</v>
      </c>
      <c r="F7652" s="42"/>
    </row>
    <row r="7653" spans="1:6">
      <c r="A7653" s="39">
        <f>A7652</f>
        <v>46048</v>
      </c>
      <c r="B7653" s="40"/>
      <c r="C7653" s="40"/>
      <c r="D7653" s="41"/>
      <c r="E7653" s="43">
        <f>C7653</f>
        <v>0</v>
      </c>
      <c r="F7653" s="42"/>
    </row>
    <row r="7654" spans="1:6">
      <c r="A7654" s="39">
        <f>A7653</f>
        <v>46048</v>
      </c>
      <c r="B7654" s="40"/>
      <c r="C7654" s="40"/>
      <c r="D7654" s="41"/>
      <c r="E7654" s="43">
        <f>C7654</f>
        <v>0</v>
      </c>
      <c r="F7654" s="42"/>
    </row>
    <row r="7655" spans="1:6">
      <c r="A7655" s="39">
        <f>A7654</f>
        <v>46048</v>
      </c>
      <c r="B7655" s="40"/>
      <c r="C7655" s="40"/>
      <c r="D7655" s="41"/>
      <c r="E7655" s="43">
        <f>C7655</f>
        <v>0</v>
      </c>
      <c r="F7655" s="42"/>
    </row>
    <row r="7656" spans="1:6">
      <c r="A7656" s="39">
        <f>A7655</f>
        <v>46048</v>
      </c>
      <c r="B7656" s="40"/>
      <c r="C7656" s="40"/>
      <c r="D7656" s="41"/>
      <c r="E7656" s="43">
        <f>C7656</f>
        <v>0</v>
      </c>
      <c r="F7656" s="42"/>
    </row>
    <row r="7657" spans="1:6">
      <c r="A7657" s="39">
        <f>A7656</f>
        <v>46048</v>
      </c>
      <c r="B7657" s="40"/>
      <c r="C7657" s="40"/>
      <c r="D7657" s="41"/>
      <c r="E7657" s="43">
        <f>C7657</f>
        <v>0</v>
      </c>
      <c r="F7657" s="42"/>
    </row>
    <row r="7658" spans="1:6">
      <c r="A7658" s="39">
        <f>A7657</f>
        <v>46048</v>
      </c>
      <c r="B7658" s="40"/>
      <c r="C7658" s="40"/>
      <c r="D7658" s="41"/>
      <c r="E7658" s="43">
        <f>C7658</f>
        <v>0</v>
      </c>
      <c r="F7658" s="42"/>
    </row>
    <row r="7659" spans="1:6">
      <c r="A7659" s="39">
        <f>A7658</f>
        <v>46048</v>
      </c>
      <c r="B7659" s="40"/>
      <c r="C7659" s="40"/>
      <c r="D7659" s="41"/>
      <c r="E7659" s="43">
        <f>C7659</f>
        <v>0</v>
      </c>
      <c r="F7659" s="42"/>
    </row>
    <row r="7660" spans="1:6">
      <c r="A7660" s="39">
        <f>A7659</f>
        <v>46048</v>
      </c>
      <c r="B7660" s="40"/>
      <c r="C7660" s="40"/>
      <c r="D7660" s="41"/>
      <c r="E7660" s="43">
        <f>C7660</f>
        <v>0</v>
      </c>
      <c r="F7660" s="42"/>
    </row>
    <row r="7661" spans="1:6">
      <c r="A7661" s="39">
        <f>A7660</f>
        <v>46048</v>
      </c>
      <c r="B7661" s="40"/>
      <c r="C7661" s="40"/>
      <c r="D7661" s="41"/>
      <c r="E7661" s="43">
        <f>C7661</f>
        <v>0</v>
      </c>
      <c r="F7661" s="42"/>
    </row>
    <row r="7662" spans="1:6">
      <c r="A7662" s="39">
        <f>A7661</f>
        <v>46048</v>
      </c>
      <c r="B7662" s="40"/>
      <c r="C7662" s="40"/>
      <c r="D7662" s="41"/>
      <c r="E7662" s="43">
        <f>C7662</f>
        <v>0</v>
      </c>
      <c r="F7662" s="42"/>
    </row>
    <row r="7663" spans="1:6">
      <c r="A7663" s="39">
        <f>A7662</f>
        <v>46048</v>
      </c>
      <c r="B7663" s="40"/>
      <c r="C7663" s="40"/>
      <c r="D7663" s="41"/>
      <c r="E7663" s="43">
        <f>C7663</f>
        <v>0</v>
      </c>
      <c r="F7663" s="42"/>
    </row>
    <row r="7664" spans="1:6">
      <c r="A7664" s="39">
        <f>A7663</f>
        <v>46048</v>
      </c>
      <c r="B7664" s="40"/>
      <c r="C7664" s="40"/>
      <c r="D7664" s="41"/>
      <c r="E7664" s="43">
        <f>C7664</f>
        <v>0</v>
      </c>
      <c r="F7664" s="42"/>
    </row>
    <row r="7665" spans="1:6">
      <c r="A7665" s="39">
        <f>A7664</f>
        <v>46048</v>
      </c>
      <c r="B7665" s="40"/>
      <c r="C7665" s="40"/>
      <c r="D7665" s="41"/>
      <c r="E7665" s="43">
        <f>C7665</f>
        <v>0</v>
      </c>
      <c r="F7665" s="42"/>
    </row>
    <row r="7666" spans="1:6">
      <c r="A7666" s="39">
        <f>A7665</f>
        <v>46048</v>
      </c>
      <c r="B7666" s="40"/>
      <c r="C7666" s="40"/>
      <c r="D7666" s="41"/>
      <c r="E7666" s="43">
        <f>C7666</f>
        <v>0</v>
      </c>
      <c r="F7666" s="42"/>
    </row>
    <row r="7667" spans="1:6">
      <c r="A7667" s="39">
        <f>A7666</f>
        <v>46048</v>
      </c>
      <c r="B7667" s="40"/>
      <c r="C7667" s="40"/>
      <c r="D7667" s="41"/>
      <c r="E7667" s="43">
        <f>C7667</f>
        <v>0</v>
      </c>
      <c r="F7667" s="42"/>
    </row>
    <row r="7668" spans="1:6">
      <c r="A7668" s="39">
        <f>A7667</f>
        <v>46048</v>
      </c>
      <c r="B7668" s="40"/>
      <c r="C7668" s="40"/>
      <c r="D7668" s="41"/>
      <c r="E7668" s="43">
        <f>C7668</f>
        <v>0</v>
      </c>
      <c r="F7668" s="42"/>
    </row>
    <row r="7669" spans="1:6">
      <c r="A7669" s="39">
        <f>A7668</f>
        <v>46048</v>
      </c>
      <c r="B7669" s="40"/>
      <c r="C7669" s="40"/>
      <c r="D7669" s="41"/>
      <c r="E7669" s="43">
        <f>C7669</f>
        <v>0</v>
      </c>
      <c r="F7669" s="42"/>
    </row>
    <row r="7670" spans="1:6">
      <c r="A7670" s="39">
        <f>A7669</f>
        <v>46048</v>
      </c>
      <c r="B7670" s="40"/>
      <c r="C7670" s="40"/>
      <c r="D7670" s="41"/>
      <c r="E7670" s="43">
        <f>C7670</f>
        <v>0</v>
      </c>
      <c r="F7670" s="42"/>
    </row>
    <row r="7671" spans="1:6">
      <c r="A7671" s="39">
        <f>A7670</f>
        <v>46048</v>
      </c>
      <c r="B7671" s="40"/>
      <c r="C7671" s="40"/>
      <c r="D7671" s="41"/>
      <c r="E7671" s="43">
        <f>C7671</f>
        <v>0</v>
      </c>
      <c r="F7671" s="42"/>
    </row>
    <row r="7672" spans="1:6">
      <c r="A7672" s="39">
        <f>A7671</f>
        <v>46048</v>
      </c>
      <c r="B7672" s="40"/>
      <c r="C7672" s="40"/>
      <c r="D7672" s="41"/>
      <c r="E7672" s="43">
        <f>C7672</f>
        <v>0</v>
      </c>
      <c r="F7672" s="42"/>
    </row>
    <row r="7673" spans="1:6">
      <c r="A7673" s="39">
        <f>A7672</f>
        <v>46048</v>
      </c>
      <c r="B7673" s="40"/>
      <c r="C7673" s="40"/>
      <c r="D7673" s="41"/>
      <c r="E7673" s="43">
        <f>C7673</f>
        <v>0</v>
      </c>
      <c r="F7673" s="42"/>
    </row>
    <row r="7674" spans="1:6">
      <c r="A7674" s="39">
        <f>A7673</f>
        <v>46048</v>
      </c>
      <c r="B7674" s="40"/>
      <c r="C7674" s="40"/>
      <c r="D7674" s="41"/>
      <c r="E7674" s="43">
        <f>C7674</f>
        <v>0</v>
      </c>
      <c r="F7674" s="42"/>
    </row>
    <row r="7675" spans="1:6">
      <c r="A7675" s="39">
        <f>A7674</f>
        <v>46048</v>
      </c>
      <c r="B7675" s="40"/>
      <c r="C7675" s="40"/>
      <c r="D7675" s="41"/>
      <c r="E7675" s="43">
        <f>C7675</f>
        <v>0</v>
      </c>
      <c r="F7675" s="42"/>
    </row>
    <row r="7676" spans="1:6">
      <c r="A7676" s="39">
        <f>A7675</f>
        <v>46048</v>
      </c>
      <c r="B7676" s="40"/>
      <c r="C7676" s="40"/>
      <c r="D7676" s="41"/>
      <c r="E7676" s="43">
        <f>C7676</f>
        <v>0</v>
      </c>
      <c r="F7676" s="42"/>
    </row>
    <row r="7677" spans="1:6">
      <c r="A7677" s="39">
        <f>A7676</f>
        <v>46048</v>
      </c>
      <c r="B7677" s="40"/>
      <c r="C7677" s="40"/>
      <c r="D7677" s="41"/>
      <c r="E7677" s="43">
        <f>C7677</f>
        <v>0</v>
      </c>
      <c r="F7677" s="42"/>
    </row>
    <row r="7678" spans="1:6">
      <c r="A7678" s="39">
        <f>A7677</f>
        <v>46048</v>
      </c>
      <c r="B7678" s="40"/>
      <c r="C7678" s="40"/>
      <c r="D7678" s="41"/>
      <c r="E7678" s="43">
        <f>C7678</f>
        <v>0</v>
      </c>
      <c r="F7678" s="42"/>
    </row>
    <row r="7679" spans="1:6">
      <c r="A7679" s="39">
        <f>A7678</f>
        <v>46048</v>
      </c>
      <c r="B7679" s="40"/>
      <c r="C7679" s="40"/>
      <c r="D7679" s="41"/>
      <c r="E7679" s="43">
        <f>C7679</f>
        <v>0</v>
      </c>
      <c r="F7679" s="42"/>
    </row>
    <row r="7680" spans="1:6">
      <c r="A7680" s="39">
        <f>A7679</f>
        <v>46048</v>
      </c>
      <c r="B7680" s="40"/>
      <c r="C7680" s="40"/>
      <c r="D7680" s="41"/>
      <c r="E7680" s="43">
        <f>C7680</f>
        <v>0</v>
      </c>
      <c r="F7680" s="42"/>
    </row>
    <row r="7681" spans="1:6">
      <c r="A7681" s="39">
        <f>A7680</f>
        <v>46048</v>
      </c>
      <c r="B7681" s="40"/>
      <c r="C7681" s="40"/>
      <c r="D7681" s="41"/>
      <c r="E7681" s="43">
        <f>C7681</f>
        <v>0</v>
      </c>
      <c r="F7681" s="42"/>
    </row>
    <row r="7682" spans="1:6">
      <c r="A7682" s="39">
        <f>A7681</f>
        <v>46048</v>
      </c>
      <c r="B7682" s="40"/>
      <c r="C7682" s="40"/>
      <c r="D7682" s="41"/>
      <c r="E7682" s="43">
        <f>C7682</f>
        <v>0</v>
      </c>
      <c r="F7682" s="42"/>
    </row>
    <row r="7683" spans="1:6">
      <c r="A7683" s="39">
        <f>A7682</f>
        <v>46048</v>
      </c>
      <c r="B7683" s="40"/>
      <c r="C7683" s="40"/>
      <c r="D7683" s="41"/>
      <c r="E7683" s="43">
        <f>C7683</f>
        <v>0</v>
      </c>
      <c r="F7683" s="42"/>
    </row>
    <row r="7684" spans="1:6">
      <c r="A7684" s="39">
        <f>A7683</f>
        <v>46048</v>
      </c>
      <c r="B7684" s="40"/>
      <c r="C7684" s="40"/>
      <c r="D7684" s="41"/>
      <c r="E7684" s="43">
        <f>C7684</f>
        <v>0</v>
      </c>
      <c r="F7684" s="42"/>
    </row>
    <row r="7685" spans="1:6">
      <c r="A7685" s="39">
        <f>A7684</f>
        <v>46048</v>
      </c>
      <c r="B7685" s="40"/>
      <c r="C7685" s="40"/>
      <c r="D7685" s="41"/>
      <c r="E7685" s="43">
        <f>C7685</f>
        <v>0</v>
      </c>
      <c r="F7685" s="42"/>
    </row>
    <row r="7686" spans="1:6">
      <c r="A7686" s="39">
        <f>A7685</f>
        <v>46048</v>
      </c>
      <c r="B7686" s="40"/>
      <c r="C7686" s="40"/>
      <c r="D7686" s="41"/>
      <c r="E7686" s="43">
        <f>C7686</f>
        <v>0</v>
      </c>
      <c r="F7686" s="42"/>
    </row>
    <row r="7687" spans="1:6">
      <c r="A7687" s="39">
        <f>A7686</f>
        <v>46048</v>
      </c>
      <c r="B7687" s="40"/>
      <c r="C7687" s="40"/>
      <c r="D7687" s="41"/>
      <c r="E7687" s="43">
        <f>C7687</f>
        <v>0</v>
      </c>
      <c r="F7687" s="42"/>
    </row>
    <row r="7688" spans="1:6">
      <c r="A7688" s="39">
        <f>A7687</f>
        <v>46048</v>
      </c>
      <c r="B7688" s="40"/>
      <c r="C7688" s="40"/>
      <c r="D7688" s="41"/>
      <c r="E7688" s="43">
        <f>C7688</f>
        <v>0</v>
      </c>
      <c r="F7688" s="42"/>
    </row>
    <row r="7689" spans="1:6">
      <c r="A7689" s="39">
        <f>A7688</f>
        <v>46048</v>
      </c>
      <c r="B7689" s="40"/>
      <c r="C7689" s="40"/>
      <c r="D7689" s="41"/>
      <c r="E7689" s="43">
        <f>C7689</f>
        <v>0</v>
      </c>
      <c r="F7689" s="42"/>
    </row>
    <row r="7690" spans="1:6">
      <c r="A7690" s="39">
        <f>A7689</f>
        <v>46048</v>
      </c>
      <c r="B7690" s="40"/>
      <c r="C7690" s="40"/>
      <c r="D7690" s="41"/>
      <c r="E7690" s="43">
        <f>C7690</f>
        <v>0</v>
      </c>
      <c r="F7690" s="42"/>
    </row>
    <row r="7691" spans="1:6">
      <c r="A7691" s="39">
        <f>A7690</f>
        <v>46048</v>
      </c>
      <c r="B7691" s="40"/>
      <c r="C7691" s="40"/>
      <c r="D7691" s="41"/>
      <c r="E7691" s="43">
        <f>C7691</f>
        <v>0</v>
      </c>
      <c r="F7691" s="42"/>
    </row>
    <row r="7692" spans="1:6">
      <c r="A7692" s="39">
        <f>A7691</f>
        <v>46048</v>
      </c>
      <c r="B7692" s="40"/>
      <c r="C7692" s="40"/>
      <c r="D7692" s="41"/>
      <c r="E7692" s="43">
        <f>C7692</f>
        <v>0</v>
      </c>
      <c r="F7692" s="42"/>
    </row>
    <row r="7693" spans="1:6">
      <c r="A7693" s="39">
        <f>A7692</f>
        <v>46048</v>
      </c>
      <c r="B7693" s="40"/>
      <c r="C7693" s="40"/>
      <c r="D7693" s="41"/>
      <c r="E7693" s="43">
        <f>C7693</f>
        <v>0</v>
      </c>
      <c r="F7693" s="42"/>
    </row>
    <row r="7694" spans="1:6">
      <c r="A7694" s="39">
        <f>A7693</f>
        <v>46048</v>
      </c>
      <c r="B7694" s="40"/>
      <c r="C7694" s="40"/>
      <c r="D7694" s="41"/>
      <c r="E7694" s="43">
        <f>C7694</f>
        <v>0</v>
      </c>
      <c r="F7694" s="42"/>
    </row>
    <row r="7695" spans="1:6">
      <c r="A7695" s="39">
        <f>A7694</f>
        <v>46048</v>
      </c>
      <c r="B7695" s="40"/>
      <c r="C7695" s="40"/>
      <c r="D7695" s="41"/>
      <c r="E7695" s="43">
        <f>C7695</f>
        <v>0</v>
      </c>
      <c r="F7695" s="42"/>
    </row>
    <row r="7696" spans="1:6">
      <c r="A7696" s="39">
        <f>A7695</f>
        <v>46048</v>
      </c>
      <c r="B7696" s="40"/>
      <c r="C7696" s="40"/>
      <c r="D7696" s="41"/>
      <c r="E7696" s="43">
        <f>C7696</f>
        <v>0</v>
      </c>
      <c r="F7696" s="42"/>
    </row>
    <row r="7697" spans="1:6">
      <c r="A7697" s="39">
        <f>A7696</f>
        <v>46048</v>
      </c>
      <c r="B7697" s="40"/>
      <c r="C7697" s="40"/>
      <c r="D7697" s="41"/>
      <c r="E7697" s="43">
        <f>C7697</f>
        <v>0</v>
      </c>
      <c r="F7697" s="42"/>
    </row>
    <row r="7698" spans="1:6">
      <c r="A7698" s="39">
        <f>A7697</f>
        <v>46048</v>
      </c>
      <c r="B7698" s="40"/>
      <c r="C7698" s="40"/>
      <c r="D7698" s="41"/>
      <c r="E7698" s="43">
        <f>C7698</f>
        <v>0</v>
      </c>
      <c r="F7698" s="42"/>
    </row>
    <row r="7699" spans="1:6">
      <c r="A7699" s="39">
        <f>A7698</f>
        <v>46048</v>
      </c>
      <c r="B7699" s="40"/>
      <c r="C7699" s="40"/>
      <c r="D7699" s="41"/>
      <c r="E7699" s="43">
        <f>C7699</f>
        <v>0</v>
      </c>
      <c r="F7699" s="42"/>
    </row>
    <row r="7700" spans="1:6">
      <c r="A7700" s="39">
        <f>A7699</f>
        <v>46048</v>
      </c>
      <c r="B7700" s="40"/>
      <c r="C7700" s="40"/>
      <c r="D7700" s="41"/>
      <c r="E7700" s="43">
        <f>C7700</f>
        <v>0</v>
      </c>
      <c r="F7700" s="42"/>
    </row>
    <row r="7701" spans="1:6">
      <c r="A7701" s="39">
        <f>A7700</f>
        <v>46048</v>
      </c>
      <c r="B7701" s="40"/>
      <c r="C7701" s="40"/>
      <c r="D7701" s="41"/>
      <c r="E7701" s="43">
        <f>C7701</f>
        <v>0</v>
      </c>
      <c r="F7701" s="42"/>
    </row>
    <row r="7702" spans="1:6">
      <c r="A7702" s="39">
        <f>A7701</f>
        <v>46048</v>
      </c>
      <c r="B7702" s="40"/>
      <c r="C7702" s="40"/>
      <c r="D7702" s="41"/>
      <c r="E7702" s="43">
        <f>C7702</f>
        <v>0</v>
      </c>
      <c r="F7702" s="42"/>
    </row>
    <row r="7703" spans="1:6">
      <c r="A7703" s="39">
        <f>A7702</f>
        <v>46048</v>
      </c>
      <c r="B7703" s="40"/>
      <c r="C7703" s="40"/>
      <c r="D7703" s="41"/>
      <c r="E7703" s="43">
        <f>C7703</f>
        <v>0</v>
      </c>
      <c r="F7703" s="42"/>
    </row>
    <row r="7704" spans="1:6">
      <c r="A7704" s="39">
        <f>A7703</f>
        <v>46048</v>
      </c>
      <c r="B7704" s="40"/>
      <c r="C7704" s="40"/>
      <c r="D7704" s="41"/>
      <c r="E7704" s="43">
        <f>C7704</f>
        <v>0</v>
      </c>
      <c r="F7704" s="42"/>
    </row>
    <row r="7705" spans="1:6">
      <c r="A7705" s="39">
        <f>A7704</f>
        <v>46048</v>
      </c>
      <c r="B7705" s="40"/>
      <c r="C7705" s="40"/>
      <c r="D7705" s="41"/>
      <c r="E7705" s="43">
        <f>C7705</f>
        <v>0</v>
      </c>
      <c r="F7705" s="42"/>
    </row>
    <row r="7706" spans="1:6">
      <c r="A7706" s="39">
        <f>A7705</f>
        <v>46048</v>
      </c>
      <c r="B7706" s="40"/>
      <c r="C7706" s="40"/>
      <c r="D7706" s="41"/>
      <c r="E7706" s="43">
        <f>C7706</f>
        <v>0</v>
      </c>
      <c r="F7706" s="42"/>
    </row>
    <row r="7707" spans="1:6">
      <c r="A7707" s="39">
        <f>A7706</f>
        <v>46048</v>
      </c>
      <c r="B7707" s="40"/>
      <c r="C7707" s="40"/>
      <c r="D7707" s="41"/>
      <c r="E7707" s="43">
        <f>C7707</f>
        <v>0</v>
      </c>
      <c r="F7707" s="42"/>
    </row>
    <row r="7708" spans="1:6">
      <c r="A7708" s="39">
        <f>A7707</f>
        <v>46048</v>
      </c>
      <c r="B7708" s="40"/>
      <c r="C7708" s="40"/>
      <c r="D7708" s="41"/>
      <c r="E7708" s="43">
        <f>C7708</f>
        <v>0</v>
      </c>
      <c r="F7708" s="42"/>
    </row>
    <row r="7709" spans="1:6">
      <c r="A7709" s="39">
        <f>A7708</f>
        <v>46048</v>
      </c>
      <c r="B7709" s="40"/>
      <c r="C7709" s="40"/>
      <c r="D7709" s="41"/>
      <c r="E7709" s="43">
        <f>C7709</f>
        <v>0</v>
      </c>
      <c r="F7709" s="42"/>
    </row>
    <row r="7710" spans="1:6">
      <c r="A7710" s="39">
        <f>A7709</f>
        <v>46048</v>
      </c>
      <c r="B7710" s="40"/>
      <c r="C7710" s="40"/>
      <c r="D7710" s="41"/>
      <c r="E7710" s="43">
        <f>C7710</f>
        <v>0</v>
      </c>
      <c r="F7710" s="42"/>
    </row>
    <row r="7711" spans="1:6">
      <c r="A7711" s="39">
        <f>A7710</f>
        <v>46048</v>
      </c>
      <c r="B7711" s="40"/>
      <c r="C7711" s="40"/>
      <c r="D7711" s="41"/>
      <c r="E7711" s="43">
        <f>C7711</f>
        <v>0</v>
      </c>
      <c r="F7711" s="42"/>
    </row>
    <row r="7712" spans="1:6">
      <c r="A7712" s="39">
        <f>A7711</f>
        <v>46048</v>
      </c>
      <c r="B7712" s="40"/>
      <c r="C7712" s="40"/>
      <c r="D7712" s="41"/>
      <c r="E7712" s="43">
        <f>C7712</f>
        <v>0</v>
      </c>
      <c r="F7712" s="42"/>
    </row>
    <row r="7713" spans="1:6">
      <c r="A7713" s="39">
        <f>A7712</f>
        <v>46048</v>
      </c>
      <c r="B7713" s="40"/>
      <c r="C7713" s="40"/>
      <c r="D7713" s="41"/>
      <c r="E7713" s="43">
        <f>C7713</f>
        <v>0</v>
      </c>
      <c r="F7713" s="42"/>
    </row>
    <row r="7714" spans="1:6">
      <c r="A7714" s="39">
        <f>A7713</f>
        <v>46048</v>
      </c>
      <c r="B7714" s="40"/>
      <c r="C7714" s="40"/>
      <c r="D7714" s="41"/>
      <c r="E7714" s="43">
        <f>C7714</f>
        <v>0</v>
      </c>
      <c r="F7714" s="42"/>
    </row>
    <row r="7715" spans="1:6">
      <c r="A7715" s="39">
        <f>A7714</f>
        <v>46048</v>
      </c>
      <c r="B7715" s="40"/>
      <c r="C7715" s="40"/>
      <c r="D7715" s="41"/>
      <c r="E7715" s="43">
        <f>C7715</f>
        <v>0</v>
      </c>
      <c r="F7715" s="42"/>
    </row>
    <row r="7716" spans="1:6">
      <c r="A7716" s="39">
        <f>A7715</f>
        <v>46048</v>
      </c>
      <c r="B7716" s="40"/>
      <c r="C7716" s="40"/>
      <c r="D7716" s="41"/>
      <c r="E7716" s="43">
        <f>C7716</f>
        <v>0</v>
      </c>
      <c r="F7716" s="42"/>
    </row>
    <row r="7717" spans="1:6">
      <c r="A7717" s="39">
        <f>A7716</f>
        <v>46048</v>
      </c>
      <c r="B7717" s="40"/>
      <c r="C7717" s="40"/>
      <c r="D7717" s="41"/>
      <c r="E7717" s="43">
        <f>C7717</f>
        <v>0</v>
      </c>
      <c r="F7717" s="42"/>
    </row>
    <row r="7718" spans="1:6">
      <c r="A7718" s="39">
        <f>A7717</f>
        <v>46048</v>
      </c>
      <c r="B7718" s="40"/>
      <c r="C7718" s="40"/>
      <c r="D7718" s="41"/>
      <c r="E7718" s="43">
        <f>C7718</f>
        <v>0</v>
      </c>
      <c r="F7718" s="42"/>
    </row>
    <row r="7719" spans="1:6">
      <c r="A7719" s="39">
        <f>A7718</f>
        <v>46048</v>
      </c>
      <c r="B7719" s="40"/>
      <c r="C7719" s="40"/>
      <c r="D7719" s="41"/>
      <c r="E7719" s="43">
        <f>C7719</f>
        <v>0</v>
      </c>
      <c r="F7719" s="42"/>
    </row>
    <row r="7720" spans="1:6">
      <c r="A7720" s="39">
        <f>A7719</f>
        <v>46048</v>
      </c>
      <c r="B7720" s="40"/>
      <c r="C7720" s="40"/>
      <c r="D7720" s="41"/>
      <c r="E7720" s="43">
        <f>C7720</f>
        <v>0</v>
      </c>
      <c r="F7720" s="42"/>
    </row>
    <row r="7721" spans="1:6">
      <c r="A7721" s="39">
        <f>A7720</f>
        <v>46048</v>
      </c>
      <c r="B7721" s="40"/>
      <c r="C7721" s="40"/>
      <c r="D7721" s="41"/>
      <c r="E7721" s="43">
        <f>C7721</f>
        <v>0</v>
      </c>
      <c r="F7721" s="42"/>
    </row>
    <row r="7722" spans="1:6">
      <c r="A7722" s="39">
        <f>A7721</f>
        <v>46048</v>
      </c>
      <c r="B7722" s="40"/>
      <c r="C7722" s="40"/>
      <c r="D7722" s="41"/>
      <c r="E7722" s="43">
        <f>C7722</f>
        <v>0</v>
      </c>
      <c r="F7722" s="42"/>
    </row>
    <row r="7723" spans="1:6">
      <c r="A7723" s="39">
        <f>A7722</f>
        <v>46048</v>
      </c>
      <c r="B7723" s="40"/>
      <c r="C7723" s="40"/>
      <c r="D7723" s="41"/>
      <c r="E7723" s="43">
        <f>C7723</f>
        <v>0</v>
      </c>
      <c r="F7723" s="42"/>
    </row>
    <row r="7724" spans="1:6">
      <c r="A7724" s="39">
        <f>A7723</f>
        <v>46048</v>
      </c>
      <c r="B7724" s="40"/>
      <c r="C7724" s="40"/>
      <c r="D7724" s="41"/>
      <c r="E7724" s="43">
        <f>C7724</f>
        <v>0</v>
      </c>
      <c r="F7724" s="42"/>
    </row>
    <row r="7725" spans="1:6">
      <c r="A7725" s="39">
        <f>A7724</f>
        <v>46048</v>
      </c>
      <c r="B7725" s="40"/>
      <c r="C7725" s="40"/>
      <c r="D7725" s="41"/>
      <c r="E7725" s="43">
        <f>C7725</f>
        <v>0</v>
      </c>
      <c r="F7725" s="42"/>
    </row>
    <row r="7726" spans="1:6">
      <c r="A7726" s="39">
        <f>A7725</f>
        <v>46048</v>
      </c>
      <c r="B7726" s="40"/>
      <c r="C7726" s="40"/>
      <c r="D7726" s="41"/>
      <c r="E7726" s="43">
        <f>C7726</f>
        <v>0</v>
      </c>
      <c r="F7726" s="42"/>
    </row>
    <row r="7727" spans="1:6">
      <c r="A7727" s="39">
        <f>A7726</f>
        <v>46048</v>
      </c>
      <c r="B7727" s="40"/>
      <c r="C7727" s="40"/>
      <c r="D7727" s="41"/>
      <c r="E7727" s="43">
        <f>C7727</f>
        <v>0</v>
      </c>
      <c r="F7727" s="42"/>
    </row>
    <row r="7728" spans="1:6">
      <c r="A7728" s="39">
        <f>A7727</f>
        <v>46048</v>
      </c>
      <c r="B7728" s="40"/>
      <c r="C7728" s="40"/>
      <c r="D7728" s="41"/>
      <c r="E7728" s="43">
        <f>C7728</f>
        <v>0</v>
      </c>
      <c r="F7728" s="42"/>
    </row>
    <row r="7729" spans="1:6">
      <c r="A7729" s="39">
        <f>A7728</f>
        <v>46048</v>
      </c>
      <c r="B7729" s="40"/>
      <c r="C7729" s="40"/>
      <c r="D7729" s="41"/>
      <c r="E7729" s="43">
        <f>C7729</f>
        <v>0</v>
      </c>
      <c r="F7729" s="42"/>
    </row>
    <row r="7730" spans="1:6">
      <c r="A7730" s="39">
        <f>A7729</f>
        <v>46048</v>
      </c>
      <c r="B7730" s="40"/>
      <c r="C7730" s="40"/>
      <c r="D7730" s="41"/>
      <c r="E7730" s="43">
        <f>C7730</f>
        <v>0</v>
      </c>
      <c r="F7730" s="42"/>
    </row>
    <row r="7731" spans="1:6">
      <c r="A7731" s="39">
        <f>A7730</f>
        <v>46048</v>
      </c>
      <c r="B7731" s="40"/>
      <c r="C7731" s="40"/>
      <c r="D7731" s="41"/>
      <c r="E7731" s="43">
        <f>C7731</f>
        <v>0</v>
      </c>
      <c r="F7731" s="42"/>
    </row>
    <row r="7732" spans="1:6">
      <c r="A7732" s="39">
        <f>A7731</f>
        <v>46048</v>
      </c>
      <c r="B7732" s="40"/>
      <c r="C7732" s="40"/>
      <c r="D7732" s="41"/>
      <c r="E7732" s="43">
        <f>C7732</f>
        <v>0</v>
      </c>
      <c r="F7732" s="42"/>
    </row>
    <row r="7733" spans="1:6">
      <c r="A7733" s="39">
        <f>A7732</f>
        <v>46048</v>
      </c>
      <c r="B7733" s="40"/>
      <c r="C7733" s="40"/>
      <c r="D7733" s="41"/>
      <c r="E7733" s="43">
        <f>C7733</f>
        <v>0</v>
      </c>
      <c r="F7733" s="42"/>
    </row>
    <row r="7734" spans="1:6">
      <c r="A7734" s="39">
        <f>A7733</f>
        <v>46048</v>
      </c>
      <c r="B7734" s="40"/>
      <c r="C7734" s="40"/>
      <c r="D7734" s="41"/>
      <c r="E7734" s="43">
        <f>C7734</f>
        <v>0</v>
      </c>
      <c r="F7734" s="42"/>
    </row>
    <row r="7735" spans="1:6">
      <c r="A7735" s="39">
        <f>A7734</f>
        <v>46048</v>
      </c>
      <c r="B7735" s="40"/>
      <c r="C7735" s="40"/>
      <c r="D7735" s="41"/>
      <c r="E7735" s="43">
        <f>C7735</f>
        <v>0</v>
      </c>
      <c r="F7735" s="42"/>
    </row>
    <row r="7736" spans="1:6">
      <c r="A7736" s="39">
        <f>A7735</f>
        <v>46048</v>
      </c>
      <c r="B7736" s="40"/>
      <c r="C7736" s="40"/>
      <c r="D7736" s="41"/>
      <c r="E7736" s="43">
        <f>C7736</f>
        <v>0</v>
      </c>
      <c r="F7736" s="42"/>
    </row>
    <row r="7737" spans="1:6">
      <c r="A7737" s="39">
        <f>A7736</f>
        <v>46048</v>
      </c>
      <c r="B7737" s="40"/>
      <c r="C7737" s="40"/>
      <c r="D7737" s="41"/>
      <c r="E7737" s="43">
        <f>C7737</f>
        <v>0</v>
      </c>
      <c r="F7737" s="42"/>
    </row>
    <row r="7738" spans="1:6">
      <c r="A7738" s="39">
        <f>A7737</f>
        <v>46048</v>
      </c>
      <c r="B7738" s="40"/>
      <c r="C7738" s="40"/>
      <c r="D7738" s="41"/>
      <c r="E7738" s="43">
        <f>C7738</f>
        <v>0</v>
      </c>
      <c r="F7738" s="42"/>
    </row>
    <row r="7739" spans="1:6">
      <c r="A7739" s="39">
        <f>A7738</f>
        <v>46048</v>
      </c>
      <c r="B7739" s="40"/>
      <c r="C7739" s="40"/>
      <c r="D7739" s="41"/>
      <c r="E7739" s="43">
        <f>C7739</f>
        <v>0</v>
      </c>
      <c r="F7739" s="42"/>
    </row>
    <row r="7740" spans="1:6">
      <c r="A7740" s="39">
        <f>A7739</f>
        <v>46048</v>
      </c>
      <c r="B7740" s="40"/>
      <c r="C7740" s="40"/>
      <c r="D7740" s="41"/>
      <c r="E7740" s="43">
        <f>C7740</f>
        <v>0</v>
      </c>
      <c r="F7740" s="42"/>
    </row>
    <row r="7741" spans="1:6">
      <c r="A7741" s="39">
        <f>A7740</f>
        <v>46048</v>
      </c>
      <c r="B7741" s="40"/>
      <c r="C7741" s="40"/>
      <c r="D7741" s="41"/>
      <c r="E7741" s="43">
        <f>C7741</f>
        <v>0</v>
      </c>
      <c r="F7741" s="42"/>
    </row>
    <row r="7742" spans="1:6">
      <c r="A7742" s="39">
        <f>A7741</f>
        <v>46048</v>
      </c>
      <c r="B7742" s="40"/>
      <c r="C7742" s="40"/>
      <c r="D7742" s="41"/>
      <c r="E7742" s="43">
        <f>C7742</f>
        <v>0</v>
      </c>
      <c r="F7742" s="42"/>
    </row>
    <row r="7743" spans="1:6">
      <c r="A7743" s="39">
        <f>A7742</f>
        <v>46048</v>
      </c>
      <c r="B7743" s="40"/>
      <c r="C7743" s="40"/>
      <c r="D7743" s="41"/>
      <c r="E7743" s="43">
        <f>C7743</f>
        <v>0</v>
      </c>
      <c r="F7743" s="42"/>
    </row>
    <row r="7744" spans="1:6">
      <c r="A7744" s="39">
        <f>A7743</f>
        <v>46048</v>
      </c>
      <c r="B7744" s="40"/>
      <c r="C7744" s="40"/>
      <c r="D7744" s="41"/>
      <c r="E7744" s="43">
        <f>C7744</f>
        <v>0</v>
      </c>
      <c r="F7744" s="42"/>
    </row>
    <row r="7745" spans="1:6">
      <c r="A7745" s="39">
        <f>A7744</f>
        <v>46048</v>
      </c>
      <c r="B7745" s="40"/>
      <c r="C7745" s="40"/>
      <c r="D7745" s="41"/>
      <c r="E7745" s="43">
        <f>C7745</f>
        <v>0</v>
      </c>
      <c r="F7745" s="42"/>
    </row>
    <row r="7746" spans="1:6">
      <c r="A7746" s="39">
        <f>A7745</f>
        <v>46048</v>
      </c>
      <c r="B7746" s="40"/>
      <c r="C7746" s="40"/>
      <c r="D7746" s="41"/>
      <c r="E7746" s="43">
        <f>C7746</f>
        <v>0</v>
      </c>
      <c r="F7746" s="42"/>
    </row>
    <row r="7747" spans="1:6">
      <c r="A7747" s="39">
        <f>A7746</f>
        <v>46048</v>
      </c>
      <c r="B7747" s="40"/>
      <c r="C7747" s="40"/>
      <c r="D7747" s="41"/>
      <c r="E7747" s="43">
        <f>C7747</f>
        <v>0</v>
      </c>
      <c r="F7747" s="42"/>
    </row>
    <row r="7748" spans="1:6">
      <c r="A7748" s="39">
        <f>A7747</f>
        <v>46048</v>
      </c>
      <c r="B7748" s="40"/>
      <c r="C7748" s="40"/>
      <c r="D7748" s="41"/>
      <c r="E7748" s="43">
        <f>C7748</f>
        <v>0</v>
      </c>
      <c r="F7748" s="42"/>
    </row>
    <row r="7749" spans="1:6">
      <c r="A7749" s="39">
        <f>A7748</f>
        <v>46048</v>
      </c>
      <c r="B7749" s="40"/>
      <c r="C7749" s="40"/>
      <c r="D7749" s="41"/>
      <c r="E7749" s="43">
        <f>C7749</f>
        <v>0</v>
      </c>
      <c r="F7749" s="42"/>
    </row>
    <row r="7750" spans="1:6">
      <c r="A7750" s="39">
        <f>A7749</f>
        <v>46048</v>
      </c>
      <c r="B7750" s="40"/>
      <c r="C7750" s="40"/>
      <c r="D7750" s="41"/>
      <c r="E7750" s="43">
        <f>C7750</f>
        <v>0</v>
      </c>
      <c r="F7750" s="42"/>
    </row>
    <row r="7751" spans="1:6">
      <c r="A7751" s="39">
        <f>A7750</f>
        <v>46048</v>
      </c>
      <c r="B7751" s="40"/>
      <c r="C7751" s="40"/>
      <c r="D7751" s="41"/>
      <c r="E7751" s="43">
        <f>C7751</f>
        <v>0</v>
      </c>
      <c r="F7751" s="42"/>
    </row>
    <row r="7752" spans="1:6">
      <c r="A7752" s="39">
        <f>A7751</f>
        <v>46048</v>
      </c>
      <c r="B7752" s="40"/>
      <c r="C7752" s="40"/>
      <c r="D7752" s="41"/>
      <c r="E7752" s="43">
        <f>C7752</f>
        <v>0</v>
      </c>
      <c r="F7752" s="42"/>
    </row>
    <row r="7753" spans="1:6">
      <c r="A7753" s="39">
        <f>A7752</f>
        <v>46048</v>
      </c>
      <c r="B7753" s="40"/>
      <c r="C7753" s="40"/>
      <c r="D7753" s="41"/>
      <c r="E7753" s="43">
        <f>C7753</f>
        <v>0</v>
      </c>
      <c r="F7753" s="42"/>
    </row>
    <row r="7754" spans="1:6">
      <c r="A7754" s="39">
        <f>A7753</f>
        <v>46048</v>
      </c>
      <c r="B7754" s="40"/>
      <c r="C7754" s="40"/>
      <c r="D7754" s="41"/>
      <c r="E7754" s="43">
        <f>C7754</f>
        <v>0</v>
      </c>
      <c r="F7754" s="42"/>
    </row>
    <row r="7755" spans="1:6">
      <c r="A7755" s="39">
        <f>A7754</f>
        <v>46048</v>
      </c>
      <c r="B7755" s="40"/>
      <c r="C7755" s="40"/>
      <c r="D7755" s="41"/>
      <c r="E7755" s="43">
        <f>C7755</f>
        <v>0</v>
      </c>
      <c r="F7755" s="42"/>
    </row>
    <row r="7756" spans="1:6">
      <c r="A7756" s="39">
        <f>A7755</f>
        <v>46048</v>
      </c>
      <c r="B7756" s="40"/>
      <c r="C7756" s="40"/>
      <c r="D7756" s="41"/>
      <c r="E7756" s="43">
        <f>C7756</f>
        <v>0</v>
      </c>
      <c r="F7756" s="42"/>
    </row>
    <row r="7757" spans="1:6">
      <c r="A7757" s="39">
        <f>A7756</f>
        <v>46048</v>
      </c>
      <c r="B7757" s="40"/>
      <c r="C7757" s="40"/>
      <c r="D7757" s="41"/>
      <c r="E7757" s="43">
        <f>C7757</f>
        <v>0</v>
      </c>
      <c r="F7757" s="42"/>
    </row>
    <row r="7758" spans="1:6">
      <c r="A7758" s="39">
        <f>A7757</f>
        <v>46048</v>
      </c>
      <c r="B7758" s="40"/>
      <c r="C7758" s="40"/>
      <c r="D7758" s="41"/>
      <c r="E7758" s="43">
        <f>C7758</f>
        <v>0</v>
      </c>
      <c r="F7758" s="42"/>
    </row>
    <row r="7759" spans="1:6">
      <c r="A7759" s="39">
        <f>A7758</f>
        <v>46048</v>
      </c>
      <c r="B7759" s="40"/>
      <c r="C7759" s="40"/>
      <c r="D7759" s="41"/>
      <c r="E7759" s="43">
        <f>C7759</f>
        <v>0</v>
      </c>
      <c r="F7759" s="42"/>
    </row>
    <row r="7760" spans="1:6">
      <c r="A7760" s="39">
        <f>A7759</f>
        <v>46048</v>
      </c>
      <c r="B7760" s="40"/>
      <c r="C7760" s="40"/>
      <c r="D7760" s="41"/>
      <c r="E7760" s="43">
        <f>C7760</f>
        <v>0</v>
      </c>
      <c r="F7760" s="42"/>
    </row>
    <row r="7761" spans="1:6">
      <c r="A7761" s="39">
        <f>A7760</f>
        <v>46048</v>
      </c>
      <c r="B7761" s="40"/>
      <c r="C7761" s="40"/>
      <c r="D7761" s="41"/>
      <c r="E7761" s="43">
        <f>C7761</f>
        <v>0</v>
      </c>
      <c r="F7761" s="42"/>
    </row>
    <row r="7762" spans="1:6">
      <c r="A7762" s="39">
        <f>A7761</f>
        <v>46048</v>
      </c>
      <c r="B7762" s="40"/>
      <c r="C7762" s="40"/>
      <c r="D7762" s="41"/>
      <c r="E7762" s="43">
        <f>C7762</f>
        <v>0</v>
      </c>
      <c r="F7762" s="42"/>
    </row>
    <row r="7763" spans="1:6">
      <c r="A7763" s="39">
        <f>A7762</f>
        <v>46048</v>
      </c>
      <c r="B7763" s="40"/>
      <c r="C7763" s="40"/>
      <c r="D7763" s="41"/>
      <c r="E7763" s="43">
        <f>C7763</f>
        <v>0</v>
      </c>
      <c r="F7763" s="42"/>
    </row>
    <row r="7764" spans="1:6">
      <c r="A7764" s="39">
        <f>A7763</f>
        <v>46048</v>
      </c>
      <c r="B7764" s="40"/>
      <c r="C7764" s="40"/>
      <c r="D7764" s="41"/>
      <c r="E7764" s="43">
        <f>C7764</f>
        <v>0</v>
      </c>
      <c r="F7764" s="42"/>
    </row>
    <row r="7765" spans="1:6">
      <c r="A7765" s="39">
        <f>A7764</f>
        <v>46048</v>
      </c>
      <c r="B7765" s="40"/>
      <c r="C7765" s="40"/>
      <c r="D7765" s="41"/>
      <c r="E7765" s="43">
        <f>C7765</f>
        <v>0</v>
      </c>
      <c r="F7765" s="42"/>
    </row>
    <row r="7766" spans="1:6">
      <c r="A7766" s="39">
        <f>A7765</f>
        <v>46048</v>
      </c>
      <c r="B7766" s="40"/>
      <c r="C7766" s="40"/>
      <c r="D7766" s="41"/>
      <c r="E7766" s="43">
        <f>C7766</f>
        <v>0</v>
      </c>
      <c r="F7766" s="42"/>
    </row>
    <row r="7767" spans="1:6">
      <c r="A7767" s="39">
        <f>A7766</f>
        <v>46048</v>
      </c>
      <c r="B7767" s="40"/>
      <c r="C7767" s="40"/>
      <c r="D7767" s="41"/>
      <c r="E7767" s="43">
        <f>C7767</f>
        <v>0</v>
      </c>
      <c r="F7767" s="42"/>
    </row>
    <row r="7768" spans="1:6">
      <c r="A7768" s="39">
        <f>A7767</f>
        <v>46048</v>
      </c>
      <c r="B7768" s="40"/>
      <c r="C7768" s="40"/>
      <c r="D7768" s="41"/>
      <c r="E7768" s="43">
        <f>C7768</f>
        <v>0</v>
      </c>
      <c r="F7768" s="42"/>
    </row>
    <row r="7769" spans="1:6">
      <c r="A7769" s="39">
        <f>A7768</f>
        <v>46048</v>
      </c>
      <c r="B7769" s="40"/>
      <c r="C7769" s="40"/>
      <c r="D7769" s="41"/>
      <c r="E7769" s="43">
        <f>C7769</f>
        <v>0</v>
      </c>
      <c r="F7769" s="42"/>
    </row>
    <row r="7770" spans="1:6">
      <c r="A7770" s="39">
        <f>A7769</f>
        <v>46048</v>
      </c>
      <c r="B7770" s="40"/>
      <c r="C7770" s="40"/>
      <c r="D7770" s="41"/>
      <c r="E7770" s="43">
        <f>C7770</f>
        <v>0</v>
      </c>
      <c r="F7770" s="42"/>
    </row>
    <row r="7771" spans="1:6">
      <c r="A7771" s="39">
        <f>A7770</f>
        <v>46048</v>
      </c>
      <c r="B7771" s="40"/>
      <c r="C7771" s="40"/>
      <c r="D7771" s="41"/>
      <c r="E7771" s="43">
        <f>C7771</f>
        <v>0</v>
      </c>
      <c r="F7771" s="42"/>
    </row>
    <row r="7772" spans="1:6">
      <c r="A7772" s="39">
        <f>A7771</f>
        <v>46048</v>
      </c>
      <c r="B7772" s="40"/>
      <c r="C7772" s="40"/>
      <c r="D7772" s="41"/>
      <c r="E7772" s="43">
        <f>C7772</f>
        <v>0</v>
      </c>
      <c r="F7772" s="42"/>
    </row>
    <row r="7773" spans="1:6">
      <c r="A7773" s="39">
        <f>A7772</f>
        <v>46048</v>
      </c>
      <c r="B7773" s="40"/>
      <c r="C7773" s="40"/>
      <c r="D7773" s="41"/>
      <c r="E7773" s="43">
        <f>C7773</f>
        <v>0</v>
      </c>
      <c r="F7773" s="42"/>
    </row>
    <row r="7774" spans="1:6">
      <c r="A7774" s="39">
        <f>A7773</f>
        <v>46048</v>
      </c>
      <c r="B7774" s="40"/>
      <c r="C7774" s="40"/>
      <c r="D7774" s="41"/>
      <c r="E7774" s="43">
        <f>C7774</f>
        <v>0</v>
      </c>
      <c r="F7774" s="42"/>
    </row>
    <row r="7775" spans="1:6">
      <c r="A7775" s="39">
        <f>A7774</f>
        <v>46048</v>
      </c>
      <c r="B7775" s="40"/>
      <c r="C7775" s="40"/>
      <c r="D7775" s="41"/>
      <c r="E7775" s="43">
        <f>C7775</f>
        <v>0</v>
      </c>
      <c r="F7775" s="42"/>
    </row>
    <row r="7776" spans="1:6">
      <c r="A7776" s="39">
        <f>A7775</f>
        <v>46048</v>
      </c>
      <c r="B7776" s="40"/>
      <c r="C7776" s="40"/>
      <c r="D7776" s="41"/>
      <c r="E7776" s="43">
        <f>C7776</f>
        <v>0</v>
      </c>
      <c r="F7776" s="42"/>
    </row>
    <row r="7777" spans="1:6">
      <c r="A7777" s="39">
        <f>A7776</f>
        <v>46048</v>
      </c>
      <c r="B7777" s="40"/>
      <c r="C7777" s="40"/>
      <c r="D7777" s="41"/>
      <c r="E7777" s="43">
        <f>C7777</f>
        <v>0</v>
      </c>
      <c r="F7777" s="42"/>
    </row>
    <row r="7778" spans="1:6">
      <c r="A7778" s="39">
        <f>A7777</f>
        <v>46048</v>
      </c>
      <c r="B7778" s="40"/>
      <c r="C7778" s="40"/>
      <c r="D7778" s="41"/>
      <c r="E7778" s="43">
        <f>C7778</f>
        <v>0</v>
      </c>
      <c r="F7778" s="42"/>
    </row>
    <row r="7779" spans="1:6">
      <c r="A7779" s="39">
        <f>A7778</f>
        <v>46048</v>
      </c>
      <c r="B7779" s="40"/>
      <c r="C7779" s="40"/>
      <c r="D7779" s="41"/>
      <c r="E7779" s="43">
        <f>C7779</f>
        <v>0</v>
      </c>
      <c r="F7779" s="42"/>
    </row>
    <row r="7780" spans="1:6">
      <c r="A7780" s="39">
        <f>A7779</f>
        <v>46048</v>
      </c>
      <c r="B7780" s="40"/>
      <c r="C7780" s="40"/>
      <c r="D7780" s="41"/>
      <c r="E7780" s="43">
        <f>C7780</f>
        <v>0</v>
      </c>
      <c r="F7780" s="42"/>
    </row>
    <row r="7781" spans="1:6">
      <c r="A7781" s="39">
        <f>A7780</f>
        <v>46048</v>
      </c>
      <c r="B7781" s="40"/>
      <c r="C7781" s="40"/>
      <c r="D7781" s="41"/>
      <c r="E7781" s="43">
        <f>C7781</f>
        <v>0</v>
      </c>
      <c r="F7781" s="42"/>
    </row>
    <row r="7782" spans="1:6">
      <c r="A7782" s="39">
        <f>A7781</f>
        <v>46048</v>
      </c>
      <c r="B7782" s="40"/>
      <c r="C7782" s="40"/>
      <c r="D7782" s="41"/>
      <c r="E7782" s="43">
        <f>C7782</f>
        <v>0</v>
      </c>
      <c r="F7782" s="42"/>
    </row>
    <row r="7783" spans="1:6">
      <c r="A7783" s="39">
        <f>A7782</f>
        <v>46048</v>
      </c>
      <c r="B7783" s="40"/>
      <c r="C7783" s="40"/>
      <c r="D7783" s="41"/>
      <c r="E7783" s="43">
        <f>C7783</f>
        <v>0</v>
      </c>
      <c r="F7783" s="42"/>
    </row>
    <row r="7784" spans="1:6">
      <c r="A7784" s="39">
        <f>A7783</f>
        <v>46048</v>
      </c>
      <c r="B7784" s="40"/>
      <c r="C7784" s="40"/>
      <c r="D7784" s="41"/>
      <c r="E7784" s="43">
        <f>C7784</f>
        <v>0</v>
      </c>
      <c r="F7784" s="42"/>
    </row>
    <row r="7785" spans="1:6">
      <c r="A7785" s="39">
        <f>A7784</f>
        <v>46048</v>
      </c>
      <c r="B7785" s="40"/>
      <c r="C7785" s="40"/>
      <c r="D7785" s="41"/>
      <c r="E7785" s="43">
        <f>C7785</f>
        <v>0</v>
      </c>
      <c r="F7785" s="42"/>
    </row>
    <row r="7786" spans="1:6">
      <c r="A7786" s="39">
        <f>A7785</f>
        <v>46048</v>
      </c>
      <c r="B7786" s="40"/>
      <c r="C7786" s="40"/>
      <c r="D7786" s="41"/>
      <c r="E7786" s="43">
        <f>C7786</f>
        <v>0</v>
      </c>
      <c r="F7786" s="42"/>
    </row>
    <row r="7787" spans="1:6">
      <c r="A7787" s="39">
        <f>A7786</f>
        <v>46048</v>
      </c>
      <c r="B7787" s="40"/>
      <c r="C7787" s="40"/>
      <c r="D7787" s="41"/>
      <c r="E7787" s="43">
        <f>C7787</f>
        <v>0</v>
      </c>
      <c r="F7787" s="42"/>
    </row>
    <row r="7788" spans="1:6">
      <c r="A7788" s="39">
        <f>A7787</f>
        <v>46048</v>
      </c>
      <c r="B7788" s="40"/>
      <c r="C7788" s="40"/>
      <c r="D7788" s="41"/>
      <c r="E7788" s="43">
        <f>C7788</f>
        <v>0</v>
      </c>
      <c r="F7788" s="42"/>
    </row>
    <row r="7789" spans="1:6">
      <c r="A7789" s="39">
        <f>A7788</f>
        <v>46048</v>
      </c>
      <c r="B7789" s="40"/>
      <c r="C7789" s="40"/>
      <c r="D7789" s="41"/>
      <c r="E7789" s="43">
        <f>C7789</f>
        <v>0</v>
      </c>
      <c r="F7789" s="42"/>
    </row>
    <row r="7790" spans="1:6">
      <c r="A7790" s="39">
        <f>A7789</f>
        <v>46048</v>
      </c>
      <c r="B7790" s="40"/>
      <c r="C7790" s="40"/>
      <c r="D7790" s="41"/>
      <c r="E7790" s="43">
        <f>C7790</f>
        <v>0</v>
      </c>
      <c r="F7790" s="42"/>
    </row>
    <row r="7791" spans="1:6">
      <c r="A7791" s="39">
        <f>A7790</f>
        <v>46048</v>
      </c>
      <c r="B7791" s="40"/>
      <c r="C7791" s="40"/>
      <c r="D7791" s="41"/>
      <c r="E7791" s="43">
        <f>C7791</f>
        <v>0</v>
      </c>
      <c r="F7791" s="42"/>
    </row>
    <row r="7792" spans="1:6">
      <c r="A7792" s="39">
        <f>A7791</f>
        <v>46048</v>
      </c>
      <c r="B7792" s="40"/>
      <c r="C7792" s="40"/>
      <c r="D7792" s="41"/>
      <c r="E7792" s="43">
        <f>C7792</f>
        <v>0</v>
      </c>
      <c r="F7792" s="42"/>
    </row>
    <row r="7793" spans="1:6">
      <c r="A7793" s="39">
        <f>A7792</f>
        <v>46048</v>
      </c>
      <c r="B7793" s="40"/>
      <c r="C7793" s="40"/>
      <c r="D7793" s="41"/>
      <c r="E7793" s="43">
        <f>C7793</f>
        <v>0</v>
      </c>
      <c r="F7793" s="42"/>
    </row>
    <row r="7794" spans="1:6">
      <c r="A7794" s="39">
        <f>A7793</f>
        <v>46048</v>
      </c>
      <c r="B7794" s="40"/>
      <c r="C7794" s="40"/>
      <c r="D7794" s="41"/>
      <c r="E7794" s="43">
        <f>C7794</f>
        <v>0</v>
      </c>
      <c r="F7794" s="42"/>
    </row>
    <row r="7795" spans="1:6">
      <c r="A7795" s="39">
        <f>A7794</f>
        <v>46048</v>
      </c>
      <c r="B7795" s="40"/>
      <c r="C7795" s="40"/>
      <c r="D7795" s="41"/>
      <c r="E7795" s="43">
        <f>C7795</f>
        <v>0</v>
      </c>
      <c r="F7795" s="42"/>
    </row>
    <row r="7796" spans="1:6">
      <c r="A7796" s="39">
        <f>A7795</f>
        <v>46048</v>
      </c>
      <c r="B7796" s="40"/>
      <c r="C7796" s="40"/>
      <c r="D7796" s="41"/>
      <c r="E7796" s="43">
        <f>C7796</f>
        <v>0</v>
      </c>
      <c r="F7796" s="42"/>
    </row>
    <row r="7797" spans="1:6">
      <c r="A7797" s="39">
        <f>A7796</f>
        <v>46048</v>
      </c>
      <c r="B7797" s="40"/>
      <c r="C7797" s="40"/>
      <c r="D7797" s="41"/>
      <c r="E7797" s="43">
        <f>C7797</f>
        <v>0</v>
      </c>
      <c r="F7797" s="42"/>
    </row>
    <row r="7798" spans="1:6">
      <c r="A7798" s="39">
        <f>A7797</f>
        <v>46048</v>
      </c>
      <c r="B7798" s="40"/>
      <c r="C7798" s="40"/>
      <c r="D7798" s="41"/>
      <c r="E7798" s="43">
        <f>C7798</f>
        <v>0</v>
      </c>
      <c r="F7798" s="42"/>
    </row>
    <row r="7799" spans="1:6">
      <c r="A7799" s="39">
        <f>A7798</f>
        <v>46048</v>
      </c>
      <c r="B7799" s="40"/>
      <c r="C7799" s="40"/>
      <c r="D7799" s="41"/>
      <c r="E7799" s="43">
        <f>C7799</f>
        <v>0</v>
      </c>
      <c r="F7799" s="42"/>
    </row>
    <row r="7800" spans="1:6">
      <c r="A7800" s="39">
        <f>A7799</f>
        <v>46048</v>
      </c>
      <c r="B7800" s="40"/>
      <c r="C7800" s="40"/>
      <c r="D7800" s="41"/>
      <c r="E7800" s="43">
        <f>C7800</f>
        <v>0</v>
      </c>
      <c r="F7800" s="42"/>
    </row>
    <row r="7801" spans="1:6">
      <c r="A7801" s="39">
        <f>A7800</f>
        <v>46048</v>
      </c>
      <c r="B7801" s="40"/>
      <c r="C7801" s="40"/>
      <c r="D7801" s="41"/>
      <c r="E7801" s="43">
        <f>C7801</f>
        <v>0</v>
      </c>
      <c r="F7801" s="42"/>
    </row>
    <row r="7802" spans="1:6">
      <c r="A7802" s="39">
        <f>A7801</f>
        <v>46048</v>
      </c>
      <c r="B7802" s="40"/>
      <c r="C7802" s="40"/>
      <c r="D7802" s="41"/>
      <c r="E7802" s="43">
        <f>C7802</f>
        <v>0</v>
      </c>
      <c r="F7802" s="42"/>
    </row>
    <row r="7803" spans="1:6">
      <c r="A7803" s="39">
        <f>A7802</f>
        <v>46048</v>
      </c>
      <c r="B7803" s="40"/>
      <c r="C7803" s="40"/>
      <c r="D7803" s="41"/>
      <c r="E7803" s="43">
        <f>C7803</f>
        <v>0</v>
      </c>
      <c r="F7803" s="42"/>
    </row>
    <row r="7804" spans="1:6">
      <c r="A7804" s="39">
        <f>A7803</f>
        <v>46048</v>
      </c>
      <c r="B7804" s="40"/>
      <c r="C7804" s="40"/>
      <c r="D7804" s="41"/>
      <c r="E7804" s="43">
        <f>C7804</f>
        <v>0</v>
      </c>
      <c r="F7804" s="42"/>
    </row>
    <row r="7805" spans="1:6">
      <c r="A7805" s="39">
        <f>A7804</f>
        <v>46048</v>
      </c>
      <c r="B7805" s="40"/>
      <c r="C7805" s="40"/>
      <c r="D7805" s="41"/>
      <c r="E7805" s="43">
        <f>C7805</f>
        <v>0</v>
      </c>
      <c r="F7805" s="42"/>
    </row>
    <row r="7806" spans="1:6">
      <c r="A7806" s="39">
        <f>A7805</f>
        <v>46048</v>
      </c>
      <c r="B7806" s="40"/>
      <c r="C7806" s="40"/>
      <c r="D7806" s="41"/>
      <c r="E7806" s="43">
        <f>C7806</f>
        <v>0</v>
      </c>
      <c r="F7806" s="42"/>
    </row>
    <row r="7807" spans="1:6">
      <c r="A7807" s="39">
        <f>A7806</f>
        <v>46048</v>
      </c>
      <c r="B7807" s="40"/>
      <c r="C7807" s="40"/>
      <c r="D7807" s="41"/>
      <c r="E7807" s="43">
        <f>C7807</f>
        <v>0</v>
      </c>
      <c r="F7807" s="42"/>
    </row>
    <row r="7808" spans="1:6">
      <c r="A7808" s="39">
        <f>A7807</f>
        <v>46048</v>
      </c>
      <c r="B7808" s="40"/>
      <c r="C7808" s="40"/>
      <c r="D7808" s="41"/>
      <c r="E7808" s="43">
        <f>C7808</f>
        <v>0</v>
      </c>
      <c r="F7808" s="42"/>
    </row>
    <row r="7809" spans="1:6">
      <c r="A7809" s="39">
        <f>A7808</f>
        <v>46048</v>
      </c>
      <c r="B7809" s="40"/>
      <c r="C7809" s="40"/>
      <c r="D7809" s="41"/>
      <c r="E7809" s="43">
        <f>C7809</f>
        <v>0</v>
      </c>
      <c r="F7809" s="42"/>
    </row>
    <row r="7810" spans="1:6">
      <c r="A7810" s="39">
        <f>A7809</f>
        <v>46048</v>
      </c>
      <c r="B7810" s="40"/>
      <c r="C7810" s="40"/>
      <c r="D7810" s="41"/>
      <c r="E7810" s="43">
        <f>C7810</f>
        <v>0</v>
      </c>
      <c r="F7810" s="42"/>
    </row>
    <row r="7811" spans="1:6">
      <c r="A7811" s="39">
        <f>A7810</f>
        <v>46048</v>
      </c>
      <c r="B7811" s="40"/>
      <c r="C7811" s="40"/>
      <c r="D7811" s="41"/>
      <c r="E7811" s="43">
        <f>C7811</f>
        <v>0</v>
      </c>
      <c r="F7811" s="42"/>
    </row>
    <row r="7812" spans="1:6">
      <c r="A7812" s="39">
        <f>A7811</f>
        <v>46048</v>
      </c>
      <c r="B7812" s="40"/>
      <c r="C7812" s="40"/>
      <c r="D7812" s="41"/>
      <c r="E7812" s="43">
        <f>C7812</f>
        <v>0</v>
      </c>
      <c r="F7812" s="42"/>
    </row>
    <row r="7813" spans="1:6">
      <c r="A7813" s="39">
        <f>A7812</f>
        <v>46048</v>
      </c>
      <c r="B7813" s="40"/>
      <c r="C7813" s="40"/>
      <c r="D7813" s="41"/>
      <c r="E7813" s="43">
        <f>C7813</f>
        <v>0</v>
      </c>
      <c r="F7813" s="42"/>
    </row>
    <row r="7814" spans="1:6">
      <c r="A7814" s="39">
        <f>A7813</f>
        <v>46048</v>
      </c>
      <c r="B7814" s="40"/>
      <c r="C7814" s="40"/>
      <c r="D7814" s="41"/>
      <c r="E7814" s="43">
        <f>C7814</f>
        <v>0</v>
      </c>
      <c r="F7814" s="42"/>
    </row>
    <row r="7815" spans="1:6">
      <c r="A7815" s="39">
        <f>A7814</f>
        <v>46048</v>
      </c>
      <c r="B7815" s="40"/>
      <c r="C7815" s="40"/>
      <c r="D7815" s="41"/>
      <c r="E7815" s="43">
        <f>C7815</f>
        <v>0</v>
      </c>
      <c r="F7815" s="42"/>
    </row>
    <row r="7816" spans="1:6">
      <c r="A7816" s="39">
        <f>A7815</f>
        <v>46048</v>
      </c>
      <c r="B7816" s="40"/>
      <c r="C7816" s="40"/>
      <c r="D7816" s="41"/>
      <c r="E7816" s="43">
        <f>C7816</f>
        <v>0</v>
      </c>
      <c r="F7816" s="42"/>
    </row>
    <row r="7817" spans="1:6">
      <c r="A7817" s="39">
        <f>A7816</f>
        <v>46048</v>
      </c>
      <c r="B7817" s="40"/>
      <c r="C7817" s="40"/>
      <c r="D7817" s="41"/>
      <c r="E7817" s="43">
        <f>C7817</f>
        <v>0</v>
      </c>
      <c r="F7817" s="42"/>
    </row>
    <row r="7818" spans="1:6">
      <c r="A7818" s="39">
        <f>A7817</f>
        <v>46048</v>
      </c>
      <c r="B7818" s="40"/>
      <c r="C7818" s="40"/>
      <c r="D7818" s="41"/>
      <c r="E7818" s="43">
        <f>C7818</f>
        <v>0</v>
      </c>
      <c r="F7818" s="42"/>
    </row>
    <row r="7819" spans="1:6">
      <c r="A7819" s="39">
        <f>A7818</f>
        <v>46048</v>
      </c>
      <c r="B7819" s="40"/>
      <c r="C7819" s="40"/>
      <c r="D7819" s="41"/>
      <c r="E7819" s="43">
        <f>C7819</f>
        <v>0</v>
      </c>
      <c r="F7819" s="42"/>
    </row>
    <row r="7820" spans="1:6">
      <c r="A7820" s="39">
        <f>A7819</f>
        <v>46048</v>
      </c>
      <c r="B7820" s="40"/>
      <c r="C7820" s="40"/>
      <c r="D7820" s="41"/>
      <c r="E7820" s="43">
        <f>C7820</f>
        <v>0</v>
      </c>
      <c r="F7820" s="42"/>
    </row>
    <row r="7821" spans="1:6">
      <c r="A7821" s="39">
        <f>A7820</f>
        <v>46048</v>
      </c>
      <c r="B7821" s="40"/>
      <c r="C7821" s="40"/>
      <c r="D7821" s="41"/>
      <c r="E7821" s="43">
        <f>C7821</f>
        <v>0</v>
      </c>
      <c r="F7821" s="42"/>
    </row>
    <row r="7822" spans="1:6">
      <c r="A7822" s="39">
        <f>A7821</f>
        <v>46048</v>
      </c>
      <c r="B7822" s="40"/>
      <c r="C7822" s="40"/>
      <c r="D7822" s="41"/>
      <c r="E7822" s="43">
        <f>C7822</f>
        <v>0</v>
      </c>
      <c r="F7822" s="42"/>
    </row>
    <row r="7823" spans="1:6">
      <c r="A7823" s="39">
        <f>A7822</f>
        <v>46048</v>
      </c>
      <c r="B7823" s="40"/>
      <c r="C7823" s="40"/>
      <c r="D7823" s="41"/>
      <c r="E7823" s="43">
        <f>C7823</f>
        <v>0</v>
      </c>
      <c r="F7823" s="42"/>
    </row>
    <row r="7824" spans="1:6">
      <c r="A7824" s="39">
        <f>A7823</f>
        <v>46048</v>
      </c>
      <c r="B7824" s="40"/>
      <c r="C7824" s="40"/>
      <c r="D7824" s="41"/>
      <c r="E7824" s="43">
        <f>C7824</f>
        <v>0</v>
      </c>
      <c r="F7824" s="42"/>
    </row>
    <row r="7825" spans="1:6">
      <c r="A7825" s="39">
        <f>A7824</f>
        <v>46048</v>
      </c>
      <c r="B7825" s="40"/>
      <c r="C7825" s="40"/>
      <c r="D7825" s="41"/>
      <c r="E7825" s="43">
        <f>C7825</f>
        <v>0</v>
      </c>
      <c r="F7825" s="42"/>
    </row>
    <row r="7826" spans="1:6">
      <c r="A7826" s="39">
        <f>A7825</f>
        <v>46048</v>
      </c>
      <c r="B7826" s="40"/>
      <c r="C7826" s="40"/>
      <c r="D7826" s="41"/>
      <c r="E7826" s="43">
        <f>C7826</f>
        <v>0</v>
      </c>
      <c r="F7826" s="42"/>
    </row>
    <row r="7827" spans="1:6">
      <c r="A7827" s="39">
        <f>A7826</f>
        <v>46048</v>
      </c>
      <c r="B7827" s="40"/>
      <c r="C7827" s="40"/>
      <c r="D7827" s="41"/>
      <c r="E7827" s="43">
        <f>C7827</f>
        <v>0</v>
      </c>
      <c r="F7827" s="42"/>
    </row>
    <row r="7828" spans="1:6">
      <c r="A7828" s="39">
        <f>A7827</f>
        <v>46048</v>
      </c>
      <c r="B7828" s="40"/>
      <c r="C7828" s="40"/>
      <c r="D7828" s="41"/>
      <c r="E7828" s="43">
        <f>C7828</f>
        <v>0</v>
      </c>
      <c r="F7828" s="42"/>
    </row>
    <row r="7829" spans="1:6">
      <c r="A7829" s="39">
        <f>A7828</f>
        <v>46048</v>
      </c>
      <c r="B7829" s="40"/>
      <c r="C7829" s="40"/>
      <c r="D7829" s="41"/>
      <c r="E7829" s="43">
        <f>C7829</f>
        <v>0</v>
      </c>
      <c r="F7829" s="42"/>
    </row>
    <row r="7830" spans="1:6">
      <c r="A7830" s="39">
        <f>A7829</f>
        <v>46048</v>
      </c>
      <c r="B7830" s="40"/>
      <c r="C7830" s="40"/>
      <c r="D7830" s="41"/>
      <c r="E7830" s="43">
        <f>C7830</f>
        <v>0</v>
      </c>
      <c r="F7830" s="42"/>
    </row>
    <row r="7831" spans="1:6">
      <c r="A7831" s="39">
        <f>A7830</f>
        <v>46048</v>
      </c>
      <c r="B7831" s="40"/>
      <c r="C7831" s="40"/>
      <c r="D7831" s="41"/>
      <c r="E7831" s="43">
        <f>C7831</f>
        <v>0</v>
      </c>
      <c r="F7831" s="42"/>
    </row>
    <row r="7832" spans="1:6">
      <c r="A7832" s="39">
        <f>A7831</f>
        <v>46048</v>
      </c>
      <c r="B7832" s="40"/>
      <c r="C7832" s="40"/>
      <c r="D7832" s="41"/>
      <c r="E7832" s="43">
        <f>C7832</f>
        <v>0</v>
      </c>
      <c r="F7832" s="42"/>
    </row>
    <row r="7833" spans="1:6">
      <c r="A7833" s="39">
        <f>A7832</f>
        <v>46048</v>
      </c>
      <c r="B7833" s="40"/>
      <c r="C7833" s="40"/>
      <c r="D7833" s="41"/>
      <c r="E7833" s="43">
        <f>C7833</f>
        <v>0</v>
      </c>
      <c r="F7833" s="42"/>
    </row>
    <row r="7834" spans="1:6">
      <c r="A7834" s="39">
        <f>A7833</f>
        <v>46048</v>
      </c>
      <c r="B7834" s="40"/>
      <c r="C7834" s="40"/>
      <c r="D7834" s="41"/>
      <c r="E7834" s="43">
        <f>C7834</f>
        <v>0</v>
      </c>
      <c r="F7834" s="42"/>
    </row>
    <row r="7835" spans="1:6">
      <c r="A7835" s="39">
        <f>A7834</f>
        <v>46048</v>
      </c>
      <c r="B7835" s="40"/>
      <c r="C7835" s="40"/>
      <c r="D7835" s="41"/>
      <c r="E7835" s="43">
        <f>C7835</f>
        <v>0</v>
      </c>
      <c r="F7835" s="42"/>
    </row>
    <row r="7836" spans="1:6">
      <c r="A7836" s="39">
        <f>A7835</f>
        <v>46048</v>
      </c>
      <c r="B7836" s="40"/>
      <c r="C7836" s="40"/>
      <c r="D7836" s="41"/>
      <c r="E7836" s="43">
        <f>C7836</f>
        <v>0</v>
      </c>
      <c r="F7836" s="42"/>
    </row>
    <row r="7837" spans="1:6">
      <c r="A7837" s="39">
        <f>A7836</f>
        <v>46048</v>
      </c>
      <c r="B7837" s="40"/>
      <c r="C7837" s="40"/>
      <c r="D7837" s="41"/>
      <c r="E7837" s="43">
        <f>C7837</f>
        <v>0</v>
      </c>
      <c r="F7837" s="42"/>
    </row>
    <row r="7838" spans="1:6">
      <c r="A7838" s="39">
        <f>A7837</f>
        <v>46048</v>
      </c>
      <c r="B7838" s="40"/>
      <c r="C7838" s="40"/>
      <c r="D7838" s="41"/>
      <c r="E7838" s="43">
        <f>C7838</f>
        <v>0</v>
      </c>
      <c r="F7838" s="42"/>
    </row>
    <row r="7839" spans="1:6">
      <c r="A7839" s="39">
        <f>A7838</f>
        <v>46048</v>
      </c>
      <c r="B7839" s="40"/>
      <c r="C7839" s="40"/>
      <c r="D7839" s="41"/>
      <c r="E7839" s="43">
        <f>C7839</f>
        <v>0</v>
      </c>
      <c r="F7839" s="42"/>
    </row>
    <row r="7840" spans="1:6">
      <c r="A7840" s="39">
        <f>A7839</f>
        <v>46048</v>
      </c>
      <c r="B7840" s="40"/>
      <c r="C7840" s="40"/>
      <c r="D7840" s="41"/>
      <c r="E7840" s="43">
        <f>C7840</f>
        <v>0</v>
      </c>
      <c r="F7840" s="42"/>
    </row>
    <row r="7841" spans="1:6">
      <c r="A7841" s="39">
        <f>A7840</f>
        <v>46048</v>
      </c>
      <c r="B7841" s="40"/>
      <c r="C7841" s="40"/>
      <c r="D7841" s="41"/>
      <c r="E7841" s="43">
        <f>C7841</f>
        <v>0</v>
      </c>
      <c r="F7841" s="42"/>
    </row>
    <row r="7842" spans="1:6">
      <c r="A7842" s="39">
        <f>A7841</f>
        <v>46048</v>
      </c>
      <c r="B7842" s="40"/>
      <c r="C7842" s="40"/>
      <c r="D7842" s="41"/>
      <c r="E7842" s="43">
        <f>C7842</f>
        <v>0</v>
      </c>
      <c r="F7842" s="42"/>
    </row>
    <row r="7843" spans="1:6">
      <c r="A7843" s="39">
        <f>A7842</f>
        <v>46048</v>
      </c>
      <c r="B7843" s="40"/>
      <c r="C7843" s="40"/>
      <c r="D7843" s="41"/>
      <c r="E7843" s="43">
        <f>C7843</f>
        <v>0</v>
      </c>
      <c r="F7843" s="42"/>
    </row>
    <row r="7844" spans="1:6">
      <c r="A7844" s="39">
        <f>A7843</f>
        <v>46048</v>
      </c>
      <c r="B7844" s="40"/>
      <c r="C7844" s="40"/>
      <c r="D7844" s="41"/>
      <c r="E7844" s="43">
        <f>C7844</f>
        <v>0</v>
      </c>
      <c r="F7844" s="42"/>
    </row>
    <row r="7845" spans="1:6">
      <c r="A7845" s="39">
        <f>A7844</f>
        <v>46048</v>
      </c>
      <c r="B7845" s="40"/>
      <c r="C7845" s="40"/>
      <c r="D7845" s="41"/>
      <c r="E7845" s="43">
        <f>C7845</f>
        <v>0</v>
      </c>
      <c r="F7845" s="42"/>
    </row>
    <row r="7846" spans="1:6">
      <c r="A7846" s="39">
        <f>A7845</f>
        <v>46048</v>
      </c>
      <c r="B7846" s="40"/>
      <c r="C7846" s="40"/>
      <c r="D7846" s="41"/>
      <c r="E7846" s="43">
        <f>C7846</f>
        <v>0</v>
      </c>
      <c r="F7846" s="42"/>
    </row>
    <row r="7847" spans="1:6">
      <c r="A7847" s="39">
        <f>A7846</f>
        <v>46048</v>
      </c>
      <c r="B7847" s="40"/>
      <c r="C7847" s="40"/>
      <c r="D7847" s="41"/>
      <c r="E7847" s="43">
        <f>C7847</f>
        <v>0</v>
      </c>
      <c r="F7847" s="42"/>
    </row>
    <row r="7848" spans="1:6">
      <c r="A7848" s="39">
        <f>A7847</f>
        <v>46048</v>
      </c>
      <c r="B7848" s="40"/>
      <c r="C7848" s="40"/>
      <c r="D7848" s="41"/>
      <c r="E7848" s="43">
        <f>C7848</f>
        <v>0</v>
      </c>
      <c r="F7848" s="42"/>
    </row>
    <row r="7849" spans="1:6">
      <c r="A7849" s="39">
        <f>A7848</f>
        <v>46048</v>
      </c>
      <c r="B7849" s="40"/>
      <c r="C7849" s="40"/>
      <c r="D7849" s="41"/>
      <c r="E7849" s="43">
        <f>C7849</f>
        <v>0</v>
      </c>
      <c r="F7849" s="42"/>
    </row>
    <row r="7850" spans="1:6">
      <c r="A7850" s="39">
        <f>A7849</f>
        <v>46048</v>
      </c>
      <c r="B7850" s="40"/>
      <c r="C7850" s="40"/>
      <c r="D7850" s="41"/>
      <c r="E7850" s="43">
        <f>C7850</f>
        <v>0</v>
      </c>
      <c r="F7850" s="42"/>
    </row>
    <row r="7851" spans="1:6">
      <c r="A7851" s="39">
        <f>A7850</f>
        <v>46048</v>
      </c>
      <c r="B7851" s="40"/>
      <c r="C7851" s="40"/>
      <c r="D7851" s="41"/>
      <c r="E7851" s="43">
        <f>C7851</f>
        <v>0</v>
      </c>
      <c r="F7851" s="42"/>
    </row>
    <row r="7852" spans="1:6">
      <c r="A7852" s="39">
        <f>A7851</f>
        <v>46048</v>
      </c>
      <c r="B7852" s="40"/>
      <c r="C7852" s="40"/>
      <c r="D7852" s="41"/>
      <c r="E7852" s="43">
        <f>C7852</f>
        <v>0</v>
      </c>
      <c r="F7852" s="42"/>
    </row>
    <row r="7853" spans="1:6">
      <c r="A7853" s="39">
        <f>A7852</f>
        <v>46048</v>
      </c>
      <c r="B7853" s="40"/>
      <c r="C7853" s="40"/>
      <c r="D7853" s="41"/>
      <c r="E7853" s="43">
        <f>C7853</f>
        <v>0</v>
      </c>
      <c r="F7853" s="42"/>
    </row>
    <row r="7854" spans="1:6">
      <c r="A7854" s="39">
        <f>A7853</f>
        <v>46048</v>
      </c>
      <c r="B7854" s="40"/>
      <c r="C7854" s="40"/>
      <c r="D7854" s="41"/>
      <c r="E7854" s="43">
        <f>C7854</f>
        <v>0</v>
      </c>
      <c r="F7854" s="42"/>
    </row>
    <row r="7855" spans="1:6">
      <c r="A7855" s="39">
        <f>A7854</f>
        <v>46048</v>
      </c>
      <c r="B7855" s="40"/>
      <c r="C7855" s="40"/>
      <c r="D7855" s="41"/>
      <c r="E7855" s="43">
        <f>C7855</f>
        <v>0</v>
      </c>
      <c r="F7855" s="42"/>
    </row>
    <row r="7856" spans="1:6">
      <c r="A7856" s="39">
        <f>A7855</f>
        <v>46048</v>
      </c>
      <c r="B7856" s="40"/>
      <c r="C7856" s="40"/>
      <c r="D7856" s="41"/>
      <c r="E7856" s="43">
        <f>C7856</f>
        <v>0</v>
      </c>
      <c r="F7856" s="42"/>
    </row>
    <row r="7857" spans="1:6">
      <c r="A7857" s="39">
        <f>A7856</f>
        <v>46048</v>
      </c>
      <c r="B7857" s="40"/>
      <c r="C7857" s="40"/>
      <c r="D7857" s="41"/>
      <c r="E7857" s="43">
        <f>C7857</f>
        <v>0</v>
      </c>
      <c r="F7857" s="42"/>
    </row>
    <row r="7858" spans="1:6">
      <c r="A7858" s="39">
        <f>A7857</f>
        <v>46048</v>
      </c>
      <c r="B7858" s="40"/>
      <c r="C7858" s="40"/>
      <c r="D7858" s="41"/>
      <c r="E7858" s="43">
        <f>C7858</f>
        <v>0</v>
      </c>
      <c r="F7858" s="42"/>
    </row>
    <row r="7859" spans="1:6">
      <c r="A7859" s="39">
        <f>A7858</f>
        <v>46048</v>
      </c>
      <c r="B7859" s="40"/>
      <c r="C7859" s="40"/>
      <c r="D7859" s="41"/>
      <c r="E7859" s="43">
        <f>C7859</f>
        <v>0</v>
      </c>
      <c r="F7859" s="42"/>
    </row>
    <row r="7860" spans="1:6">
      <c r="A7860" s="39">
        <f>A7859</f>
        <v>46048</v>
      </c>
      <c r="B7860" s="40"/>
      <c r="C7860" s="40"/>
      <c r="D7860" s="41"/>
      <c r="E7860" s="43">
        <f>C7860</f>
        <v>0</v>
      </c>
      <c r="F7860" s="42"/>
    </row>
    <row r="7861" spans="1:6">
      <c r="A7861" s="39">
        <f>A7860</f>
        <v>46048</v>
      </c>
      <c r="B7861" s="40"/>
      <c r="C7861" s="40"/>
      <c r="D7861" s="41"/>
      <c r="E7861" s="43">
        <f>C7861</f>
        <v>0</v>
      </c>
      <c r="F7861" s="42"/>
    </row>
    <row r="7862" spans="1:6">
      <c r="A7862" s="39">
        <f>A7861</f>
        <v>46048</v>
      </c>
      <c r="B7862" s="40"/>
      <c r="C7862" s="40"/>
      <c r="D7862" s="41"/>
      <c r="E7862" s="43">
        <f>C7862</f>
        <v>0</v>
      </c>
      <c r="F7862" s="42"/>
    </row>
    <row r="7863" spans="1:6">
      <c r="A7863" s="39">
        <f>A7862</f>
        <v>46048</v>
      </c>
      <c r="B7863" s="40"/>
      <c r="C7863" s="40"/>
      <c r="D7863" s="41"/>
      <c r="E7863" s="43">
        <f>C7863</f>
        <v>0</v>
      </c>
      <c r="F7863" s="42"/>
    </row>
    <row r="7864" spans="1:6">
      <c r="A7864" s="39">
        <f>A7863</f>
        <v>46048</v>
      </c>
      <c r="B7864" s="40"/>
      <c r="C7864" s="40"/>
      <c r="D7864" s="41"/>
      <c r="E7864" s="43">
        <f>C7864</f>
        <v>0</v>
      </c>
      <c r="F7864" s="42"/>
    </row>
    <row r="7865" spans="1:6">
      <c r="A7865" s="39">
        <f>A7864</f>
        <v>46048</v>
      </c>
      <c r="B7865" s="40"/>
      <c r="C7865" s="40"/>
      <c r="D7865" s="41"/>
      <c r="E7865" s="43">
        <f>C7865</f>
        <v>0</v>
      </c>
      <c r="F7865" s="42"/>
    </row>
    <row r="7866" spans="1:6">
      <c r="A7866" s="39">
        <f>A7865</f>
        <v>46048</v>
      </c>
      <c r="B7866" s="40"/>
      <c r="C7866" s="40"/>
      <c r="D7866" s="41"/>
      <c r="E7866" s="43">
        <f>C7866</f>
        <v>0</v>
      </c>
      <c r="F7866" s="42"/>
    </row>
    <row r="7867" spans="1:6">
      <c r="A7867" s="39">
        <f>A7866</f>
        <v>46048</v>
      </c>
      <c r="B7867" s="40"/>
      <c r="C7867" s="40"/>
      <c r="D7867" s="41"/>
      <c r="E7867" s="43">
        <f>C7867</f>
        <v>0</v>
      </c>
      <c r="F7867" s="42"/>
    </row>
    <row r="7868" spans="1:6">
      <c r="A7868" s="39">
        <f>A7867</f>
        <v>46048</v>
      </c>
      <c r="B7868" s="40"/>
      <c r="C7868" s="40"/>
      <c r="D7868" s="41"/>
      <c r="E7868" s="43">
        <f>C7868</f>
        <v>0</v>
      </c>
      <c r="F7868" s="42"/>
    </row>
    <row r="7869" spans="1:6">
      <c r="A7869" s="39">
        <f>A7868</f>
        <v>46048</v>
      </c>
      <c r="B7869" s="40"/>
      <c r="C7869" s="40"/>
      <c r="D7869" s="41"/>
      <c r="E7869" s="43">
        <f>C7869</f>
        <v>0</v>
      </c>
      <c r="F7869" s="42"/>
    </row>
    <row r="7870" spans="1:6">
      <c r="A7870" s="39">
        <f>A7869</f>
        <v>46048</v>
      </c>
      <c r="B7870" s="40"/>
      <c r="C7870" s="40"/>
      <c r="D7870" s="41"/>
      <c r="E7870" s="43">
        <f>C7870</f>
        <v>0</v>
      </c>
      <c r="F7870" s="42"/>
    </row>
    <row r="7871" spans="1:6">
      <c r="A7871" s="39">
        <f>A7870</f>
        <v>46048</v>
      </c>
      <c r="B7871" s="40"/>
      <c r="C7871" s="40"/>
      <c r="D7871" s="41"/>
      <c r="E7871" s="43">
        <f>C7871</f>
        <v>0</v>
      </c>
      <c r="F7871" s="42"/>
    </row>
    <row r="7872" spans="1:6">
      <c r="A7872" s="39">
        <f>A7871</f>
        <v>46048</v>
      </c>
      <c r="B7872" s="40"/>
      <c r="C7872" s="40"/>
      <c r="D7872" s="41"/>
      <c r="E7872" s="43">
        <f>C7872</f>
        <v>0</v>
      </c>
      <c r="F7872" s="42"/>
    </row>
    <row r="7873" spans="1:6">
      <c r="A7873" s="39">
        <f>A7872</f>
        <v>46048</v>
      </c>
      <c r="B7873" s="40"/>
      <c r="C7873" s="40"/>
      <c r="D7873" s="41"/>
      <c r="E7873" s="43">
        <f>C7873</f>
        <v>0</v>
      </c>
      <c r="F7873" s="42"/>
    </row>
    <row r="7874" spans="1:6">
      <c r="A7874" s="39">
        <f>A7873</f>
        <v>46048</v>
      </c>
      <c r="B7874" s="40"/>
      <c r="C7874" s="40"/>
      <c r="D7874" s="41"/>
      <c r="E7874" s="43">
        <f>C7874</f>
        <v>0</v>
      </c>
      <c r="F7874" s="42"/>
    </row>
    <row r="7875" spans="1:6">
      <c r="A7875" s="39">
        <f>A7874</f>
        <v>46048</v>
      </c>
      <c r="B7875" s="40"/>
      <c r="C7875" s="40"/>
      <c r="D7875" s="41"/>
      <c r="E7875" s="43">
        <f>C7875</f>
        <v>0</v>
      </c>
      <c r="F7875" s="42"/>
    </row>
    <row r="7876" spans="1:6">
      <c r="A7876" s="39">
        <f>A7875</f>
        <v>46048</v>
      </c>
      <c r="B7876" s="40"/>
      <c r="C7876" s="40"/>
      <c r="D7876" s="41"/>
      <c r="E7876" s="43">
        <f>C7876</f>
        <v>0</v>
      </c>
      <c r="F7876" s="42"/>
    </row>
    <row r="7877" spans="1:6">
      <c r="A7877" s="39">
        <f>A7876</f>
        <v>46048</v>
      </c>
      <c r="B7877" s="40"/>
      <c r="C7877" s="40"/>
      <c r="D7877" s="41"/>
      <c r="E7877" s="43">
        <f>C7877</f>
        <v>0</v>
      </c>
      <c r="F7877" s="42"/>
    </row>
    <row r="7878" spans="1:6">
      <c r="A7878" s="39">
        <f>A7877</f>
        <v>46048</v>
      </c>
      <c r="B7878" s="40"/>
      <c r="C7878" s="40"/>
      <c r="D7878" s="41"/>
      <c r="E7878" s="43">
        <f>C7878</f>
        <v>0</v>
      </c>
      <c r="F7878" s="42"/>
    </row>
    <row r="7879" spans="1:6">
      <c r="A7879" s="39">
        <f>A7878</f>
        <v>46048</v>
      </c>
      <c r="B7879" s="40"/>
      <c r="C7879" s="40"/>
      <c r="D7879" s="41"/>
      <c r="E7879" s="43">
        <f>C7879</f>
        <v>0</v>
      </c>
      <c r="F7879" s="42"/>
    </row>
    <row r="7880" spans="1:6">
      <c r="A7880" s="39">
        <f>A7879</f>
        <v>46048</v>
      </c>
      <c r="B7880" s="40"/>
      <c r="C7880" s="40"/>
      <c r="D7880" s="41"/>
      <c r="E7880" s="43">
        <f>C7880</f>
        <v>0</v>
      </c>
      <c r="F7880" s="42"/>
    </row>
    <row r="7881" spans="1:6">
      <c r="A7881" s="39">
        <f>A7880</f>
        <v>46048</v>
      </c>
      <c r="B7881" s="40"/>
      <c r="C7881" s="40"/>
      <c r="D7881" s="41"/>
      <c r="E7881" s="43">
        <f>C7881</f>
        <v>0</v>
      </c>
      <c r="F7881" s="42"/>
    </row>
    <row r="7882" spans="1:6">
      <c r="A7882" s="39">
        <f>A7881</f>
        <v>46048</v>
      </c>
      <c r="B7882" s="40"/>
      <c r="C7882" s="40"/>
      <c r="D7882" s="41"/>
      <c r="E7882" s="43">
        <f>C7882</f>
        <v>0</v>
      </c>
      <c r="F7882" s="42"/>
    </row>
    <row r="7883" spans="1:6">
      <c r="A7883" s="39">
        <f>A7882</f>
        <v>46048</v>
      </c>
      <c r="B7883" s="40"/>
      <c r="C7883" s="40"/>
      <c r="D7883" s="41"/>
      <c r="E7883" s="43">
        <f>C7883</f>
        <v>0</v>
      </c>
      <c r="F7883" s="42"/>
    </row>
    <row r="7884" spans="1:6">
      <c r="A7884" s="39">
        <f>A7883</f>
        <v>46048</v>
      </c>
      <c r="B7884" s="40"/>
      <c r="C7884" s="40"/>
      <c r="D7884" s="41"/>
      <c r="E7884" s="43">
        <f>C7884</f>
        <v>0</v>
      </c>
      <c r="F7884" s="42"/>
    </row>
    <row r="7885" spans="1:6">
      <c r="A7885" s="39">
        <f>A7884</f>
        <v>46048</v>
      </c>
      <c r="B7885" s="40"/>
      <c r="C7885" s="40"/>
      <c r="D7885" s="41"/>
      <c r="E7885" s="43">
        <f>C7885</f>
        <v>0</v>
      </c>
      <c r="F7885" s="42"/>
    </row>
    <row r="7886" spans="1:6">
      <c r="A7886" s="39">
        <f>A7885</f>
        <v>46048</v>
      </c>
      <c r="B7886" s="40"/>
      <c r="C7886" s="40"/>
      <c r="D7886" s="41"/>
      <c r="E7886" s="43">
        <f>C7886</f>
        <v>0</v>
      </c>
      <c r="F7886" s="42"/>
    </row>
    <row r="7887" spans="1:6">
      <c r="A7887" s="39">
        <f>A7886</f>
        <v>46048</v>
      </c>
      <c r="B7887" s="40"/>
      <c r="C7887" s="40"/>
      <c r="D7887" s="41"/>
      <c r="E7887" s="43">
        <f>C7887</f>
        <v>0</v>
      </c>
      <c r="F7887" s="42"/>
    </row>
    <row r="7888" spans="1:6">
      <c r="A7888" s="39">
        <f>A7887</f>
        <v>46048</v>
      </c>
      <c r="B7888" s="40"/>
      <c r="C7888" s="40"/>
      <c r="D7888" s="41"/>
      <c r="E7888" s="43">
        <f>C7888</f>
        <v>0</v>
      </c>
      <c r="F7888" s="42"/>
    </row>
    <row r="7889" spans="1:6">
      <c r="A7889" s="39">
        <f>A7888</f>
        <v>46048</v>
      </c>
      <c r="B7889" s="40"/>
      <c r="C7889" s="40"/>
      <c r="D7889" s="41"/>
      <c r="E7889" s="43">
        <f>C7889</f>
        <v>0</v>
      </c>
      <c r="F7889" s="42"/>
    </row>
    <row r="7890" spans="1:6">
      <c r="A7890" s="39">
        <f>A7889</f>
        <v>46048</v>
      </c>
      <c r="B7890" s="40"/>
      <c r="C7890" s="40"/>
      <c r="D7890" s="41"/>
      <c r="E7890" s="43">
        <f>C7890</f>
        <v>0</v>
      </c>
      <c r="F7890" s="42"/>
    </row>
    <row r="7891" spans="1:6">
      <c r="A7891" s="39">
        <f>A7890</f>
        <v>46048</v>
      </c>
      <c r="B7891" s="40"/>
      <c r="C7891" s="40"/>
      <c r="D7891" s="41"/>
      <c r="E7891" s="43">
        <f>C7891</f>
        <v>0</v>
      </c>
      <c r="F7891" s="42"/>
    </row>
    <row r="7892" spans="1:6">
      <c r="A7892" s="39">
        <f>A7891</f>
        <v>46048</v>
      </c>
      <c r="B7892" s="40"/>
      <c r="C7892" s="40"/>
      <c r="D7892" s="41"/>
      <c r="E7892" s="43">
        <f>C7892</f>
        <v>0</v>
      </c>
      <c r="F7892" s="42"/>
    </row>
    <row r="7893" spans="1:6">
      <c r="A7893" s="39">
        <f>A7892</f>
        <v>46048</v>
      </c>
      <c r="B7893" s="40"/>
      <c r="C7893" s="40"/>
      <c r="D7893" s="41"/>
      <c r="E7893" s="43">
        <f>C7893</f>
        <v>0</v>
      </c>
      <c r="F7893" s="42"/>
    </row>
    <row r="7894" spans="1:6">
      <c r="A7894" s="39">
        <f>A7893</f>
        <v>46048</v>
      </c>
      <c r="B7894" s="40"/>
      <c r="C7894" s="40"/>
      <c r="D7894" s="41"/>
      <c r="E7894" s="43">
        <f>C7894</f>
        <v>0</v>
      </c>
      <c r="F7894" s="42"/>
    </row>
    <row r="7895" spans="1:6">
      <c r="A7895" s="39">
        <f>A7894</f>
        <v>46048</v>
      </c>
      <c r="B7895" s="40"/>
      <c r="C7895" s="40"/>
      <c r="D7895" s="41"/>
      <c r="E7895" s="43">
        <f>C7895</f>
        <v>0</v>
      </c>
      <c r="F7895" s="42"/>
    </row>
    <row r="7896" spans="1:6">
      <c r="A7896" s="39">
        <f>A7895</f>
        <v>46048</v>
      </c>
      <c r="B7896" s="40"/>
      <c r="C7896" s="40"/>
      <c r="D7896" s="41"/>
      <c r="E7896" s="43">
        <f>C7896</f>
        <v>0</v>
      </c>
      <c r="F7896" s="42"/>
    </row>
    <row r="7897" spans="1:6">
      <c r="A7897" s="39">
        <f>A7896</f>
        <v>46048</v>
      </c>
      <c r="B7897" s="40"/>
      <c r="C7897" s="40"/>
      <c r="D7897" s="41"/>
      <c r="E7897" s="43">
        <f>C7897</f>
        <v>0</v>
      </c>
      <c r="F7897" s="42"/>
    </row>
    <row r="7898" spans="1:6">
      <c r="A7898" s="39">
        <f>A7897</f>
        <v>46048</v>
      </c>
      <c r="B7898" s="40"/>
      <c r="C7898" s="40"/>
      <c r="D7898" s="41"/>
      <c r="E7898" s="43">
        <f>C7898</f>
        <v>0</v>
      </c>
      <c r="F7898" s="42"/>
    </row>
    <row r="7899" spans="1:6">
      <c r="A7899" s="39">
        <f>A7898</f>
        <v>46048</v>
      </c>
      <c r="B7899" s="40"/>
      <c r="C7899" s="40"/>
      <c r="D7899" s="41"/>
      <c r="E7899" s="43">
        <f>C7899</f>
        <v>0</v>
      </c>
      <c r="F7899" s="42"/>
    </row>
    <row r="7900" spans="1:6">
      <c r="A7900" s="39">
        <f>A7899</f>
        <v>46048</v>
      </c>
      <c r="B7900" s="40"/>
      <c r="C7900" s="40"/>
      <c r="D7900" s="41"/>
      <c r="E7900" s="43">
        <f>C7900</f>
        <v>0</v>
      </c>
      <c r="F7900" s="42"/>
    </row>
    <row r="7901" spans="1:6">
      <c r="A7901" s="39">
        <f>A7900</f>
        <v>46048</v>
      </c>
      <c r="B7901" s="40"/>
      <c r="C7901" s="40"/>
      <c r="D7901" s="41"/>
      <c r="E7901" s="43">
        <f>C7901</f>
        <v>0</v>
      </c>
      <c r="F7901" s="42"/>
    </row>
    <row r="7902" spans="1:6">
      <c r="A7902" s="39">
        <f>A7901</f>
        <v>46048</v>
      </c>
      <c r="B7902" s="40"/>
      <c r="C7902" s="40"/>
      <c r="D7902" s="41"/>
      <c r="E7902" s="43">
        <f>C7902</f>
        <v>0</v>
      </c>
      <c r="F7902" s="42"/>
    </row>
    <row r="7903" spans="1:6">
      <c r="A7903" s="39">
        <f>A7902</f>
        <v>46048</v>
      </c>
      <c r="B7903" s="40"/>
      <c r="C7903" s="40"/>
      <c r="D7903" s="41"/>
      <c r="E7903" s="43">
        <f>C7903</f>
        <v>0</v>
      </c>
      <c r="F7903" s="42"/>
    </row>
    <row r="7904" spans="1:6">
      <c r="A7904" s="39">
        <f>A7903</f>
        <v>46048</v>
      </c>
      <c r="B7904" s="40"/>
      <c r="C7904" s="40"/>
      <c r="D7904" s="41"/>
      <c r="E7904" s="43">
        <f>C7904</f>
        <v>0</v>
      </c>
      <c r="F7904" s="42"/>
    </row>
    <row r="7905" spans="1:6">
      <c r="A7905" s="39">
        <f>A7904</f>
        <v>46048</v>
      </c>
      <c r="B7905" s="40"/>
      <c r="C7905" s="40"/>
      <c r="D7905" s="41"/>
      <c r="E7905" s="43">
        <f>C7905</f>
        <v>0</v>
      </c>
      <c r="F7905" s="42"/>
    </row>
    <row r="7906" spans="1:6">
      <c r="A7906" s="39">
        <f>A7905</f>
        <v>46048</v>
      </c>
      <c r="B7906" s="40"/>
      <c r="C7906" s="40"/>
      <c r="D7906" s="41"/>
      <c r="E7906" s="43">
        <f>C7906</f>
        <v>0</v>
      </c>
      <c r="F7906" s="42"/>
    </row>
    <row r="7907" spans="1:6">
      <c r="A7907" s="39">
        <f>A7906</f>
        <v>46048</v>
      </c>
      <c r="B7907" s="40"/>
      <c r="C7907" s="40"/>
      <c r="D7907" s="41"/>
      <c r="E7907" s="43">
        <f>C7907</f>
        <v>0</v>
      </c>
      <c r="F7907" s="42"/>
    </row>
    <row r="7908" spans="1:6">
      <c r="A7908" s="39">
        <f>A7907</f>
        <v>46048</v>
      </c>
      <c r="B7908" s="40"/>
      <c r="C7908" s="40"/>
      <c r="D7908" s="41"/>
      <c r="E7908" s="43">
        <f>C7908</f>
        <v>0</v>
      </c>
      <c r="F7908" s="42"/>
    </row>
    <row r="7909" spans="1:6">
      <c r="A7909" s="39">
        <f>A7908</f>
        <v>46048</v>
      </c>
      <c r="B7909" s="40"/>
      <c r="C7909" s="40"/>
      <c r="D7909" s="41"/>
      <c r="E7909" s="43">
        <f>C7909</f>
        <v>0</v>
      </c>
      <c r="F7909" s="42"/>
    </row>
    <row r="7910" spans="1:6">
      <c r="A7910" s="39">
        <f>A7909</f>
        <v>46048</v>
      </c>
      <c r="B7910" s="40"/>
      <c r="C7910" s="40"/>
      <c r="D7910" s="41"/>
      <c r="E7910" s="43">
        <f>C7910</f>
        <v>0</v>
      </c>
      <c r="F7910" s="42"/>
    </row>
    <row r="7911" spans="1:6">
      <c r="A7911" s="39">
        <f>A7910</f>
        <v>46048</v>
      </c>
      <c r="B7911" s="40"/>
      <c r="C7911" s="40"/>
      <c r="D7911" s="41"/>
      <c r="E7911" s="43">
        <f>C7911</f>
        <v>0</v>
      </c>
      <c r="F7911" s="42"/>
    </row>
    <row r="7912" spans="1:6">
      <c r="A7912" s="39">
        <f>A7911</f>
        <v>46048</v>
      </c>
      <c r="B7912" s="40"/>
      <c r="C7912" s="40"/>
      <c r="D7912" s="41"/>
      <c r="E7912" s="43">
        <f>C7912</f>
        <v>0</v>
      </c>
      <c r="F7912" s="42"/>
    </row>
    <row r="7913" spans="1:6">
      <c r="A7913" s="39">
        <f>A7912</f>
        <v>46048</v>
      </c>
      <c r="B7913" s="40"/>
      <c r="C7913" s="40"/>
      <c r="D7913" s="41"/>
      <c r="E7913" s="43">
        <f>C7913</f>
        <v>0</v>
      </c>
      <c r="F7913" s="42"/>
    </row>
    <row r="7914" spans="1:6">
      <c r="A7914" s="39">
        <f>A7913</f>
        <v>46048</v>
      </c>
      <c r="B7914" s="40"/>
      <c r="C7914" s="40"/>
      <c r="D7914" s="41"/>
      <c r="E7914" s="43">
        <f>C7914</f>
        <v>0</v>
      </c>
      <c r="F7914" s="42"/>
    </row>
    <row r="7915" spans="1:6">
      <c r="A7915" s="39">
        <f>A7914</f>
        <v>46048</v>
      </c>
      <c r="B7915" s="40"/>
      <c r="C7915" s="40"/>
      <c r="D7915" s="41"/>
      <c r="E7915" s="43">
        <f>C7915</f>
        <v>0</v>
      </c>
      <c r="F7915" s="42"/>
    </row>
    <row r="7916" spans="1:6">
      <c r="A7916" s="39">
        <f>A7915</f>
        <v>46048</v>
      </c>
      <c r="B7916" s="40"/>
      <c r="C7916" s="40"/>
      <c r="D7916" s="41"/>
      <c r="E7916" s="43">
        <f>C7916</f>
        <v>0</v>
      </c>
      <c r="F7916" s="42"/>
    </row>
    <row r="7917" spans="1:6">
      <c r="A7917" s="39">
        <f>A7916</f>
        <v>46048</v>
      </c>
      <c r="B7917" s="40"/>
      <c r="C7917" s="40"/>
      <c r="D7917" s="41"/>
      <c r="E7917" s="43">
        <f>C7917</f>
        <v>0</v>
      </c>
      <c r="F7917" s="42"/>
    </row>
    <row r="7918" spans="1:6">
      <c r="A7918" s="39">
        <f>A7917</f>
        <v>46048</v>
      </c>
      <c r="B7918" s="40"/>
      <c r="C7918" s="40"/>
      <c r="D7918" s="41"/>
      <c r="E7918" s="43">
        <f>C7918</f>
        <v>0</v>
      </c>
      <c r="F7918" s="42"/>
    </row>
    <row r="7919" spans="1:6">
      <c r="A7919" s="39">
        <f>A7918</f>
        <v>46048</v>
      </c>
      <c r="B7919" s="40"/>
      <c r="C7919" s="40"/>
      <c r="D7919" s="41"/>
      <c r="E7919" s="43">
        <f>C7919</f>
        <v>0</v>
      </c>
      <c r="F7919" s="42"/>
    </row>
    <row r="7920" spans="1:6">
      <c r="A7920" s="39">
        <f>A7919</f>
        <v>46048</v>
      </c>
      <c r="B7920" s="40"/>
      <c r="C7920" s="40"/>
      <c r="D7920" s="41"/>
      <c r="E7920" s="43">
        <f>C7920</f>
        <v>0</v>
      </c>
      <c r="F7920" s="42"/>
    </row>
    <row r="7921" spans="1:6">
      <c r="A7921" s="39">
        <f>A7920</f>
        <v>46048</v>
      </c>
      <c r="B7921" s="40"/>
      <c r="C7921" s="40"/>
      <c r="D7921" s="41"/>
      <c r="E7921" s="43">
        <f>C7921</f>
        <v>0</v>
      </c>
      <c r="F7921" s="42"/>
    </row>
    <row r="7922" spans="1:6">
      <c r="A7922" s="39">
        <f>A7921</f>
        <v>46048</v>
      </c>
      <c r="B7922" s="40"/>
      <c r="C7922" s="40"/>
      <c r="D7922" s="41"/>
      <c r="E7922" s="43">
        <f>C7922</f>
        <v>0</v>
      </c>
      <c r="F7922" s="42"/>
    </row>
    <row r="7923" spans="1:6">
      <c r="A7923" s="39">
        <f>A7922</f>
        <v>46048</v>
      </c>
      <c r="B7923" s="40"/>
      <c r="C7923" s="40"/>
      <c r="D7923" s="41"/>
      <c r="E7923" s="43">
        <f>C7923</f>
        <v>0</v>
      </c>
      <c r="F7923" s="42"/>
    </row>
    <row r="7924" spans="1:6">
      <c r="A7924" s="39">
        <f>A7923</f>
        <v>46048</v>
      </c>
      <c r="B7924" s="40"/>
      <c r="C7924" s="40"/>
      <c r="D7924" s="41"/>
      <c r="E7924" s="43">
        <f>C7924</f>
        <v>0</v>
      </c>
      <c r="F7924" s="42"/>
    </row>
    <row r="7925" spans="1:6">
      <c r="A7925" s="39">
        <f>A7924</f>
        <v>46048</v>
      </c>
      <c r="B7925" s="40"/>
      <c r="C7925" s="40"/>
      <c r="D7925" s="41"/>
      <c r="E7925" s="43">
        <f>C7925</f>
        <v>0</v>
      </c>
      <c r="F7925" s="42"/>
    </row>
    <row r="7926" spans="1:6">
      <c r="A7926" s="39">
        <f>A7925</f>
        <v>46048</v>
      </c>
      <c r="B7926" s="40"/>
      <c r="C7926" s="40"/>
      <c r="D7926" s="41"/>
      <c r="E7926" s="43">
        <f>C7926</f>
        <v>0</v>
      </c>
      <c r="F7926" s="42"/>
    </row>
    <row r="7927" spans="1:6">
      <c r="A7927" s="39">
        <f>A7926</f>
        <v>46048</v>
      </c>
      <c r="B7927" s="40"/>
      <c r="C7927" s="40"/>
      <c r="D7927" s="41"/>
      <c r="E7927" s="43">
        <f>C7927</f>
        <v>0</v>
      </c>
      <c r="F7927" s="42"/>
    </row>
    <row r="7928" spans="1:6">
      <c r="A7928" s="39">
        <f>A7927</f>
        <v>46048</v>
      </c>
      <c r="B7928" s="40"/>
      <c r="C7928" s="40"/>
      <c r="D7928" s="41"/>
      <c r="E7928" s="43">
        <f>C7928</f>
        <v>0</v>
      </c>
      <c r="F7928" s="42"/>
    </row>
    <row r="7929" spans="1:6">
      <c r="A7929" s="39">
        <f>A7928</f>
        <v>46048</v>
      </c>
      <c r="B7929" s="40"/>
      <c r="C7929" s="40"/>
      <c r="D7929" s="41"/>
      <c r="E7929" s="43">
        <f>C7929</f>
        <v>0</v>
      </c>
      <c r="F7929" s="42"/>
    </row>
    <row r="7930" spans="1:6">
      <c r="A7930" s="39">
        <f>A7929</f>
        <v>46048</v>
      </c>
      <c r="B7930" s="40"/>
      <c r="C7930" s="40"/>
      <c r="D7930" s="41"/>
      <c r="E7930" s="43">
        <f>C7930</f>
        <v>0</v>
      </c>
      <c r="F7930" s="42"/>
    </row>
    <row r="7931" spans="1:6">
      <c r="A7931" s="39">
        <f>A7930</f>
        <v>46048</v>
      </c>
      <c r="B7931" s="40"/>
      <c r="C7931" s="40"/>
      <c r="D7931" s="41"/>
      <c r="E7931" s="43">
        <f>C7931</f>
        <v>0</v>
      </c>
      <c r="F7931" s="42"/>
    </row>
    <row r="7932" spans="1:6">
      <c r="A7932" s="39">
        <f>A7931</f>
        <v>46048</v>
      </c>
      <c r="B7932" s="40"/>
      <c r="C7932" s="40"/>
      <c r="D7932" s="41"/>
      <c r="E7932" s="43">
        <f>C7932</f>
        <v>0</v>
      </c>
      <c r="F7932" s="42"/>
    </row>
    <row r="7933" spans="1:6">
      <c r="A7933" s="39">
        <f>A7932</f>
        <v>46048</v>
      </c>
      <c r="B7933" s="40"/>
      <c r="C7933" s="40"/>
      <c r="D7933" s="41"/>
      <c r="E7933" s="43">
        <f>C7933</f>
        <v>0</v>
      </c>
      <c r="F7933" s="42"/>
    </row>
    <row r="7934" spans="1:6">
      <c r="A7934" s="39">
        <f>A7933</f>
        <v>46048</v>
      </c>
      <c r="B7934" s="40"/>
      <c r="C7934" s="40"/>
      <c r="D7934" s="41"/>
      <c r="E7934" s="43">
        <f>C7934</f>
        <v>0</v>
      </c>
      <c r="F7934" s="42"/>
    </row>
    <row r="7935" spans="1:6">
      <c r="A7935" s="39">
        <f>A7934</f>
        <v>46048</v>
      </c>
      <c r="B7935" s="40"/>
      <c r="C7935" s="40"/>
      <c r="D7935" s="41"/>
      <c r="E7935" s="43">
        <f>C7935</f>
        <v>0</v>
      </c>
      <c r="F7935" s="42"/>
    </row>
    <row r="7936" spans="1:6">
      <c r="A7936" s="39">
        <f>A7935</f>
        <v>46048</v>
      </c>
      <c r="B7936" s="40"/>
      <c r="C7936" s="40"/>
      <c r="D7936" s="41"/>
      <c r="E7936" s="43">
        <f>C7936</f>
        <v>0</v>
      </c>
      <c r="F7936" s="42"/>
    </row>
    <row r="7937" spans="1:6">
      <c r="A7937" s="39">
        <f>A7936</f>
        <v>46048</v>
      </c>
      <c r="B7937" s="40"/>
      <c r="C7937" s="40"/>
      <c r="D7937" s="41"/>
      <c r="E7937" s="43">
        <f>C7937</f>
        <v>0</v>
      </c>
      <c r="F7937" s="42"/>
    </row>
    <row r="7938" spans="1:6">
      <c r="A7938" s="39">
        <f>A7937</f>
        <v>46048</v>
      </c>
      <c r="B7938" s="40"/>
      <c r="C7938" s="40"/>
      <c r="D7938" s="41"/>
      <c r="E7938" s="43">
        <f>C7938</f>
        <v>0</v>
      </c>
      <c r="F7938" s="42"/>
    </row>
    <row r="7939" spans="1:6">
      <c r="A7939" s="39">
        <f>A7938</f>
        <v>46048</v>
      </c>
      <c r="B7939" s="40"/>
      <c r="C7939" s="40"/>
      <c r="D7939" s="41"/>
      <c r="E7939" s="43">
        <f>C7939</f>
        <v>0</v>
      </c>
      <c r="F7939" s="42"/>
    </row>
    <row r="7940" spans="1:6">
      <c r="A7940" s="39">
        <f>A7939</f>
        <v>46048</v>
      </c>
      <c r="B7940" s="40"/>
      <c r="C7940" s="40"/>
      <c r="D7940" s="41"/>
      <c r="E7940" s="43">
        <f>C7940</f>
        <v>0</v>
      </c>
      <c r="F7940" s="42"/>
    </row>
    <row r="7941" spans="1:6">
      <c r="A7941" s="39">
        <f>A7940</f>
        <v>46048</v>
      </c>
      <c r="B7941" s="40"/>
      <c r="C7941" s="40"/>
      <c r="D7941" s="41"/>
      <c r="E7941" s="43">
        <f>C7941</f>
        <v>0</v>
      </c>
      <c r="F7941" s="42"/>
    </row>
    <row r="7942" spans="1:6">
      <c r="A7942" s="39">
        <f>A7941</f>
        <v>46048</v>
      </c>
      <c r="B7942" s="40"/>
      <c r="C7942" s="40"/>
      <c r="D7942" s="41"/>
      <c r="E7942" s="43">
        <f>C7942</f>
        <v>0</v>
      </c>
      <c r="F7942" s="42"/>
    </row>
    <row r="7943" spans="1:6">
      <c r="A7943" s="39">
        <f>A7942</f>
        <v>46048</v>
      </c>
      <c r="B7943" s="40"/>
      <c r="C7943" s="40"/>
      <c r="D7943" s="41"/>
      <c r="E7943" s="43">
        <f>C7943</f>
        <v>0</v>
      </c>
      <c r="F7943" s="42"/>
    </row>
    <row r="7944" spans="1:6">
      <c r="A7944" s="39">
        <f>A7943</f>
        <v>46048</v>
      </c>
      <c r="B7944" s="40"/>
      <c r="C7944" s="40"/>
      <c r="D7944" s="41"/>
      <c r="E7944" s="43">
        <f>C7944</f>
        <v>0</v>
      </c>
      <c r="F7944" s="42"/>
    </row>
    <row r="7945" spans="1:6">
      <c r="A7945" s="39">
        <f>A7944</f>
        <v>46048</v>
      </c>
      <c r="B7945" s="40"/>
      <c r="C7945" s="40"/>
      <c r="D7945" s="41"/>
      <c r="E7945" s="43">
        <f>C7945</f>
        <v>0</v>
      </c>
      <c r="F7945" s="42"/>
    </row>
    <row r="7946" spans="1:6">
      <c r="A7946" s="39">
        <f>A7945</f>
        <v>46048</v>
      </c>
      <c r="B7946" s="40"/>
      <c r="C7946" s="40"/>
      <c r="D7946" s="41"/>
      <c r="E7946" s="43">
        <f>C7946</f>
        <v>0</v>
      </c>
      <c r="F7946" s="42"/>
    </row>
    <row r="7947" spans="1:6">
      <c r="A7947" s="39">
        <f>A7946</f>
        <v>46048</v>
      </c>
      <c r="B7947" s="40"/>
      <c r="C7947" s="40"/>
      <c r="D7947" s="41"/>
      <c r="E7947" s="43">
        <f>C7947</f>
        <v>0</v>
      </c>
      <c r="F7947" s="42"/>
    </row>
    <row r="7948" spans="1:6">
      <c r="A7948" s="39">
        <f>A7947</f>
        <v>46048</v>
      </c>
      <c r="B7948" s="40"/>
      <c r="C7948" s="40"/>
      <c r="D7948" s="41"/>
      <c r="E7948" s="43">
        <f>C7948</f>
        <v>0</v>
      </c>
      <c r="F7948" s="42"/>
    </row>
    <row r="7949" spans="1:6">
      <c r="A7949" s="39">
        <f>A7948</f>
        <v>46048</v>
      </c>
      <c r="B7949" s="40"/>
      <c r="C7949" s="40"/>
      <c r="D7949" s="41"/>
      <c r="E7949" s="43">
        <f>C7949</f>
        <v>0</v>
      </c>
      <c r="F7949" s="42"/>
    </row>
    <row r="7950" spans="1:6">
      <c r="A7950" s="39">
        <f>A7949</f>
        <v>46048</v>
      </c>
      <c r="B7950" s="40"/>
      <c r="C7950" s="40"/>
      <c r="D7950" s="41"/>
      <c r="E7950" s="43">
        <f>C7950</f>
        <v>0</v>
      </c>
      <c r="F7950" s="42"/>
    </row>
    <row r="7951" spans="1:6">
      <c r="A7951" s="39">
        <f>A7950</f>
        <v>46048</v>
      </c>
      <c r="B7951" s="40"/>
      <c r="C7951" s="40"/>
      <c r="D7951" s="41"/>
      <c r="E7951" s="43">
        <f>C7951</f>
        <v>0</v>
      </c>
      <c r="F7951" s="42"/>
    </row>
    <row r="7952" spans="1:6">
      <c r="A7952" s="39">
        <f>A7951</f>
        <v>46048</v>
      </c>
      <c r="B7952" s="40"/>
      <c r="C7952" s="40"/>
      <c r="D7952" s="41"/>
      <c r="E7952" s="43">
        <f>C7952</f>
        <v>0</v>
      </c>
      <c r="F7952" s="42"/>
    </row>
    <row r="7953" spans="1:6">
      <c r="A7953" s="39">
        <f>A7952</f>
        <v>46048</v>
      </c>
      <c r="B7953" s="40"/>
      <c r="C7953" s="40"/>
      <c r="D7953" s="41"/>
      <c r="E7953" s="43">
        <f>C7953</f>
        <v>0</v>
      </c>
      <c r="F7953" s="42"/>
    </row>
    <row r="7954" spans="1:6">
      <c r="A7954" s="39">
        <f>A7953</f>
        <v>46048</v>
      </c>
      <c r="B7954" s="40"/>
      <c r="C7954" s="40"/>
      <c r="D7954" s="41"/>
      <c r="E7954" s="43">
        <f>C7954</f>
        <v>0</v>
      </c>
      <c r="F7954" s="42"/>
    </row>
    <row r="7955" spans="1:6">
      <c r="A7955" s="39">
        <f>A7954</f>
        <v>46048</v>
      </c>
      <c r="B7955" s="40"/>
      <c r="C7955" s="40"/>
      <c r="D7955" s="41"/>
      <c r="E7955" s="43">
        <f>C7955</f>
        <v>0</v>
      </c>
      <c r="F7955" s="42"/>
    </row>
    <row r="7956" spans="1:6">
      <c r="A7956" s="39">
        <f>A7955</f>
        <v>46048</v>
      </c>
      <c r="B7956" s="40"/>
      <c r="C7956" s="40"/>
      <c r="D7956" s="41"/>
      <c r="E7956" s="43">
        <f>C7956</f>
        <v>0</v>
      </c>
      <c r="F7956" s="42"/>
    </row>
    <row r="7957" spans="1:6">
      <c r="A7957" s="39">
        <f>A7956</f>
        <v>46048</v>
      </c>
      <c r="B7957" s="40"/>
      <c r="C7957" s="40"/>
      <c r="D7957" s="41"/>
      <c r="E7957" s="43">
        <f>C7957</f>
        <v>0</v>
      </c>
      <c r="F7957" s="42"/>
    </row>
    <row r="7958" spans="1:6">
      <c r="A7958" s="39">
        <f>A7957</f>
        <v>46048</v>
      </c>
      <c r="B7958" s="40"/>
      <c r="C7958" s="40"/>
      <c r="D7958" s="41"/>
      <c r="E7958" s="43">
        <f>C7958</f>
        <v>0</v>
      </c>
      <c r="F7958" s="42"/>
    </row>
    <row r="7959" spans="1:6">
      <c r="A7959" s="39">
        <f>A7958</f>
        <v>46048</v>
      </c>
      <c r="B7959" s="40"/>
      <c r="C7959" s="40"/>
      <c r="D7959" s="41"/>
      <c r="E7959" s="43">
        <f>C7959</f>
        <v>0</v>
      </c>
      <c r="F7959" s="42"/>
    </row>
    <row r="7960" spans="1:6">
      <c r="A7960" s="39">
        <f>A7959</f>
        <v>46048</v>
      </c>
      <c r="B7960" s="40"/>
      <c r="C7960" s="40"/>
      <c r="D7960" s="41"/>
      <c r="E7960" s="43">
        <f>C7960</f>
        <v>0</v>
      </c>
      <c r="F7960" s="42"/>
    </row>
    <row r="7961" spans="1:6">
      <c r="A7961" s="39">
        <f>A7960</f>
        <v>46048</v>
      </c>
      <c r="B7961" s="40"/>
      <c r="C7961" s="40"/>
      <c r="D7961" s="41"/>
      <c r="E7961" s="43">
        <f>C7961</f>
        <v>0</v>
      </c>
      <c r="F7961" s="42"/>
    </row>
    <row r="7962" spans="1:6">
      <c r="A7962" s="39">
        <f>A7961</f>
        <v>46048</v>
      </c>
      <c r="B7962" s="40"/>
      <c r="C7962" s="40"/>
      <c r="D7962" s="41"/>
      <c r="E7962" s="43">
        <f>C7962</f>
        <v>0</v>
      </c>
      <c r="F7962" s="42"/>
    </row>
    <row r="7963" spans="1:6">
      <c r="A7963" s="39">
        <f>A7962</f>
        <v>46048</v>
      </c>
      <c r="B7963" s="40"/>
      <c r="C7963" s="40"/>
      <c r="D7963" s="41"/>
      <c r="E7963" s="43">
        <f>C7963</f>
        <v>0</v>
      </c>
      <c r="F7963" s="42"/>
    </row>
    <row r="7964" spans="1:6">
      <c r="A7964" s="39">
        <f>A7963</f>
        <v>46048</v>
      </c>
      <c r="B7964" s="40"/>
      <c r="C7964" s="40"/>
      <c r="D7964" s="41"/>
      <c r="E7964" s="43">
        <f>C7964</f>
        <v>0</v>
      </c>
      <c r="F7964" s="42"/>
    </row>
    <row r="7965" spans="1:6">
      <c r="A7965" s="39">
        <f>A7964</f>
        <v>46048</v>
      </c>
      <c r="B7965" s="40"/>
      <c r="C7965" s="40"/>
      <c r="D7965" s="41"/>
      <c r="E7965" s="43">
        <f>C7965</f>
        <v>0</v>
      </c>
      <c r="F7965" s="42"/>
    </row>
    <row r="7966" spans="1:6">
      <c r="A7966" s="39">
        <f>A7965</f>
        <v>46048</v>
      </c>
      <c r="B7966" s="40"/>
      <c r="C7966" s="40"/>
      <c r="D7966" s="41"/>
      <c r="E7966" s="43">
        <f>C7966</f>
        <v>0</v>
      </c>
      <c r="F7966" s="42"/>
    </row>
    <row r="7967" spans="1:6">
      <c r="A7967" s="39">
        <f>A7966</f>
        <v>46048</v>
      </c>
      <c r="B7967" s="40"/>
      <c r="C7967" s="40"/>
      <c r="D7967" s="41"/>
      <c r="E7967" s="43">
        <f>C7967</f>
        <v>0</v>
      </c>
      <c r="F7967" s="42"/>
    </row>
    <row r="7968" spans="1:6">
      <c r="A7968" s="39">
        <f>A7967</f>
        <v>46048</v>
      </c>
      <c r="B7968" s="40"/>
      <c r="C7968" s="40"/>
      <c r="D7968" s="41"/>
      <c r="E7968" s="43">
        <f>C7968</f>
        <v>0</v>
      </c>
      <c r="F7968" s="42"/>
    </row>
    <row r="7969" spans="1:6">
      <c r="A7969" s="39">
        <f>A7968</f>
        <v>46048</v>
      </c>
      <c r="B7969" s="40"/>
      <c r="C7969" s="40"/>
      <c r="D7969" s="41"/>
      <c r="E7969" s="43">
        <f>C7969</f>
        <v>0</v>
      </c>
      <c r="F7969" s="42"/>
    </row>
    <row r="7970" spans="1:6">
      <c r="A7970" s="39">
        <f>A7969</f>
        <v>46048</v>
      </c>
      <c r="B7970" s="40"/>
      <c r="C7970" s="40"/>
      <c r="D7970" s="41"/>
      <c r="E7970" s="43">
        <f>C7970</f>
        <v>0</v>
      </c>
      <c r="F7970" s="42"/>
    </row>
    <row r="7971" spans="1:6">
      <c r="A7971" s="39">
        <f>A7970</f>
        <v>46048</v>
      </c>
      <c r="B7971" s="40"/>
      <c r="C7971" s="40"/>
      <c r="D7971" s="41"/>
      <c r="E7971" s="43">
        <f>C7971</f>
        <v>0</v>
      </c>
      <c r="F7971" s="42"/>
    </row>
    <row r="7972" spans="1:6">
      <c r="A7972" s="39">
        <f>A7971</f>
        <v>46048</v>
      </c>
      <c r="B7972" s="40"/>
      <c r="C7972" s="40"/>
      <c r="D7972" s="41"/>
      <c r="E7972" s="43">
        <f>C7972</f>
        <v>0</v>
      </c>
      <c r="F7972" s="42"/>
    </row>
    <row r="7973" spans="1:6">
      <c r="A7973" s="39">
        <f>A7972</f>
        <v>46048</v>
      </c>
      <c r="B7973" s="40"/>
      <c r="C7973" s="40"/>
      <c r="D7973" s="41"/>
      <c r="E7973" s="43">
        <f>C7973</f>
        <v>0</v>
      </c>
      <c r="F7973" s="42"/>
    </row>
    <row r="7974" spans="1:6">
      <c r="A7974" s="39">
        <f>A7973</f>
        <v>46048</v>
      </c>
      <c r="B7974" s="40"/>
      <c r="C7974" s="40"/>
      <c r="D7974" s="41"/>
      <c r="E7974" s="43">
        <f>C7974</f>
        <v>0</v>
      </c>
      <c r="F7974" s="42"/>
    </row>
    <row r="7975" spans="1:6">
      <c r="A7975" s="39">
        <f>A7974</f>
        <v>46048</v>
      </c>
      <c r="B7975" s="40"/>
      <c r="C7975" s="40"/>
      <c r="D7975" s="41"/>
      <c r="E7975" s="43">
        <f>C7975</f>
        <v>0</v>
      </c>
      <c r="F7975" s="42"/>
    </row>
    <row r="7976" spans="1:6">
      <c r="A7976" s="39">
        <f>A7975</f>
        <v>46048</v>
      </c>
      <c r="B7976" s="40"/>
      <c r="C7976" s="40"/>
      <c r="D7976" s="41"/>
      <c r="E7976" s="43">
        <f>C7976</f>
        <v>0</v>
      </c>
      <c r="F7976" s="42"/>
    </row>
    <row r="7977" spans="1:6">
      <c r="A7977" s="39">
        <f>A7976</f>
        <v>46048</v>
      </c>
      <c r="B7977" s="40"/>
      <c r="C7977" s="40"/>
      <c r="D7977" s="41"/>
      <c r="E7977" s="43">
        <f>C7977</f>
        <v>0</v>
      </c>
      <c r="F7977" s="42"/>
    </row>
    <row r="7978" spans="1:6">
      <c r="A7978" s="39">
        <f>A7977</f>
        <v>46048</v>
      </c>
      <c r="B7978" s="40"/>
      <c r="C7978" s="40"/>
      <c r="D7978" s="41"/>
      <c r="E7978" s="43">
        <f>C7978</f>
        <v>0</v>
      </c>
      <c r="F7978" s="42"/>
    </row>
    <row r="7979" spans="1:6">
      <c r="A7979" s="39">
        <f>A7978</f>
        <v>46048</v>
      </c>
      <c r="B7979" s="40"/>
      <c r="C7979" s="40"/>
      <c r="D7979" s="41"/>
      <c r="E7979" s="43">
        <f>C7979</f>
        <v>0</v>
      </c>
      <c r="F7979" s="42"/>
    </row>
    <row r="7980" spans="1:6">
      <c r="A7980" s="39">
        <f>A7979</f>
        <v>46048</v>
      </c>
      <c r="B7980" s="40"/>
      <c r="C7980" s="40"/>
      <c r="D7980" s="41"/>
      <c r="E7980" s="43">
        <f>C7980</f>
        <v>0</v>
      </c>
      <c r="F7980" s="42"/>
    </row>
    <row r="7981" spans="1:6">
      <c r="A7981" s="39">
        <f>A7980</f>
        <v>46048</v>
      </c>
      <c r="B7981" s="40"/>
      <c r="C7981" s="40"/>
      <c r="D7981" s="41"/>
      <c r="E7981" s="43">
        <f>C7981</f>
        <v>0</v>
      </c>
      <c r="F7981" s="42"/>
    </row>
    <row r="7982" spans="1:6">
      <c r="A7982" s="39">
        <f>A7981</f>
        <v>46048</v>
      </c>
      <c r="B7982" s="40"/>
      <c r="C7982" s="40"/>
      <c r="D7982" s="41"/>
      <c r="E7982" s="43">
        <f>C7982</f>
        <v>0</v>
      </c>
      <c r="F7982" s="42"/>
    </row>
    <row r="7983" spans="1:6">
      <c r="A7983" s="39">
        <f>A7982</f>
        <v>46048</v>
      </c>
      <c r="B7983" s="40"/>
      <c r="C7983" s="40"/>
      <c r="D7983" s="41"/>
      <c r="E7983" s="43">
        <f>C7983</f>
        <v>0</v>
      </c>
      <c r="F7983" s="42"/>
    </row>
    <row r="7984" spans="1:6">
      <c r="A7984" s="39">
        <f>A7983</f>
        <v>46048</v>
      </c>
      <c r="B7984" s="40"/>
      <c r="C7984" s="40"/>
      <c r="D7984" s="41"/>
      <c r="E7984" s="43">
        <f>C7984</f>
        <v>0</v>
      </c>
      <c r="F7984" s="42"/>
    </row>
    <row r="7985" spans="1:6">
      <c r="A7985" s="39">
        <f>A7984</f>
        <v>46048</v>
      </c>
      <c r="B7985" s="40"/>
      <c r="C7985" s="40"/>
      <c r="D7985" s="41"/>
      <c r="E7985" s="43">
        <f>C7985</f>
        <v>0</v>
      </c>
      <c r="F7985" s="42"/>
    </row>
    <row r="7986" spans="1:6">
      <c r="A7986" s="39">
        <f>A7985</f>
        <v>46048</v>
      </c>
      <c r="B7986" s="40"/>
      <c r="C7986" s="40"/>
      <c r="D7986" s="41"/>
      <c r="E7986" s="43">
        <f>C7986</f>
        <v>0</v>
      </c>
      <c r="F7986" s="42"/>
    </row>
    <row r="7987" spans="1:6">
      <c r="A7987" s="39">
        <f>A7986</f>
        <v>46048</v>
      </c>
      <c r="B7987" s="40"/>
      <c r="C7987" s="40"/>
      <c r="D7987" s="41"/>
      <c r="E7987" s="43">
        <f>C7987</f>
        <v>0</v>
      </c>
      <c r="F7987" s="42"/>
    </row>
    <row r="7988" spans="1:6">
      <c r="A7988" s="39">
        <f>A7987</f>
        <v>46048</v>
      </c>
      <c r="B7988" s="40"/>
      <c r="C7988" s="40"/>
      <c r="D7988" s="41"/>
      <c r="E7988" s="43">
        <f>C7988</f>
        <v>0</v>
      </c>
      <c r="F7988" s="42"/>
    </row>
    <row r="7989" spans="1:6">
      <c r="A7989" s="39">
        <f>A7988</f>
        <v>46048</v>
      </c>
      <c r="B7989" s="40"/>
      <c r="C7989" s="40"/>
      <c r="D7989" s="41"/>
      <c r="E7989" s="43">
        <f>C7989</f>
        <v>0</v>
      </c>
      <c r="F7989" s="42"/>
    </row>
    <row r="7990" spans="1:6">
      <c r="A7990" s="39">
        <f>A7989</f>
        <v>46048</v>
      </c>
      <c r="B7990" s="40"/>
      <c r="C7990" s="40"/>
      <c r="D7990" s="41"/>
      <c r="E7990" s="43">
        <f>C7990</f>
        <v>0</v>
      </c>
      <c r="F7990" s="42"/>
    </row>
    <row r="7991" spans="1:6">
      <c r="A7991" s="39">
        <f>A7990</f>
        <v>46048</v>
      </c>
      <c r="B7991" s="40"/>
      <c r="C7991" s="40"/>
      <c r="D7991" s="41"/>
      <c r="E7991" s="43">
        <f>C7991</f>
        <v>0</v>
      </c>
      <c r="F7991" s="42"/>
    </row>
    <row r="7992" spans="1:6">
      <c r="A7992" s="39">
        <f>A7991</f>
        <v>46048</v>
      </c>
      <c r="B7992" s="40"/>
      <c r="C7992" s="40"/>
      <c r="D7992" s="41"/>
      <c r="E7992" s="43">
        <f>C7992</f>
        <v>0</v>
      </c>
      <c r="F7992" s="42"/>
    </row>
    <row r="7993" spans="1:6">
      <c r="A7993" s="39">
        <f>A7992</f>
        <v>46048</v>
      </c>
      <c r="B7993" s="40"/>
      <c r="C7993" s="40"/>
      <c r="D7993" s="41"/>
      <c r="E7993" s="43">
        <f>C7993</f>
        <v>0</v>
      </c>
      <c r="F7993" s="42"/>
    </row>
    <row r="7994" spans="1:6">
      <c r="A7994" s="39">
        <f>A7993</f>
        <v>46048</v>
      </c>
      <c r="B7994" s="40"/>
      <c r="C7994" s="40"/>
      <c r="D7994" s="41"/>
      <c r="E7994" s="43">
        <f>C7994</f>
        <v>0</v>
      </c>
      <c r="F7994" s="42"/>
    </row>
    <row r="7995" spans="1:6">
      <c r="A7995" s="39">
        <f>A7994</f>
        <v>46048</v>
      </c>
      <c r="B7995" s="40"/>
      <c r="C7995" s="40"/>
      <c r="D7995" s="41"/>
      <c r="E7995" s="43">
        <f>C7995</f>
        <v>0</v>
      </c>
      <c r="F7995" s="42"/>
    </row>
    <row r="7996" spans="1:6">
      <c r="A7996" s="39">
        <f>A7995</f>
        <v>46048</v>
      </c>
      <c r="B7996" s="40"/>
      <c r="C7996" s="40"/>
      <c r="D7996" s="41"/>
      <c r="E7996" s="43">
        <f>C7996</f>
        <v>0</v>
      </c>
      <c r="F7996" s="42"/>
    </row>
    <row r="7997" spans="1:6">
      <c r="A7997" s="39">
        <f>A7996</f>
        <v>46048</v>
      </c>
      <c r="B7997" s="40"/>
      <c r="C7997" s="40"/>
      <c r="D7997" s="41"/>
      <c r="E7997" s="43">
        <f>C7997</f>
        <v>0</v>
      </c>
      <c r="F7997" s="42"/>
    </row>
    <row r="7998" spans="1:6">
      <c r="A7998" s="39">
        <f>A7997</f>
        <v>46048</v>
      </c>
      <c r="B7998" s="40"/>
      <c r="C7998" s="40"/>
      <c r="D7998" s="41"/>
      <c r="E7998" s="43">
        <f>C7998</f>
        <v>0</v>
      </c>
      <c r="F7998" s="42"/>
    </row>
    <row r="7999" spans="1:6">
      <c r="A7999" s="39">
        <f>A7998</f>
        <v>46048</v>
      </c>
      <c r="B7999" s="40"/>
      <c r="C7999" s="40"/>
      <c r="D7999" s="41"/>
      <c r="E7999" s="43">
        <f>C7999</f>
        <v>0</v>
      </c>
      <c r="F7999" s="42"/>
    </row>
    <row r="8000" spans="1:6">
      <c r="A8000" s="39">
        <f>A7999</f>
        <v>46048</v>
      </c>
      <c r="B8000" s="40"/>
      <c r="C8000" s="40"/>
      <c r="D8000" s="41"/>
      <c r="E8000" s="43">
        <f>C8000</f>
        <v>0</v>
      </c>
      <c r="F8000" s="42"/>
    </row>
    <row r="8001" spans="1:6">
      <c r="A8001" s="39">
        <f>A8000</f>
        <v>46048</v>
      </c>
      <c r="B8001" s="40"/>
      <c r="C8001" s="40"/>
      <c r="D8001" s="41"/>
      <c r="E8001" s="43">
        <f>C8001</f>
        <v>0</v>
      </c>
      <c r="F8001" s="42"/>
    </row>
    <row r="8002" spans="1:6">
      <c r="A8002" s="39">
        <f>A8001</f>
        <v>46048</v>
      </c>
      <c r="B8002" s="40"/>
      <c r="C8002" s="40"/>
      <c r="D8002" s="41"/>
      <c r="E8002" s="43">
        <f>C8002</f>
        <v>0</v>
      </c>
      <c r="F8002" s="42"/>
    </row>
    <row r="8003" spans="1:6">
      <c r="A8003" s="39">
        <f>A8002</f>
        <v>46048</v>
      </c>
      <c r="B8003" s="40"/>
      <c r="C8003" s="40"/>
      <c r="D8003" s="41"/>
      <c r="E8003" s="43">
        <f>C8003</f>
        <v>0</v>
      </c>
      <c r="F8003" s="42"/>
    </row>
    <row r="8004" spans="1:6">
      <c r="A8004" s="39">
        <f>A8003</f>
        <v>46048</v>
      </c>
      <c r="B8004" s="40"/>
      <c r="C8004" s="40"/>
      <c r="D8004" s="41"/>
      <c r="E8004" s="43">
        <f>C8004</f>
        <v>0</v>
      </c>
      <c r="F8004" s="42"/>
    </row>
    <row r="8005" spans="1:6">
      <c r="A8005" s="39">
        <f>A8004</f>
        <v>46048</v>
      </c>
      <c r="B8005" s="40"/>
      <c r="C8005" s="40"/>
      <c r="D8005" s="41"/>
      <c r="E8005" s="43">
        <f>C8005</f>
        <v>0</v>
      </c>
      <c r="F8005" s="42"/>
    </row>
    <row r="8006" spans="1:6">
      <c r="A8006" s="39">
        <f>A8005</f>
        <v>46048</v>
      </c>
      <c r="B8006" s="40"/>
      <c r="C8006" s="40"/>
      <c r="D8006" s="41"/>
      <c r="E8006" s="43">
        <f>C8006</f>
        <v>0</v>
      </c>
      <c r="F8006" s="42"/>
    </row>
    <row r="8007" spans="1:6">
      <c r="A8007" s="39">
        <f>A8006</f>
        <v>46048</v>
      </c>
      <c r="B8007" s="40"/>
      <c r="C8007" s="40"/>
      <c r="D8007" s="41"/>
      <c r="E8007" s="43">
        <f>C8007</f>
        <v>0</v>
      </c>
      <c r="F8007" s="42"/>
    </row>
    <row r="8008" spans="1:6">
      <c r="A8008" s="39">
        <f>A8007</f>
        <v>46048</v>
      </c>
      <c r="B8008" s="40"/>
      <c r="C8008" s="40"/>
      <c r="D8008" s="41"/>
      <c r="E8008" s="43">
        <f>C8008</f>
        <v>0</v>
      </c>
      <c r="F8008" s="42"/>
    </row>
    <row r="8009" spans="1:6">
      <c r="A8009" s="39">
        <f>A8008</f>
        <v>46048</v>
      </c>
      <c r="B8009" s="40"/>
      <c r="C8009" s="40"/>
      <c r="D8009" s="41"/>
      <c r="E8009" s="43">
        <f>C8009</f>
        <v>0</v>
      </c>
      <c r="F8009" s="42"/>
    </row>
    <row r="8010" spans="1:6">
      <c r="A8010" s="39">
        <f>A8009</f>
        <v>46048</v>
      </c>
      <c r="B8010" s="40"/>
      <c r="C8010" s="40"/>
      <c r="D8010" s="41"/>
      <c r="E8010" s="43">
        <f>C8010</f>
        <v>0</v>
      </c>
      <c r="F8010" s="42"/>
    </row>
    <row r="8011" spans="1:6">
      <c r="A8011" s="39">
        <f>A8010</f>
        <v>46048</v>
      </c>
      <c r="B8011" s="40"/>
      <c r="C8011" s="40"/>
      <c r="D8011" s="41"/>
      <c r="E8011" s="43">
        <f>C8011</f>
        <v>0</v>
      </c>
      <c r="F8011" s="42"/>
    </row>
    <row r="8012" spans="1:6">
      <c r="A8012" s="39">
        <f>A8011</f>
        <v>46048</v>
      </c>
      <c r="B8012" s="40"/>
      <c r="C8012" s="40"/>
      <c r="D8012" s="41"/>
      <c r="E8012" s="43">
        <f>C8012</f>
        <v>0</v>
      </c>
      <c r="F8012" s="42"/>
    </row>
    <row r="8013" spans="1:6">
      <c r="A8013" s="39">
        <f>A8012</f>
        <v>46048</v>
      </c>
      <c r="B8013" s="40"/>
      <c r="C8013" s="40"/>
      <c r="D8013" s="41"/>
      <c r="E8013" s="43">
        <f>C8013</f>
        <v>0</v>
      </c>
      <c r="F8013" s="42"/>
    </row>
    <row r="8014" spans="1:6">
      <c r="A8014" s="39">
        <f>A8013</f>
        <v>46048</v>
      </c>
      <c r="B8014" s="40"/>
      <c r="C8014" s="40"/>
      <c r="D8014" s="41"/>
      <c r="E8014" s="43">
        <f>C8014</f>
        <v>0</v>
      </c>
      <c r="F8014" s="42"/>
    </row>
    <row r="8015" spans="1:6">
      <c r="A8015" s="39">
        <f>A8014</f>
        <v>46048</v>
      </c>
      <c r="B8015" s="40"/>
      <c r="C8015" s="40"/>
      <c r="D8015" s="41"/>
      <c r="E8015" s="43">
        <f>C8015</f>
        <v>0</v>
      </c>
      <c r="F8015" s="42"/>
    </row>
    <row r="8016" spans="1:6">
      <c r="A8016" s="39">
        <f>A8015</f>
        <v>46048</v>
      </c>
      <c r="B8016" s="40"/>
      <c r="C8016" s="40"/>
      <c r="D8016" s="41"/>
      <c r="E8016" s="43">
        <f>C8016</f>
        <v>0</v>
      </c>
      <c r="F8016" s="42"/>
    </row>
    <row r="8017" spans="1:6">
      <c r="A8017" s="39">
        <f>A8016</f>
        <v>46048</v>
      </c>
      <c r="B8017" s="40"/>
      <c r="C8017" s="40"/>
      <c r="D8017" s="41"/>
      <c r="E8017" s="43">
        <f>C8017</f>
        <v>0</v>
      </c>
      <c r="F8017" s="42"/>
    </row>
    <row r="8018" spans="1:6">
      <c r="A8018" s="39">
        <f>A8017</f>
        <v>46048</v>
      </c>
      <c r="B8018" s="40"/>
      <c r="C8018" s="40"/>
      <c r="D8018" s="41"/>
      <c r="E8018" s="43">
        <f>C8018</f>
        <v>0</v>
      </c>
      <c r="F8018" s="42"/>
    </row>
    <row r="8019" spans="1:6">
      <c r="A8019" s="39">
        <f>A8018</f>
        <v>46048</v>
      </c>
      <c r="B8019" s="40"/>
      <c r="C8019" s="40"/>
      <c r="D8019" s="41"/>
      <c r="E8019" s="43">
        <f>C8019</f>
        <v>0</v>
      </c>
      <c r="F8019" s="42"/>
    </row>
    <row r="8020" spans="1:6">
      <c r="A8020" s="39">
        <f>A8019</f>
        <v>46048</v>
      </c>
      <c r="B8020" s="40"/>
      <c r="C8020" s="40"/>
      <c r="D8020" s="41"/>
      <c r="E8020" s="43">
        <f>C8020</f>
        <v>0</v>
      </c>
      <c r="F8020" s="42"/>
    </row>
    <row r="8021" spans="1:6">
      <c r="A8021" s="39">
        <f>A8020</f>
        <v>46048</v>
      </c>
      <c r="B8021" s="40"/>
      <c r="C8021" s="40"/>
      <c r="D8021" s="41"/>
      <c r="E8021" s="43">
        <f>C8021</f>
        <v>0</v>
      </c>
      <c r="F8021" s="42"/>
    </row>
    <row r="8022" spans="1:6">
      <c r="A8022" s="39">
        <f>A8021</f>
        <v>46048</v>
      </c>
      <c r="B8022" s="40"/>
      <c r="C8022" s="40"/>
      <c r="D8022" s="41"/>
      <c r="E8022" s="43">
        <f>C8022</f>
        <v>0</v>
      </c>
      <c r="F8022" s="42"/>
    </row>
    <row r="8023" spans="1:6">
      <c r="A8023" s="39">
        <f>A8022</f>
        <v>46048</v>
      </c>
      <c r="B8023" s="40"/>
      <c r="C8023" s="40"/>
      <c r="D8023" s="41"/>
      <c r="E8023" s="43">
        <f>C8023</f>
        <v>0</v>
      </c>
      <c r="F8023" s="42"/>
    </row>
    <row r="8024" spans="1:6">
      <c r="A8024" s="39">
        <f>A8023</f>
        <v>46048</v>
      </c>
      <c r="B8024" s="40"/>
      <c r="C8024" s="40"/>
      <c r="D8024" s="41"/>
      <c r="E8024" s="43">
        <f>C8024</f>
        <v>0</v>
      </c>
      <c r="F8024" s="42"/>
    </row>
    <row r="8025" spans="1:6">
      <c r="A8025" s="39">
        <f>A8024</f>
        <v>46048</v>
      </c>
      <c r="B8025" s="40"/>
      <c r="C8025" s="40"/>
      <c r="D8025" s="41"/>
      <c r="E8025" s="43">
        <f>C8025</f>
        <v>0</v>
      </c>
      <c r="F8025" s="42"/>
    </row>
    <row r="8026" spans="1:6">
      <c r="A8026" s="39">
        <f>A8025</f>
        <v>46048</v>
      </c>
      <c r="B8026" s="40"/>
      <c r="C8026" s="40"/>
      <c r="D8026" s="41"/>
      <c r="E8026" s="43">
        <f>C8026</f>
        <v>0</v>
      </c>
      <c r="F8026" s="42"/>
    </row>
    <row r="8027" spans="1:6">
      <c r="A8027" s="39">
        <f>A8026</f>
        <v>46048</v>
      </c>
      <c r="B8027" s="40"/>
      <c r="C8027" s="40"/>
      <c r="D8027" s="41"/>
      <c r="E8027" s="43">
        <f>C8027</f>
        <v>0</v>
      </c>
      <c r="F8027" s="42"/>
    </row>
    <row r="8028" spans="1:6">
      <c r="A8028" s="39">
        <f>A8027</f>
        <v>46048</v>
      </c>
      <c r="B8028" s="40"/>
      <c r="C8028" s="40"/>
      <c r="D8028" s="41"/>
      <c r="E8028" s="43">
        <f>C8028</f>
        <v>0</v>
      </c>
      <c r="F8028" s="42"/>
    </row>
    <row r="8029" spans="1:6">
      <c r="A8029" s="39">
        <f>A8028</f>
        <v>46048</v>
      </c>
      <c r="B8029" s="40"/>
      <c r="C8029" s="40"/>
      <c r="D8029" s="41"/>
      <c r="E8029" s="43">
        <f>C8029</f>
        <v>0</v>
      </c>
      <c r="F8029" s="42"/>
    </row>
    <row r="8030" spans="1:6">
      <c r="A8030" s="39">
        <f>A8029</f>
        <v>46048</v>
      </c>
      <c r="B8030" s="40"/>
      <c r="C8030" s="40"/>
      <c r="D8030" s="41"/>
      <c r="E8030" s="43">
        <f>C8030</f>
        <v>0</v>
      </c>
      <c r="F8030" s="42"/>
    </row>
    <row r="8031" spans="1:6">
      <c r="A8031" s="39">
        <f>A8030</f>
        <v>46048</v>
      </c>
      <c r="B8031" s="40"/>
      <c r="C8031" s="40"/>
      <c r="D8031" s="41"/>
      <c r="E8031" s="43">
        <f>C8031</f>
        <v>0</v>
      </c>
      <c r="F8031" s="42"/>
    </row>
    <row r="8032" spans="1:6">
      <c r="A8032" s="39">
        <f>A8031</f>
        <v>46048</v>
      </c>
      <c r="B8032" s="40"/>
      <c r="C8032" s="40"/>
      <c r="D8032" s="41"/>
      <c r="E8032" s="43">
        <f>C8032</f>
        <v>0</v>
      </c>
      <c r="F8032" s="42"/>
    </row>
    <row r="8033" spans="1:6">
      <c r="A8033" s="39">
        <f>A8032</f>
        <v>46048</v>
      </c>
      <c r="B8033" s="40"/>
      <c r="C8033" s="40"/>
      <c r="D8033" s="41"/>
      <c r="E8033" s="43">
        <f>C8033</f>
        <v>0</v>
      </c>
      <c r="F8033" s="42"/>
    </row>
    <row r="8034" spans="1:6">
      <c r="A8034" s="39">
        <f>A8033</f>
        <v>46048</v>
      </c>
      <c r="B8034" s="40"/>
      <c r="C8034" s="40"/>
      <c r="D8034" s="41"/>
      <c r="E8034" s="43">
        <f>C8034</f>
        <v>0</v>
      </c>
      <c r="F8034" s="42"/>
    </row>
    <row r="8035" spans="1:6">
      <c r="A8035" s="39">
        <f>A8034</f>
        <v>46048</v>
      </c>
      <c r="B8035" s="40"/>
      <c r="C8035" s="40"/>
      <c r="D8035" s="41"/>
      <c r="E8035" s="43">
        <f>C8035</f>
        <v>0</v>
      </c>
      <c r="F8035" s="42"/>
    </row>
    <row r="8036" spans="1:6">
      <c r="A8036" s="39">
        <f>A8035</f>
        <v>46048</v>
      </c>
      <c r="B8036" s="40"/>
      <c r="C8036" s="40"/>
      <c r="D8036" s="41"/>
      <c r="E8036" s="43">
        <f>C8036</f>
        <v>0</v>
      </c>
      <c r="F8036" s="42"/>
    </row>
    <row r="8037" spans="1:6">
      <c r="A8037" s="39">
        <f>A8036</f>
        <v>46048</v>
      </c>
      <c r="B8037" s="40"/>
      <c r="C8037" s="40"/>
      <c r="D8037" s="41"/>
      <c r="E8037" s="43">
        <f>C8037</f>
        <v>0</v>
      </c>
      <c r="F8037" s="42"/>
    </row>
    <row r="8038" spans="1:6">
      <c r="A8038" s="39">
        <f>A8037</f>
        <v>46048</v>
      </c>
      <c r="B8038" s="40"/>
      <c r="C8038" s="40"/>
      <c r="D8038" s="41"/>
      <c r="E8038" s="43">
        <f>C8038</f>
        <v>0</v>
      </c>
      <c r="F8038" s="42"/>
    </row>
    <row r="8039" spans="1:6">
      <c r="A8039" s="39">
        <f>A8038</f>
        <v>46048</v>
      </c>
      <c r="B8039" s="40"/>
      <c r="C8039" s="40"/>
      <c r="D8039" s="41"/>
      <c r="E8039" s="43">
        <f>C8039</f>
        <v>0</v>
      </c>
      <c r="F8039" s="42"/>
    </row>
    <row r="8040" spans="1:6">
      <c r="A8040" s="39">
        <f>A8039</f>
        <v>46048</v>
      </c>
      <c r="B8040" s="40"/>
      <c r="C8040" s="40"/>
      <c r="D8040" s="41"/>
      <c r="E8040" s="43">
        <f>C8040</f>
        <v>0</v>
      </c>
      <c r="F8040" s="42"/>
    </row>
    <row r="8041" spans="1:6">
      <c r="A8041" s="39">
        <f>A8040</f>
        <v>46048</v>
      </c>
      <c r="B8041" s="40"/>
      <c r="C8041" s="40"/>
      <c r="D8041" s="41"/>
      <c r="E8041" s="43">
        <f>C8041</f>
        <v>0</v>
      </c>
      <c r="F8041" s="42"/>
    </row>
    <row r="8042" spans="1:6">
      <c r="A8042" s="39">
        <f>A8041</f>
        <v>46048</v>
      </c>
      <c r="B8042" s="40"/>
      <c r="C8042" s="40"/>
      <c r="D8042" s="41"/>
      <c r="E8042" s="43">
        <f>C8042</f>
        <v>0</v>
      </c>
      <c r="F8042" s="42"/>
    </row>
    <row r="8043" spans="1:6">
      <c r="A8043" s="39">
        <f>A8042</f>
        <v>46048</v>
      </c>
      <c r="B8043" s="40"/>
      <c r="C8043" s="40"/>
      <c r="D8043" s="41"/>
      <c r="E8043" s="43">
        <f>C8043</f>
        <v>0</v>
      </c>
      <c r="F8043" s="42"/>
    </row>
    <row r="8044" spans="1:6">
      <c r="A8044" s="39">
        <f>A8043</f>
        <v>46048</v>
      </c>
      <c r="B8044" s="40"/>
      <c r="C8044" s="40"/>
      <c r="D8044" s="41"/>
      <c r="E8044" s="43">
        <f>C8044</f>
        <v>0</v>
      </c>
      <c r="F8044" s="42"/>
    </row>
    <row r="8045" spans="1:6">
      <c r="A8045" s="39">
        <f>A8044</f>
        <v>46048</v>
      </c>
      <c r="B8045" s="40"/>
      <c r="C8045" s="40"/>
      <c r="D8045" s="41"/>
      <c r="E8045" s="43">
        <f>C8045</f>
        <v>0</v>
      </c>
      <c r="F8045" s="42"/>
    </row>
    <row r="8046" spans="1:6">
      <c r="A8046" s="39">
        <f>A8045</f>
        <v>46048</v>
      </c>
      <c r="B8046" s="40"/>
      <c r="C8046" s="40"/>
      <c r="D8046" s="41"/>
      <c r="E8046" s="43">
        <f>C8046</f>
        <v>0</v>
      </c>
      <c r="F8046" s="42"/>
    </row>
    <row r="8047" spans="1:6">
      <c r="A8047" s="39">
        <f>A8046</f>
        <v>46048</v>
      </c>
      <c r="B8047" s="40"/>
      <c r="C8047" s="40"/>
      <c r="D8047" s="41"/>
      <c r="E8047" s="43">
        <f>C8047</f>
        <v>0</v>
      </c>
      <c r="F8047" s="42"/>
    </row>
    <row r="8048" spans="1:6">
      <c r="A8048" s="39">
        <f>A8047</f>
        <v>46048</v>
      </c>
      <c r="B8048" s="40"/>
      <c r="C8048" s="40"/>
      <c r="D8048" s="41"/>
      <c r="E8048" s="43">
        <f>C8048</f>
        <v>0</v>
      </c>
      <c r="F8048" s="42"/>
    </row>
    <row r="8049" spans="1:6">
      <c r="A8049" s="39">
        <f>A8048</f>
        <v>46048</v>
      </c>
      <c r="B8049" s="40"/>
      <c r="C8049" s="40"/>
      <c r="D8049" s="41"/>
      <c r="E8049" s="43">
        <f>C8049</f>
        <v>0</v>
      </c>
      <c r="F8049" s="42"/>
    </row>
    <row r="8050" spans="1:6">
      <c r="A8050" s="39">
        <f>A8049</f>
        <v>46048</v>
      </c>
      <c r="B8050" s="40"/>
      <c r="C8050" s="40"/>
      <c r="D8050" s="41"/>
      <c r="E8050" s="43">
        <f>C8050</f>
        <v>0</v>
      </c>
      <c r="F8050" s="42"/>
    </row>
    <row r="8051" spans="1:6">
      <c r="A8051" s="39">
        <f>A8050</f>
        <v>46048</v>
      </c>
      <c r="B8051" s="40"/>
      <c r="C8051" s="40"/>
      <c r="D8051" s="41"/>
      <c r="E8051" s="43">
        <f>C8051</f>
        <v>0</v>
      </c>
      <c r="F8051" s="42"/>
    </row>
    <row r="8052" spans="1:6">
      <c r="A8052" s="39">
        <f>A8051</f>
        <v>46048</v>
      </c>
      <c r="B8052" s="40"/>
      <c r="C8052" s="40"/>
      <c r="D8052" s="41"/>
      <c r="E8052" s="43">
        <f>C8052</f>
        <v>0</v>
      </c>
      <c r="F8052" s="42"/>
    </row>
    <row r="8053" spans="1:6">
      <c r="A8053" s="39">
        <f>A8052</f>
        <v>46048</v>
      </c>
      <c r="B8053" s="40"/>
      <c r="C8053" s="40"/>
      <c r="D8053" s="41"/>
      <c r="E8053" s="43">
        <f>C8053</f>
        <v>0</v>
      </c>
      <c r="F8053" s="42"/>
    </row>
    <row r="8054" spans="1:6">
      <c r="A8054" s="39">
        <f>A8053</f>
        <v>46048</v>
      </c>
      <c r="B8054" s="40"/>
      <c r="C8054" s="40"/>
      <c r="D8054" s="41"/>
      <c r="E8054" s="43">
        <f>C8054</f>
        <v>0</v>
      </c>
      <c r="F8054" s="42"/>
    </row>
    <row r="8055" spans="1:6">
      <c r="A8055" s="39">
        <f>A8054</f>
        <v>46048</v>
      </c>
      <c r="B8055" s="40"/>
      <c r="C8055" s="40"/>
      <c r="D8055" s="41"/>
      <c r="E8055" s="43">
        <f>C8055</f>
        <v>0</v>
      </c>
      <c r="F8055" s="42"/>
    </row>
    <row r="8056" spans="1:6">
      <c r="A8056" s="39">
        <f>A8055</f>
        <v>46048</v>
      </c>
      <c r="B8056" s="40"/>
      <c r="C8056" s="40"/>
      <c r="D8056" s="41"/>
      <c r="E8056" s="43">
        <f>C8056</f>
        <v>0</v>
      </c>
      <c r="F8056" s="42"/>
    </row>
    <row r="8057" spans="1:6">
      <c r="A8057" s="39">
        <f>A8056</f>
        <v>46048</v>
      </c>
      <c r="B8057" s="40"/>
      <c r="C8057" s="40"/>
      <c r="D8057" s="41"/>
      <c r="E8057" s="43">
        <f>C8057</f>
        <v>0</v>
      </c>
      <c r="F8057" s="42"/>
    </row>
    <row r="8058" spans="1:6">
      <c r="A8058" s="39">
        <f>A8057</f>
        <v>46048</v>
      </c>
      <c r="B8058" s="40"/>
      <c r="C8058" s="40"/>
      <c r="D8058" s="41"/>
      <c r="E8058" s="43">
        <f>C8058</f>
        <v>0</v>
      </c>
      <c r="F8058" s="42"/>
    </row>
    <row r="8059" spans="1:6">
      <c r="A8059" s="39">
        <f>A8058</f>
        <v>46048</v>
      </c>
      <c r="B8059" s="40"/>
      <c r="C8059" s="40"/>
      <c r="D8059" s="41"/>
      <c r="E8059" s="43">
        <f>C8059</f>
        <v>0</v>
      </c>
      <c r="F8059" s="42"/>
    </row>
    <row r="8060" spans="1:6">
      <c r="A8060" s="39">
        <f>A8059</f>
        <v>46048</v>
      </c>
      <c r="B8060" s="40"/>
      <c r="C8060" s="40"/>
      <c r="D8060" s="41"/>
      <c r="E8060" s="43">
        <f>C8060</f>
        <v>0</v>
      </c>
      <c r="F8060" s="42"/>
    </row>
    <row r="8061" spans="1:6">
      <c r="A8061" s="39">
        <f>A8060</f>
        <v>46048</v>
      </c>
      <c r="B8061" s="40"/>
      <c r="C8061" s="40"/>
      <c r="D8061" s="41"/>
      <c r="E8061" s="43">
        <f>C8061</f>
        <v>0</v>
      </c>
      <c r="F8061" s="42"/>
    </row>
    <row r="8062" spans="1:6">
      <c r="A8062" s="39">
        <f>A8061</f>
        <v>46048</v>
      </c>
      <c r="B8062" s="40"/>
      <c r="C8062" s="40"/>
      <c r="D8062" s="41"/>
      <c r="E8062" s="43">
        <f>C8062</f>
        <v>0</v>
      </c>
      <c r="F8062" s="42"/>
    </row>
    <row r="8063" spans="1:6">
      <c r="A8063" s="39">
        <f>A8062</f>
        <v>46048</v>
      </c>
      <c r="B8063" s="40"/>
      <c r="C8063" s="40"/>
      <c r="D8063" s="41"/>
      <c r="E8063" s="43">
        <f>C8063</f>
        <v>0</v>
      </c>
      <c r="F8063" s="42"/>
    </row>
    <row r="8064" spans="1:6">
      <c r="A8064" s="39">
        <f>A8063</f>
        <v>46048</v>
      </c>
      <c r="B8064" s="40"/>
      <c r="C8064" s="40"/>
      <c r="D8064" s="41"/>
      <c r="E8064" s="43">
        <f>C8064</f>
        <v>0</v>
      </c>
      <c r="F8064" s="42"/>
    </row>
    <row r="8065" spans="1:6">
      <c r="A8065" s="39">
        <f>A8064</f>
        <v>46048</v>
      </c>
      <c r="B8065" s="40"/>
      <c r="C8065" s="40"/>
      <c r="D8065" s="41"/>
      <c r="E8065" s="43">
        <f>C8065</f>
        <v>0</v>
      </c>
      <c r="F8065" s="42"/>
    </row>
    <row r="8066" spans="1:6">
      <c r="A8066" s="39">
        <f>A8065</f>
        <v>46048</v>
      </c>
      <c r="B8066" s="40"/>
      <c r="C8066" s="40"/>
      <c r="D8066" s="41"/>
      <c r="E8066" s="43">
        <f>C8066</f>
        <v>0</v>
      </c>
      <c r="F8066" s="42"/>
    </row>
    <row r="8067" spans="1:6">
      <c r="A8067" s="39">
        <f>A8066</f>
        <v>46048</v>
      </c>
      <c r="B8067" s="40"/>
      <c r="C8067" s="40"/>
      <c r="D8067" s="41"/>
      <c r="E8067" s="43">
        <f>C8067</f>
        <v>0</v>
      </c>
      <c r="F8067" s="42"/>
    </row>
    <row r="8068" spans="1:6">
      <c r="A8068" s="39">
        <f>A8067</f>
        <v>46048</v>
      </c>
      <c r="B8068" s="40"/>
      <c r="C8068" s="40"/>
      <c r="D8068" s="41"/>
      <c r="E8068" s="43">
        <f>C8068</f>
        <v>0</v>
      </c>
      <c r="F8068" s="42"/>
    </row>
    <row r="8069" spans="1:6">
      <c r="A8069" s="39">
        <f>A8068</f>
        <v>46048</v>
      </c>
      <c r="B8069" s="40"/>
      <c r="C8069" s="40"/>
      <c r="D8069" s="41"/>
      <c r="E8069" s="43">
        <f>C8069</f>
        <v>0</v>
      </c>
      <c r="F8069" s="42"/>
    </row>
    <row r="8070" spans="1:6">
      <c r="A8070" s="39">
        <f>A8069</f>
        <v>46048</v>
      </c>
      <c r="B8070" s="40"/>
      <c r="C8070" s="40"/>
      <c r="D8070" s="41"/>
      <c r="E8070" s="43">
        <f>C8070</f>
        <v>0</v>
      </c>
      <c r="F8070" s="42"/>
    </row>
    <row r="8071" spans="1:6">
      <c r="A8071" s="39">
        <f>A8070</f>
        <v>46048</v>
      </c>
      <c r="B8071" s="40"/>
      <c r="C8071" s="40"/>
      <c r="D8071" s="41"/>
      <c r="E8071" s="43">
        <f>C8071</f>
        <v>0</v>
      </c>
      <c r="F8071" s="42"/>
    </row>
    <row r="8072" spans="1:6">
      <c r="A8072" s="39">
        <f>A8071</f>
        <v>46048</v>
      </c>
      <c r="B8072" s="40"/>
      <c r="C8072" s="40"/>
      <c r="D8072" s="41"/>
      <c r="E8072" s="43">
        <f>C8072</f>
        <v>0</v>
      </c>
      <c r="F8072" s="42"/>
    </row>
    <row r="8073" spans="1:6">
      <c r="A8073" s="39">
        <f>A8072</f>
        <v>46048</v>
      </c>
      <c r="B8073" s="40"/>
      <c r="C8073" s="40"/>
      <c r="D8073" s="41"/>
      <c r="E8073" s="43">
        <f>C8073</f>
        <v>0</v>
      </c>
      <c r="F8073" s="42"/>
    </row>
    <row r="8074" spans="1:6">
      <c r="A8074" s="39">
        <f>A8073</f>
        <v>46048</v>
      </c>
      <c r="B8074" s="40"/>
      <c r="C8074" s="40"/>
      <c r="D8074" s="41"/>
      <c r="E8074" s="43">
        <f>C8074</f>
        <v>0</v>
      </c>
      <c r="F8074" s="42"/>
    </row>
    <row r="8075" spans="1:6">
      <c r="A8075" s="39">
        <f>A8074</f>
        <v>46048</v>
      </c>
      <c r="B8075" s="40"/>
      <c r="C8075" s="40"/>
      <c r="D8075" s="41"/>
      <c r="E8075" s="43">
        <f>C8075</f>
        <v>0</v>
      </c>
      <c r="F8075" s="42"/>
    </row>
    <row r="8076" spans="1:6">
      <c r="A8076" s="39">
        <f>A8075</f>
        <v>46048</v>
      </c>
      <c r="B8076" s="40"/>
      <c r="C8076" s="40"/>
      <c r="D8076" s="41"/>
      <c r="E8076" s="43">
        <f>C8076</f>
        <v>0</v>
      </c>
      <c r="F8076" s="42"/>
    </row>
    <row r="8077" spans="1:6">
      <c r="A8077" s="39">
        <f>A8076</f>
        <v>46048</v>
      </c>
      <c r="B8077" s="40"/>
      <c r="C8077" s="40"/>
      <c r="D8077" s="41"/>
      <c r="E8077" s="43">
        <f>C8077</f>
        <v>0</v>
      </c>
      <c r="F8077" s="42"/>
    </row>
    <row r="8078" spans="1:6">
      <c r="A8078" s="39">
        <f>A8077</f>
        <v>46048</v>
      </c>
      <c r="B8078" s="40"/>
      <c r="C8078" s="40"/>
      <c r="D8078" s="41"/>
      <c r="E8078" s="43">
        <f>C8078</f>
        <v>0</v>
      </c>
      <c r="F8078" s="42"/>
    </row>
    <row r="8079" spans="1:6">
      <c r="A8079" s="39">
        <f>A8078</f>
        <v>46048</v>
      </c>
      <c r="B8079" s="40"/>
      <c r="C8079" s="40"/>
      <c r="D8079" s="41"/>
      <c r="E8079" s="43">
        <f>C8079</f>
        <v>0</v>
      </c>
      <c r="F8079" s="42"/>
    </row>
    <row r="8080" spans="1:6">
      <c r="A8080" s="39">
        <f>A8079</f>
        <v>46048</v>
      </c>
      <c r="B8080" s="40"/>
      <c r="C8080" s="40"/>
      <c r="D8080" s="41"/>
      <c r="E8080" s="43">
        <f>C8080</f>
        <v>0</v>
      </c>
      <c r="F8080" s="42"/>
    </row>
    <row r="8081" spans="1:6">
      <c r="A8081" s="39">
        <f>A8080</f>
        <v>46048</v>
      </c>
      <c r="B8081" s="40"/>
      <c r="C8081" s="40"/>
      <c r="D8081" s="41"/>
      <c r="E8081" s="43">
        <f>C8081</f>
        <v>0</v>
      </c>
      <c r="F8081" s="42"/>
    </row>
    <row r="8082" spans="1:6">
      <c r="A8082" s="39">
        <f>A8081</f>
        <v>46048</v>
      </c>
      <c r="B8082" s="40"/>
      <c r="C8082" s="40"/>
      <c r="D8082" s="41"/>
      <c r="E8082" s="43">
        <f>C8082</f>
        <v>0</v>
      </c>
      <c r="F8082" s="42"/>
    </row>
    <row r="8083" spans="1:6">
      <c r="A8083" s="39">
        <f>A8082</f>
        <v>46048</v>
      </c>
      <c r="B8083" s="40"/>
      <c r="C8083" s="40"/>
      <c r="D8083" s="41"/>
      <c r="E8083" s="43">
        <f>C8083</f>
        <v>0</v>
      </c>
      <c r="F8083" s="42"/>
    </row>
    <row r="8084" spans="1:6">
      <c r="A8084" s="39">
        <f>A8083</f>
        <v>46048</v>
      </c>
      <c r="B8084" s="40"/>
      <c r="C8084" s="40"/>
      <c r="D8084" s="41"/>
      <c r="E8084" s="43">
        <f>C8084</f>
        <v>0</v>
      </c>
      <c r="F8084" s="42"/>
    </row>
    <row r="8085" spans="1:6">
      <c r="A8085" s="39">
        <f>A8084</f>
        <v>46048</v>
      </c>
      <c r="B8085" s="40"/>
      <c r="C8085" s="40"/>
      <c r="D8085" s="41"/>
      <c r="E8085" s="43">
        <f>C8085</f>
        <v>0</v>
      </c>
      <c r="F8085" s="42"/>
    </row>
    <row r="8086" spans="1:6">
      <c r="A8086" s="39">
        <f>A8085</f>
        <v>46048</v>
      </c>
      <c r="B8086" s="40"/>
      <c r="C8086" s="40"/>
      <c r="D8086" s="41"/>
      <c r="E8086" s="43">
        <f>C8086</f>
        <v>0</v>
      </c>
      <c r="F8086" s="42"/>
    </row>
    <row r="8087" spans="1:6">
      <c r="A8087" s="39">
        <f>A8086</f>
        <v>46048</v>
      </c>
      <c r="B8087" s="40"/>
      <c r="C8087" s="40"/>
      <c r="D8087" s="41"/>
      <c r="E8087" s="43">
        <f>C8087</f>
        <v>0</v>
      </c>
      <c r="F8087" s="42"/>
    </row>
    <row r="8088" spans="1:6">
      <c r="A8088" s="39">
        <f>A8087</f>
        <v>46048</v>
      </c>
      <c r="B8088" s="40"/>
      <c r="C8088" s="40"/>
      <c r="D8088" s="41"/>
      <c r="E8088" s="43">
        <f>C8088</f>
        <v>0</v>
      </c>
      <c r="F8088" s="42"/>
    </row>
    <row r="8089" spans="1:6">
      <c r="A8089" s="39">
        <f>A8088</f>
        <v>46048</v>
      </c>
      <c r="B8089" s="40"/>
      <c r="C8089" s="40"/>
      <c r="D8089" s="41"/>
      <c r="E8089" s="43">
        <f>C8089</f>
        <v>0</v>
      </c>
      <c r="F8089" s="42"/>
    </row>
    <row r="8090" spans="1:6">
      <c r="A8090" s="39">
        <f>A8089</f>
        <v>46048</v>
      </c>
      <c r="B8090" s="40"/>
      <c r="C8090" s="40"/>
      <c r="D8090" s="41"/>
      <c r="E8090" s="43">
        <f>C8090</f>
        <v>0</v>
      </c>
      <c r="F8090" s="42"/>
    </row>
    <row r="8091" spans="1:6">
      <c r="A8091" s="39">
        <f>A8090</f>
        <v>46048</v>
      </c>
      <c r="B8091" s="40"/>
      <c r="C8091" s="40"/>
      <c r="D8091" s="41"/>
      <c r="E8091" s="43">
        <f>C8091</f>
        <v>0</v>
      </c>
      <c r="F8091" s="42"/>
    </row>
    <row r="8092" spans="1:6">
      <c r="A8092" s="39">
        <f>A8091</f>
        <v>46048</v>
      </c>
      <c r="B8092" s="40"/>
      <c r="C8092" s="40"/>
      <c r="D8092" s="41"/>
      <c r="E8092" s="43">
        <f>C8092</f>
        <v>0</v>
      </c>
      <c r="F8092" s="42"/>
    </row>
    <row r="8093" spans="1:6">
      <c r="A8093" s="39">
        <f>A8092</f>
        <v>46048</v>
      </c>
      <c r="B8093" s="40"/>
      <c r="C8093" s="40"/>
      <c r="D8093" s="41"/>
      <c r="E8093" s="43">
        <f>C8093</f>
        <v>0</v>
      </c>
      <c r="F8093" s="42"/>
    </row>
    <row r="8094" spans="1:6">
      <c r="A8094" s="39">
        <f>A8093</f>
        <v>46048</v>
      </c>
      <c r="B8094" s="40"/>
      <c r="C8094" s="40"/>
      <c r="D8094" s="41"/>
      <c r="E8094" s="43">
        <f>C8094</f>
        <v>0</v>
      </c>
      <c r="F8094" s="42"/>
    </row>
    <row r="8095" spans="1:6">
      <c r="A8095" s="39">
        <f>A8094</f>
        <v>46048</v>
      </c>
      <c r="B8095" s="40"/>
      <c r="C8095" s="40"/>
      <c r="D8095" s="41"/>
      <c r="E8095" s="43">
        <f>C8095</f>
        <v>0</v>
      </c>
      <c r="F8095" s="42"/>
    </row>
    <row r="8096" spans="1:6">
      <c r="A8096" s="39">
        <f>A8095</f>
        <v>46048</v>
      </c>
      <c r="B8096" s="40"/>
      <c r="C8096" s="40"/>
      <c r="D8096" s="41"/>
      <c r="E8096" s="43">
        <f>C8096</f>
        <v>0</v>
      </c>
      <c r="F8096" s="42"/>
    </row>
    <row r="8097" spans="1:6">
      <c r="A8097" s="39">
        <f>A8096</f>
        <v>46048</v>
      </c>
      <c r="B8097" s="40"/>
      <c r="C8097" s="40"/>
      <c r="D8097" s="41"/>
      <c r="E8097" s="43">
        <f>C8097</f>
        <v>0</v>
      </c>
      <c r="F8097" s="42"/>
    </row>
    <row r="8098" spans="1:6">
      <c r="A8098" s="39">
        <f>A8097</f>
        <v>46048</v>
      </c>
      <c r="B8098" s="40"/>
      <c r="C8098" s="40"/>
      <c r="D8098" s="41"/>
      <c r="E8098" s="43">
        <f>C8098</f>
        <v>0</v>
      </c>
      <c r="F8098" s="42"/>
    </row>
    <row r="8099" spans="1:6">
      <c r="A8099" s="39">
        <f>A8098</f>
        <v>46048</v>
      </c>
      <c r="B8099" s="40"/>
      <c r="C8099" s="40"/>
      <c r="D8099" s="41"/>
      <c r="E8099" s="43">
        <f>C8099</f>
        <v>0</v>
      </c>
      <c r="F8099" s="42"/>
    </row>
    <row r="8100" spans="1:6">
      <c r="A8100" s="39">
        <f>A8099</f>
        <v>46048</v>
      </c>
      <c r="B8100" s="40"/>
      <c r="C8100" s="40"/>
      <c r="D8100" s="41"/>
      <c r="E8100" s="43">
        <f>C8100</f>
        <v>0</v>
      </c>
      <c r="F8100" s="42"/>
    </row>
    <row r="8101" spans="1:6">
      <c r="A8101" s="39">
        <f>A8100</f>
        <v>46048</v>
      </c>
      <c r="B8101" s="40"/>
      <c r="C8101" s="40"/>
      <c r="D8101" s="41"/>
      <c r="E8101" s="43">
        <f>C8101</f>
        <v>0</v>
      </c>
      <c r="F8101" s="42"/>
    </row>
    <row r="8102" spans="1:6">
      <c r="A8102" s="39">
        <f>A8101</f>
        <v>46048</v>
      </c>
      <c r="B8102" s="40"/>
      <c r="C8102" s="40"/>
      <c r="D8102" s="41"/>
      <c r="E8102" s="43">
        <f>C8102</f>
        <v>0</v>
      </c>
      <c r="F8102" s="42"/>
    </row>
    <row r="8103" spans="1:6">
      <c r="A8103" s="39">
        <f>A8102</f>
        <v>46048</v>
      </c>
      <c r="B8103" s="40"/>
      <c r="C8103" s="40"/>
      <c r="D8103" s="41"/>
      <c r="E8103" s="43">
        <f>C8103</f>
        <v>0</v>
      </c>
      <c r="F8103" s="42"/>
    </row>
    <row r="8104" spans="1:6">
      <c r="A8104" s="39">
        <f>A8103</f>
        <v>46048</v>
      </c>
      <c r="B8104" s="40"/>
      <c r="C8104" s="40"/>
      <c r="D8104" s="41"/>
      <c r="E8104" s="43">
        <f>C8104</f>
        <v>0</v>
      </c>
      <c r="F8104" s="42"/>
    </row>
    <row r="8105" spans="1:6">
      <c r="A8105" s="39">
        <f>A8104</f>
        <v>46048</v>
      </c>
      <c r="B8105" s="40"/>
      <c r="C8105" s="40"/>
      <c r="D8105" s="41"/>
      <c r="E8105" s="43">
        <f>C8105</f>
        <v>0</v>
      </c>
      <c r="F8105" s="42"/>
    </row>
    <row r="8106" spans="1:6">
      <c r="A8106" s="39">
        <f>A8105</f>
        <v>46048</v>
      </c>
      <c r="B8106" s="40"/>
      <c r="C8106" s="40"/>
      <c r="D8106" s="41"/>
      <c r="E8106" s="43">
        <f>C8106</f>
        <v>0</v>
      </c>
      <c r="F8106" s="42"/>
    </row>
    <row r="8107" spans="1:6">
      <c r="A8107" s="39">
        <f>A8106</f>
        <v>46048</v>
      </c>
      <c r="B8107" s="40"/>
      <c r="C8107" s="40"/>
      <c r="D8107" s="41"/>
      <c r="E8107" s="43">
        <f>C8107</f>
        <v>0</v>
      </c>
      <c r="F8107" s="42"/>
    </row>
    <row r="8108" spans="1:6">
      <c r="A8108" s="39">
        <f>A8107</f>
        <v>46048</v>
      </c>
      <c r="B8108" s="40"/>
      <c r="C8108" s="40"/>
      <c r="D8108" s="41"/>
      <c r="E8108" s="43">
        <f>C8108</f>
        <v>0</v>
      </c>
      <c r="F8108" s="42"/>
    </row>
    <row r="8109" spans="1:6">
      <c r="A8109" s="39">
        <f>A8108</f>
        <v>46048</v>
      </c>
      <c r="B8109" s="40"/>
      <c r="C8109" s="40"/>
      <c r="D8109" s="41"/>
      <c r="E8109" s="43">
        <f>C8109</f>
        <v>0</v>
      </c>
      <c r="F8109" s="42"/>
    </row>
    <row r="8110" spans="1:6">
      <c r="A8110" s="39">
        <f>A8109</f>
        <v>46048</v>
      </c>
      <c r="B8110" s="40"/>
      <c r="C8110" s="40"/>
      <c r="D8110" s="41"/>
      <c r="E8110" s="43">
        <f>C8110</f>
        <v>0</v>
      </c>
      <c r="F8110" s="42"/>
    </row>
    <row r="8111" spans="1:6">
      <c r="A8111" s="39">
        <f>A8110</f>
        <v>46048</v>
      </c>
      <c r="B8111" s="40"/>
      <c r="C8111" s="40"/>
      <c r="D8111" s="41"/>
      <c r="E8111" s="43">
        <f>C8111</f>
        <v>0</v>
      </c>
      <c r="F8111" s="42"/>
    </row>
    <row r="8112" spans="1:6">
      <c r="A8112" s="39">
        <f>A8111</f>
        <v>46048</v>
      </c>
      <c r="B8112" s="40"/>
      <c r="C8112" s="40"/>
      <c r="D8112" s="41"/>
      <c r="E8112" s="43">
        <f>C8112</f>
        <v>0</v>
      </c>
      <c r="F8112" s="42"/>
    </row>
    <row r="8113" spans="1:6">
      <c r="A8113" s="39">
        <f>A8112</f>
        <v>46048</v>
      </c>
      <c r="B8113" s="40"/>
      <c r="C8113" s="40"/>
      <c r="D8113" s="41"/>
      <c r="E8113" s="43">
        <f>C8113</f>
        <v>0</v>
      </c>
      <c r="F8113" s="42"/>
    </row>
    <row r="8114" spans="1:6">
      <c r="A8114" s="39">
        <f>A8113</f>
        <v>46048</v>
      </c>
      <c r="B8114" s="40"/>
      <c r="C8114" s="40"/>
      <c r="D8114" s="41"/>
      <c r="E8114" s="43">
        <f>C8114</f>
        <v>0</v>
      </c>
      <c r="F8114" s="42"/>
    </row>
    <row r="8115" spans="1:6">
      <c r="A8115" s="39">
        <f>A8114</f>
        <v>46048</v>
      </c>
      <c r="B8115" s="40"/>
      <c r="C8115" s="40"/>
      <c r="D8115" s="41"/>
      <c r="E8115" s="43">
        <f>C8115</f>
        <v>0</v>
      </c>
      <c r="F8115" s="42"/>
    </row>
    <row r="8116" spans="1:6">
      <c r="A8116" s="39">
        <f>A8115</f>
        <v>46048</v>
      </c>
      <c r="B8116" s="40"/>
      <c r="C8116" s="40"/>
      <c r="D8116" s="41"/>
      <c r="E8116" s="43">
        <f>C8116</f>
        <v>0</v>
      </c>
      <c r="F8116" s="42"/>
    </row>
    <row r="8117" spans="1:6">
      <c r="A8117" s="39">
        <f>A8116</f>
        <v>46048</v>
      </c>
      <c r="B8117" s="40"/>
      <c r="C8117" s="40"/>
      <c r="D8117" s="41"/>
      <c r="E8117" s="43">
        <f>C8117</f>
        <v>0</v>
      </c>
      <c r="F8117" s="42"/>
    </row>
    <row r="8118" spans="1:6">
      <c r="A8118" s="39">
        <f>A8117</f>
        <v>46048</v>
      </c>
      <c r="B8118" s="40"/>
      <c r="C8118" s="40"/>
      <c r="D8118" s="41"/>
      <c r="E8118" s="43">
        <f>C8118</f>
        <v>0</v>
      </c>
      <c r="F8118" s="42"/>
    </row>
    <row r="8119" spans="1:6">
      <c r="A8119" s="39">
        <f>A8118</f>
        <v>46048</v>
      </c>
      <c r="B8119" s="40"/>
      <c r="C8119" s="40"/>
      <c r="D8119" s="41"/>
      <c r="E8119" s="43">
        <f>C8119</f>
        <v>0</v>
      </c>
      <c r="F8119" s="42"/>
    </row>
    <row r="8120" spans="1:6">
      <c r="A8120" s="39">
        <f>A8119</f>
        <v>46048</v>
      </c>
      <c r="B8120" s="40"/>
      <c r="C8120" s="40"/>
      <c r="D8120" s="41"/>
      <c r="E8120" s="43">
        <f>C8120</f>
        <v>0</v>
      </c>
      <c r="F8120" s="42"/>
    </row>
    <row r="8121" spans="1:6">
      <c r="A8121" s="39">
        <f>A8120</f>
        <v>46048</v>
      </c>
      <c r="B8121" s="40"/>
      <c r="C8121" s="40"/>
      <c r="D8121" s="41"/>
      <c r="E8121" s="43">
        <f>C8121</f>
        <v>0</v>
      </c>
      <c r="F8121" s="42"/>
    </row>
    <row r="8122" spans="1:6">
      <c r="A8122" s="39">
        <f>A8121</f>
        <v>46048</v>
      </c>
      <c r="B8122" s="40"/>
      <c r="C8122" s="40"/>
      <c r="D8122" s="41"/>
      <c r="E8122" s="43">
        <f>C8122</f>
        <v>0</v>
      </c>
      <c r="F8122" s="42"/>
    </row>
    <row r="8123" spans="1:6">
      <c r="A8123" s="39">
        <f>A8122</f>
        <v>46048</v>
      </c>
      <c r="B8123" s="40"/>
      <c r="C8123" s="40"/>
      <c r="D8123" s="41"/>
      <c r="E8123" s="43">
        <f>C8123</f>
        <v>0</v>
      </c>
      <c r="F8123" s="42"/>
    </row>
    <row r="8124" spans="1:6">
      <c r="A8124" s="39">
        <f>A8123</f>
        <v>46048</v>
      </c>
      <c r="B8124" s="40"/>
      <c r="C8124" s="40"/>
      <c r="D8124" s="41"/>
      <c r="E8124" s="43">
        <f>C8124</f>
        <v>0</v>
      </c>
      <c r="F8124" s="42"/>
    </row>
    <row r="8125" spans="1:6">
      <c r="A8125" s="39">
        <f>A8124</f>
        <v>46048</v>
      </c>
      <c r="B8125" s="40"/>
      <c r="C8125" s="40"/>
      <c r="D8125" s="41"/>
      <c r="E8125" s="43">
        <f>C8125</f>
        <v>0</v>
      </c>
      <c r="F8125" s="42"/>
    </row>
    <row r="8126" spans="1:6">
      <c r="A8126" s="39">
        <f>A8125</f>
        <v>46048</v>
      </c>
      <c r="B8126" s="40"/>
      <c r="C8126" s="40"/>
      <c r="D8126" s="41"/>
      <c r="E8126" s="43">
        <f>C8126</f>
        <v>0</v>
      </c>
      <c r="F8126" s="42"/>
    </row>
    <row r="8127" spans="1:6">
      <c r="A8127" s="39">
        <f>A8126</f>
        <v>46048</v>
      </c>
      <c r="B8127" s="40"/>
      <c r="C8127" s="40"/>
      <c r="D8127" s="41"/>
      <c r="E8127" s="43">
        <f>C8127</f>
        <v>0</v>
      </c>
      <c r="F8127" s="42"/>
    </row>
    <row r="8128" spans="1:6">
      <c r="A8128" s="39">
        <f>A8127</f>
        <v>46048</v>
      </c>
      <c r="B8128" s="40"/>
      <c r="C8128" s="40"/>
      <c r="D8128" s="41"/>
      <c r="E8128" s="43">
        <f>C8128</f>
        <v>0</v>
      </c>
      <c r="F8128" s="42"/>
    </row>
    <row r="8129" spans="1:6">
      <c r="A8129" s="39">
        <f>A8128</f>
        <v>46048</v>
      </c>
      <c r="B8129" s="40"/>
      <c r="C8129" s="40"/>
      <c r="D8129" s="41"/>
      <c r="E8129" s="43">
        <f>C8129</f>
        <v>0</v>
      </c>
      <c r="F8129" s="42"/>
    </row>
    <row r="8130" spans="1:6">
      <c r="A8130" s="39">
        <f>A8129</f>
        <v>46048</v>
      </c>
      <c r="B8130" s="40"/>
      <c r="C8130" s="40"/>
      <c r="D8130" s="41"/>
      <c r="E8130" s="43">
        <f>C8130</f>
        <v>0</v>
      </c>
      <c r="F8130" s="42"/>
    </row>
    <row r="8131" spans="1:6">
      <c r="A8131" s="39">
        <f>A8130</f>
        <v>46048</v>
      </c>
      <c r="B8131" s="40"/>
      <c r="C8131" s="40"/>
      <c r="D8131" s="41"/>
      <c r="E8131" s="43">
        <f>C8131</f>
        <v>0</v>
      </c>
      <c r="F8131" s="42"/>
    </row>
    <row r="8132" spans="1:6">
      <c r="A8132" s="39">
        <f>A8131</f>
        <v>46048</v>
      </c>
      <c r="B8132" s="40"/>
      <c r="C8132" s="40"/>
      <c r="D8132" s="41"/>
      <c r="E8132" s="43">
        <f>C8132</f>
        <v>0</v>
      </c>
      <c r="F8132" s="42"/>
    </row>
    <row r="8133" spans="1:6">
      <c r="A8133" s="39">
        <f>A8132</f>
        <v>46048</v>
      </c>
      <c r="B8133" s="40"/>
      <c r="C8133" s="40"/>
      <c r="D8133" s="41"/>
      <c r="E8133" s="43">
        <f>C8133</f>
        <v>0</v>
      </c>
      <c r="F8133" s="42"/>
    </row>
    <row r="8134" spans="1:6">
      <c r="A8134" s="39">
        <f>A8133</f>
        <v>46048</v>
      </c>
      <c r="B8134" s="40"/>
      <c r="C8134" s="40"/>
      <c r="D8134" s="41"/>
      <c r="E8134" s="43">
        <f>C8134</f>
        <v>0</v>
      </c>
      <c r="F8134" s="42"/>
    </row>
    <row r="8135" spans="1:6">
      <c r="A8135" s="39">
        <f>A8134</f>
        <v>46048</v>
      </c>
      <c r="B8135" s="40"/>
      <c r="C8135" s="40"/>
      <c r="D8135" s="41"/>
      <c r="E8135" s="43">
        <f>C8135</f>
        <v>0</v>
      </c>
      <c r="F8135" s="42"/>
    </row>
    <row r="8136" spans="1:6">
      <c r="A8136" s="39">
        <f>A8135</f>
        <v>46048</v>
      </c>
      <c r="B8136" s="40"/>
      <c r="C8136" s="40"/>
      <c r="D8136" s="41"/>
      <c r="E8136" s="43">
        <f>C8136</f>
        <v>0</v>
      </c>
      <c r="F8136" s="42"/>
    </row>
    <row r="8137" spans="1:6">
      <c r="A8137" s="39">
        <f>A8136</f>
        <v>46048</v>
      </c>
      <c r="B8137" s="40"/>
      <c r="C8137" s="40"/>
      <c r="D8137" s="41"/>
      <c r="E8137" s="43">
        <f>C8137</f>
        <v>0</v>
      </c>
      <c r="F8137" s="42"/>
    </row>
    <row r="8138" spans="1:6">
      <c r="A8138" s="39">
        <f>A8137</f>
        <v>46048</v>
      </c>
      <c r="B8138" s="40"/>
      <c r="C8138" s="40"/>
      <c r="D8138" s="41"/>
      <c r="E8138" s="43">
        <f>C8138</f>
        <v>0</v>
      </c>
      <c r="F8138" s="42"/>
    </row>
    <row r="8139" spans="1:6">
      <c r="A8139" s="39">
        <f>A8138</f>
        <v>46048</v>
      </c>
      <c r="B8139" s="40"/>
      <c r="C8139" s="40"/>
      <c r="D8139" s="41"/>
      <c r="E8139" s="43">
        <f>C8139</f>
        <v>0</v>
      </c>
      <c r="F8139" s="42"/>
    </row>
    <row r="8140" spans="1:6">
      <c r="A8140" s="39">
        <f>A8139</f>
        <v>46048</v>
      </c>
      <c r="B8140" s="40"/>
      <c r="C8140" s="40"/>
      <c r="D8140" s="41"/>
      <c r="E8140" s="43">
        <f>C8140</f>
        <v>0</v>
      </c>
      <c r="F8140" s="42"/>
    </row>
    <row r="8141" spans="1:6">
      <c r="A8141" s="39">
        <f>A8140</f>
        <v>46048</v>
      </c>
      <c r="B8141" s="40"/>
      <c r="C8141" s="40"/>
      <c r="D8141" s="41"/>
      <c r="E8141" s="43">
        <f>C8141</f>
        <v>0</v>
      </c>
      <c r="F8141" s="42"/>
    </row>
    <row r="8142" spans="1:6">
      <c r="A8142" s="39">
        <f>A8141</f>
        <v>46048</v>
      </c>
      <c r="B8142" s="40"/>
      <c r="C8142" s="40"/>
      <c r="D8142" s="41"/>
      <c r="E8142" s="43">
        <f>C8142</f>
        <v>0</v>
      </c>
      <c r="F8142" s="42"/>
    </row>
    <row r="8143" spans="1:6">
      <c r="A8143" s="39">
        <f>A8142</f>
        <v>46048</v>
      </c>
      <c r="B8143" s="40"/>
      <c r="C8143" s="40"/>
      <c r="D8143" s="41"/>
      <c r="E8143" s="43">
        <f>C8143</f>
        <v>0</v>
      </c>
      <c r="F8143" s="42"/>
    </row>
    <row r="8144" spans="1:6">
      <c r="A8144" s="39">
        <f>A8143</f>
        <v>46048</v>
      </c>
      <c r="B8144" s="40"/>
      <c r="C8144" s="40"/>
      <c r="D8144" s="41"/>
      <c r="E8144" s="43">
        <f>C8144</f>
        <v>0</v>
      </c>
      <c r="F8144" s="42"/>
    </row>
    <row r="8145" spans="1:6">
      <c r="A8145" s="39">
        <f>A8144</f>
        <v>46048</v>
      </c>
      <c r="B8145" s="40"/>
      <c r="C8145" s="40"/>
      <c r="D8145" s="41"/>
      <c r="E8145" s="43">
        <f>C8145</f>
        <v>0</v>
      </c>
      <c r="F8145" s="42"/>
    </row>
    <row r="8146" spans="1:6">
      <c r="A8146" s="39">
        <f>A8145</f>
        <v>46048</v>
      </c>
      <c r="B8146" s="40"/>
      <c r="C8146" s="40"/>
      <c r="D8146" s="41"/>
      <c r="E8146" s="43">
        <f>C8146</f>
        <v>0</v>
      </c>
      <c r="F8146" s="42"/>
    </row>
    <row r="8147" spans="1:6">
      <c r="A8147" s="39">
        <f>A8146</f>
        <v>46048</v>
      </c>
      <c r="B8147" s="40"/>
      <c r="C8147" s="40"/>
      <c r="D8147" s="41"/>
      <c r="E8147" s="43">
        <f>C8147</f>
        <v>0</v>
      </c>
      <c r="F8147" s="42"/>
    </row>
    <row r="8148" spans="1:6">
      <c r="A8148" s="39">
        <f>A8147</f>
        <v>46048</v>
      </c>
      <c r="B8148" s="40"/>
      <c r="C8148" s="40"/>
      <c r="D8148" s="41"/>
      <c r="E8148" s="43">
        <f>C8148</f>
        <v>0</v>
      </c>
      <c r="F8148" s="42"/>
    </row>
    <row r="8149" spans="1:6">
      <c r="A8149" s="39">
        <f>A8148</f>
        <v>46048</v>
      </c>
      <c r="B8149" s="40"/>
      <c r="C8149" s="40"/>
      <c r="D8149" s="41"/>
      <c r="E8149" s="43">
        <f>C8149</f>
        <v>0</v>
      </c>
      <c r="F8149" s="42"/>
    </row>
    <row r="8150" spans="1:6">
      <c r="A8150" s="39">
        <f>A8149</f>
        <v>46048</v>
      </c>
      <c r="B8150" s="40"/>
      <c r="C8150" s="40"/>
      <c r="D8150" s="41"/>
      <c r="E8150" s="43">
        <f>C8150</f>
        <v>0</v>
      </c>
      <c r="F8150" s="42"/>
    </row>
    <row r="8151" spans="1:6">
      <c r="A8151" s="39">
        <f>A8150</f>
        <v>46048</v>
      </c>
      <c r="B8151" s="40"/>
      <c r="C8151" s="40"/>
      <c r="D8151" s="41"/>
      <c r="E8151" s="43">
        <f>C8151</f>
        <v>0</v>
      </c>
      <c r="F8151" s="42"/>
    </row>
    <row r="8152" spans="1:6">
      <c r="A8152" s="39">
        <f>A8151</f>
        <v>46048</v>
      </c>
      <c r="B8152" s="40"/>
      <c r="C8152" s="40"/>
      <c r="D8152" s="41"/>
      <c r="E8152" s="43">
        <f>C8152</f>
        <v>0</v>
      </c>
      <c r="F8152" s="42"/>
    </row>
    <row r="8153" spans="1:6">
      <c r="A8153" s="39">
        <f>A8152</f>
        <v>46048</v>
      </c>
      <c r="B8153" s="40"/>
      <c r="C8153" s="40"/>
      <c r="D8153" s="41"/>
      <c r="E8153" s="43">
        <f>C8153</f>
        <v>0</v>
      </c>
      <c r="F8153" s="42"/>
    </row>
    <row r="8154" spans="1:6">
      <c r="A8154" s="39">
        <f>A8153</f>
        <v>46048</v>
      </c>
      <c r="B8154" s="40"/>
      <c r="C8154" s="40"/>
      <c r="D8154" s="41"/>
      <c r="E8154" s="43">
        <f>C8154</f>
        <v>0</v>
      </c>
      <c r="F8154" s="42"/>
    </row>
    <row r="8155" spans="1:6">
      <c r="A8155" s="39">
        <f>A8154</f>
        <v>46048</v>
      </c>
      <c r="B8155" s="40"/>
      <c r="C8155" s="40"/>
      <c r="D8155" s="41"/>
      <c r="E8155" s="43">
        <f>C8155</f>
        <v>0</v>
      </c>
      <c r="F8155" s="42"/>
    </row>
    <row r="8156" spans="1:6">
      <c r="A8156" s="39">
        <f>A8155</f>
        <v>46048</v>
      </c>
      <c r="B8156" s="40"/>
      <c r="C8156" s="40"/>
      <c r="D8156" s="41"/>
      <c r="E8156" s="43">
        <f>C8156</f>
        <v>0</v>
      </c>
      <c r="F8156" s="42"/>
    </row>
    <row r="8157" spans="1:6">
      <c r="A8157" s="39">
        <f>A8156</f>
        <v>46048</v>
      </c>
      <c r="B8157" s="40"/>
      <c r="C8157" s="40"/>
      <c r="D8157" s="41"/>
      <c r="E8157" s="43">
        <f>C8157</f>
        <v>0</v>
      </c>
      <c r="F8157" s="42"/>
    </row>
    <row r="8158" spans="1:6">
      <c r="A8158" s="39">
        <f>A8157</f>
        <v>46048</v>
      </c>
      <c r="B8158" s="40"/>
      <c r="C8158" s="40"/>
      <c r="D8158" s="41"/>
      <c r="E8158" s="43">
        <f>C8158</f>
        <v>0</v>
      </c>
      <c r="F8158" s="42"/>
    </row>
    <row r="8159" spans="1:6">
      <c r="A8159" s="39">
        <f>A8158</f>
        <v>46048</v>
      </c>
      <c r="B8159" s="40"/>
      <c r="C8159" s="40"/>
      <c r="D8159" s="41"/>
      <c r="E8159" s="43">
        <f>C8159</f>
        <v>0</v>
      </c>
      <c r="F8159" s="42"/>
    </row>
    <row r="8160" spans="1:6">
      <c r="A8160" s="39">
        <f>A8159</f>
        <v>46048</v>
      </c>
      <c r="B8160" s="40"/>
      <c r="C8160" s="40"/>
      <c r="D8160" s="41"/>
      <c r="E8160" s="43">
        <f>C8160</f>
        <v>0</v>
      </c>
      <c r="F8160" s="42"/>
    </row>
    <row r="8161" spans="1:6">
      <c r="A8161" s="39">
        <f>A8160</f>
        <v>46048</v>
      </c>
      <c r="B8161" s="40"/>
      <c r="C8161" s="40"/>
      <c r="D8161" s="41"/>
      <c r="E8161" s="43">
        <f>C8161</f>
        <v>0</v>
      </c>
      <c r="F8161" s="42"/>
    </row>
    <row r="8162" spans="1:6">
      <c r="A8162" s="39">
        <f>A8161</f>
        <v>46048</v>
      </c>
      <c r="B8162" s="40"/>
      <c r="C8162" s="40"/>
      <c r="D8162" s="41"/>
      <c r="E8162" s="43">
        <f>C8162</f>
        <v>0</v>
      </c>
      <c r="F8162" s="42"/>
    </row>
    <row r="8163" spans="1:6">
      <c r="A8163" s="39">
        <f>A8162</f>
        <v>46048</v>
      </c>
      <c r="B8163" s="40"/>
      <c r="C8163" s="40"/>
      <c r="D8163" s="41"/>
      <c r="E8163" s="43">
        <f>C8163</f>
        <v>0</v>
      </c>
      <c r="F8163" s="42"/>
    </row>
    <row r="8164" spans="1:6">
      <c r="A8164" s="39">
        <f>A8163</f>
        <v>46048</v>
      </c>
      <c r="B8164" s="40"/>
      <c r="C8164" s="40"/>
      <c r="D8164" s="41"/>
      <c r="E8164" s="43">
        <f>C8164</f>
        <v>0</v>
      </c>
      <c r="F8164" s="42"/>
    </row>
    <row r="8165" spans="1:6">
      <c r="A8165" s="39">
        <f>A8164</f>
        <v>46048</v>
      </c>
      <c r="B8165" s="40"/>
      <c r="C8165" s="40"/>
      <c r="D8165" s="41"/>
      <c r="E8165" s="43">
        <f>C8165</f>
        <v>0</v>
      </c>
      <c r="F8165" s="42"/>
    </row>
    <row r="8166" spans="1:6">
      <c r="A8166" s="39">
        <f>A8165</f>
        <v>46048</v>
      </c>
      <c r="B8166" s="40"/>
      <c r="C8166" s="40"/>
      <c r="D8166" s="41"/>
      <c r="E8166" s="43">
        <f>C8166</f>
        <v>0</v>
      </c>
      <c r="F8166" s="42"/>
    </row>
    <row r="8167" spans="1:6">
      <c r="A8167" s="39">
        <f>A8166</f>
        <v>46048</v>
      </c>
      <c r="B8167" s="40"/>
      <c r="C8167" s="40"/>
      <c r="D8167" s="41"/>
      <c r="E8167" s="43">
        <f>C8167</f>
        <v>0</v>
      </c>
      <c r="F8167" s="42"/>
    </row>
    <row r="8168" spans="1:6">
      <c r="A8168" s="39">
        <f>A8167</f>
        <v>46048</v>
      </c>
      <c r="B8168" s="40"/>
      <c r="C8168" s="40"/>
      <c r="D8168" s="41"/>
      <c r="E8168" s="43">
        <f>C8168</f>
        <v>0</v>
      </c>
      <c r="F8168" s="42"/>
    </row>
    <row r="8169" spans="1:6">
      <c r="A8169" s="39">
        <f>A8168</f>
        <v>46048</v>
      </c>
      <c r="B8169" s="40"/>
      <c r="C8169" s="40"/>
      <c r="D8169" s="41"/>
      <c r="E8169" s="43">
        <f>C8169</f>
        <v>0</v>
      </c>
      <c r="F8169" s="42"/>
    </row>
    <row r="8170" spans="1:6">
      <c r="A8170" s="39">
        <f>A8169</f>
        <v>46048</v>
      </c>
      <c r="B8170" s="40"/>
      <c r="C8170" s="40"/>
      <c r="D8170" s="41"/>
      <c r="E8170" s="43">
        <f>C8170</f>
        <v>0</v>
      </c>
      <c r="F8170" s="42"/>
    </row>
    <row r="8171" spans="1:6">
      <c r="A8171" s="39">
        <f>A8170</f>
        <v>46048</v>
      </c>
      <c r="B8171" s="40"/>
      <c r="C8171" s="40"/>
      <c r="D8171" s="41"/>
      <c r="E8171" s="43">
        <f>C8171</f>
        <v>0</v>
      </c>
      <c r="F8171" s="42"/>
    </row>
    <row r="8172" spans="1:6">
      <c r="A8172" s="39">
        <f>A8171</f>
        <v>46048</v>
      </c>
      <c r="B8172" s="40"/>
      <c r="C8172" s="40"/>
      <c r="D8172" s="41"/>
      <c r="E8172" s="43">
        <f>C8172</f>
        <v>0</v>
      </c>
      <c r="F8172" s="42"/>
    </row>
    <row r="8173" spans="1:6">
      <c r="A8173" s="39">
        <f>A8172</f>
        <v>46048</v>
      </c>
      <c r="B8173" s="40"/>
      <c r="C8173" s="40"/>
      <c r="D8173" s="41"/>
      <c r="E8173" s="43">
        <f>C8173</f>
        <v>0</v>
      </c>
      <c r="F8173" s="42"/>
    </row>
    <row r="8174" spans="1:6">
      <c r="A8174" s="39">
        <f>A8173</f>
        <v>46048</v>
      </c>
      <c r="B8174" s="40"/>
      <c r="C8174" s="40"/>
      <c r="D8174" s="41"/>
      <c r="E8174" s="43">
        <f>C8174</f>
        <v>0</v>
      </c>
      <c r="F8174" s="42"/>
    </row>
    <row r="8175" spans="1:6">
      <c r="A8175" s="39">
        <f>A8174</f>
        <v>46048</v>
      </c>
      <c r="B8175" s="40"/>
      <c r="C8175" s="40"/>
      <c r="D8175" s="41"/>
      <c r="E8175" s="43">
        <f>C8175</f>
        <v>0</v>
      </c>
      <c r="F8175" s="42"/>
    </row>
    <row r="8176" spans="1:6">
      <c r="A8176" s="39">
        <f>A8175</f>
        <v>46048</v>
      </c>
      <c r="B8176" s="40"/>
      <c r="C8176" s="40"/>
      <c r="D8176" s="41"/>
      <c r="E8176" s="43">
        <f>C8176</f>
        <v>0</v>
      </c>
      <c r="F8176" s="42"/>
    </row>
    <row r="8177" spans="1:6">
      <c r="A8177" s="39">
        <f>A8176</f>
        <v>46048</v>
      </c>
      <c r="B8177" s="40"/>
      <c r="C8177" s="40"/>
      <c r="D8177" s="41"/>
      <c r="E8177" s="43">
        <f>C8177</f>
        <v>0</v>
      </c>
      <c r="F8177" s="42"/>
    </row>
    <row r="8178" spans="1:6">
      <c r="A8178" s="39">
        <f>A8177</f>
        <v>46048</v>
      </c>
      <c r="B8178" s="40"/>
      <c r="C8178" s="40"/>
      <c r="D8178" s="41"/>
      <c r="E8178" s="43">
        <f>C8178</f>
        <v>0</v>
      </c>
      <c r="F8178" s="42"/>
    </row>
    <row r="8179" spans="1:6">
      <c r="A8179" s="39">
        <f>A8178</f>
        <v>46048</v>
      </c>
      <c r="B8179" s="40"/>
      <c r="C8179" s="40"/>
      <c r="D8179" s="41"/>
      <c r="E8179" s="43">
        <f>C8179</f>
        <v>0</v>
      </c>
      <c r="F8179" s="42"/>
    </row>
    <row r="8180" spans="1:6">
      <c r="A8180" s="39">
        <f>A8179</f>
        <v>46048</v>
      </c>
      <c r="B8180" s="40"/>
      <c r="C8180" s="40"/>
      <c r="D8180" s="41"/>
      <c r="E8180" s="43">
        <f>C8180</f>
        <v>0</v>
      </c>
      <c r="F8180" s="42"/>
    </row>
    <row r="8181" spans="1:6">
      <c r="A8181" s="39">
        <f>A8180</f>
        <v>46048</v>
      </c>
      <c r="B8181" s="40"/>
      <c r="C8181" s="40"/>
      <c r="D8181" s="41"/>
      <c r="E8181" s="43">
        <f>C8181</f>
        <v>0</v>
      </c>
      <c r="F8181" s="42"/>
    </row>
    <row r="8182" spans="1:6">
      <c r="A8182" s="39">
        <f>A8181</f>
        <v>46048</v>
      </c>
      <c r="B8182" s="40"/>
      <c r="C8182" s="40"/>
      <c r="D8182" s="41"/>
      <c r="E8182" s="43">
        <f>C8182</f>
        <v>0</v>
      </c>
      <c r="F8182" s="42"/>
    </row>
    <row r="8183" spans="1:6">
      <c r="A8183" s="39">
        <f>A8182</f>
        <v>46048</v>
      </c>
      <c r="B8183" s="40"/>
      <c r="C8183" s="40"/>
      <c r="D8183" s="41"/>
      <c r="E8183" s="43">
        <f>C8183</f>
        <v>0</v>
      </c>
      <c r="F8183" s="42"/>
    </row>
    <row r="8184" spans="1:6">
      <c r="A8184" s="39">
        <f>A8183</f>
        <v>46048</v>
      </c>
      <c r="B8184" s="40"/>
      <c r="C8184" s="40"/>
      <c r="D8184" s="41"/>
      <c r="E8184" s="43">
        <f>C8184</f>
        <v>0</v>
      </c>
      <c r="F8184" s="42"/>
    </row>
    <row r="8185" spans="1:6">
      <c r="A8185" s="39">
        <f>A8184</f>
        <v>46048</v>
      </c>
      <c r="B8185" s="40"/>
      <c r="C8185" s="40"/>
      <c r="D8185" s="41"/>
      <c r="E8185" s="43">
        <f>C8185</f>
        <v>0</v>
      </c>
      <c r="F8185" s="42"/>
    </row>
    <row r="8186" spans="1:6">
      <c r="A8186" s="39">
        <f>A8185</f>
        <v>46048</v>
      </c>
      <c r="B8186" s="40"/>
      <c r="C8186" s="40"/>
      <c r="D8186" s="41"/>
      <c r="E8186" s="43">
        <f>C8186</f>
        <v>0</v>
      </c>
      <c r="F8186" s="42"/>
    </row>
    <row r="8187" spans="1:6">
      <c r="A8187" s="39">
        <f>A8186</f>
        <v>46048</v>
      </c>
      <c r="B8187" s="40"/>
      <c r="C8187" s="40"/>
      <c r="D8187" s="41"/>
      <c r="E8187" s="43">
        <f>C8187</f>
        <v>0</v>
      </c>
      <c r="F8187" s="42"/>
    </row>
    <row r="8188" spans="1:6">
      <c r="A8188" s="39">
        <f>A8187</f>
        <v>46048</v>
      </c>
      <c r="B8188" s="40"/>
      <c r="C8188" s="40"/>
      <c r="D8188" s="41"/>
      <c r="E8188" s="43">
        <f>C8188</f>
        <v>0</v>
      </c>
      <c r="F8188" s="42"/>
    </row>
    <row r="8189" spans="1:6">
      <c r="A8189" s="39">
        <f>A8188</f>
        <v>46048</v>
      </c>
      <c r="B8189" s="40"/>
      <c r="C8189" s="40"/>
      <c r="D8189" s="41"/>
      <c r="E8189" s="43">
        <f>C8189</f>
        <v>0</v>
      </c>
      <c r="F8189" s="42"/>
    </row>
    <row r="8190" spans="1:6">
      <c r="A8190" s="39">
        <f>A8189</f>
        <v>46048</v>
      </c>
      <c r="B8190" s="40"/>
      <c r="C8190" s="40"/>
      <c r="D8190" s="41"/>
      <c r="E8190" s="43">
        <f>C8190</f>
        <v>0</v>
      </c>
      <c r="F8190" s="42"/>
    </row>
    <row r="8191" spans="1:6">
      <c r="A8191" s="39">
        <f>A8190</f>
        <v>46048</v>
      </c>
      <c r="B8191" s="40"/>
      <c r="C8191" s="40"/>
      <c r="D8191" s="41"/>
      <c r="E8191" s="43">
        <f>C8191</f>
        <v>0</v>
      </c>
      <c r="F8191" s="42"/>
    </row>
    <row r="8192" spans="1:6">
      <c r="A8192" s="39">
        <f>A8191</f>
        <v>46048</v>
      </c>
      <c r="B8192" s="40"/>
      <c r="C8192" s="40"/>
      <c r="D8192" s="41"/>
      <c r="E8192" s="43">
        <f>C8192</f>
        <v>0</v>
      </c>
      <c r="F8192" s="42"/>
    </row>
    <row r="8193" spans="1:6">
      <c r="A8193" s="39">
        <f>A8192</f>
        <v>46048</v>
      </c>
      <c r="B8193" s="40"/>
      <c r="C8193" s="40"/>
      <c r="D8193" s="41"/>
      <c r="E8193" s="43">
        <f>C8193</f>
        <v>0</v>
      </c>
      <c r="F8193" s="42"/>
    </row>
    <row r="8194" spans="1:6">
      <c r="A8194" s="39">
        <f>A8193</f>
        <v>46048</v>
      </c>
      <c r="B8194" s="40"/>
      <c r="C8194" s="40"/>
      <c r="D8194" s="41"/>
      <c r="E8194" s="43">
        <f>C8194</f>
        <v>0</v>
      </c>
      <c r="F8194" s="42"/>
    </row>
    <row r="8195" spans="1:6">
      <c r="A8195" s="39">
        <f>A8194</f>
        <v>46048</v>
      </c>
      <c r="B8195" s="40"/>
      <c r="C8195" s="40"/>
      <c r="D8195" s="41"/>
      <c r="E8195" s="43">
        <f>C8195</f>
        <v>0</v>
      </c>
      <c r="F8195" s="42"/>
    </row>
    <row r="8196" spans="1:6">
      <c r="A8196" s="39">
        <f>A8195</f>
        <v>46048</v>
      </c>
      <c r="B8196" s="40"/>
      <c r="C8196" s="40"/>
      <c r="D8196" s="41"/>
      <c r="E8196" s="43">
        <f>C8196</f>
        <v>0</v>
      </c>
      <c r="F8196" s="42"/>
    </row>
    <row r="8197" spans="1:6">
      <c r="A8197" s="39">
        <f>A8196</f>
        <v>46048</v>
      </c>
      <c r="B8197" s="40"/>
      <c r="C8197" s="40"/>
      <c r="D8197" s="41"/>
      <c r="E8197" s="43">
        <f>C8197</f>
        <v>0</v>
      </c>
      <c r="F8197" s="42"/>
    </row>
    <row r="8198" spans="1:6">
      <c r="A8198" s="39">
        <f>A8197</f>
        <v>46048</v>
      </c>
      <c r="B8198" s="40"/>
      <c r="C8198" s="40"/>
      <c r="D8198" s="41"/>
      <c r="E8198" s="43">
        <f>C8198</f>
        <v>0</v>
      </c>
      <c r="F8198" s="42"/>
    </row>
    <row r="8199" spans="1:6">
      <c r="A8199" s="39">
        <f>A8198</f>
        <v>46048</v>
      </c>
      <c r="B8199" s="40"/>
      <c r="C8199" s="40"/>
      <c r="D8199" s="41"/>
      <c r="E8199" s="43">
        <f>C8199</f>
        <v>0</v>
      </c>
      <c r="F8199" s="42"/>
    </row>
    <row r="8200" spans="1:6">
      <c r="A8200" s="39">
        <f>A8199</f>
        <v>46048</v>
      </c>
      <c r="B8200" s="40"/>
      <c r="C8200" s="40"/>
      <c r="D8200" s="41"/>
      <c r="E8200" s="43">
        <f>C8200</f>
        <v>0</v>
      </c>
      <c r="F8200" s="42"/>
    </row>
    <row r="8201" spans="1:6">
      <c r="A8201" s="39">
        <f>A8200</f>
        <v>46048</v>
      </c>
      <c r="B8201" s="40"/>
      <c r="C8201" s="40"/>
      <c r="D8201" s="41"/>
      <c r="E8201" s="43">
        <f>C8201</f>
        <v>0</v>
      </c>
      <c r="F8201" s="42"/>
    </row>
    <row r="8202" spans="1:6">
      <c r="A8202" s="39">
        <f>A8201</f>
        <v>46048</v>
      </c>
      <c r="B8202" s="40"/>
      <c r="C8202" s="40"/>
      <c r="D8202" s="41"/>
      <c r="E8202" s="43">
        <f>C8202</f>
        <v>0</v>
      </c>
      <c r="F8202" s="42"/>
    </row>
    <row r="8203" spans="1:6">
      <c r="A8203" s="39">
        <f>A8202</f>
        <v>46048</v>
      </c>
      <c r="B8203" s="40"/>
      <c r="C8203" s="40"/>
      <c r="D8203" s="41"/>
      <c r="E8203" s="43">
        <f>C8203</f>
        <v>0</v>
      </c>
      <c r="F8203" s="42"/>
    </row>
    <row r="8204" spans="1:6">
      <c r="A8204" s="39">
        <f>A8203</f>
        <v>46048</v>
      </c>
      <c r="B8204" s="40"/>
      <c r="C8204" s="40"/>
      <c r="D8204" s="41"/>
      <c r="E8204" s="43">
        <f>C8204</f>
        <v>0</v>
      </c>
      <c r="F8204" s="42"/>
    </row>
    <row r="8205" spans="1:6">
      <c r="A8205" s="39">
        <f>A8204</f>
        <v>46048</v>
      </c>
      <c r="B8205" s="40"/>
      <c r="C8205" s="40"/>
      <c r="D8205" s="41"/>
      <c r="E8205" s="43">
        <f>C8205</f>
        <v>0</v>
      </c>
      <c r="F8205" s="42"/>
    </row>
    <row r="8206" spans="1:6">
      <c r="A8206" s="39">
        <f>A8205</f>
        <v>46048</v>
      </c>
      <c r="B8206" s="40"/>
      <c r="C8206" s="40"/>
      <c r="D8206" s="41"/>
      <c r="E8206" s="43">
        <f>C8206</f>
        <v>0</v>
      </c>
      <c r="F8206" s="42"/>
    </row>
    <row r="8207" spans="1:6">
      <c r="A8207" s="39">
        <f>A8206</f>
        <v>46048</v>
      </c>
      <c r="B8207" s="40"/>
      <c r="C8207" s="40"/>
      <c r="D8207" s="41"/>
      <c r="E8207" s="43">
        <f>C8207</f>
        <v>0</v>
      </c>
      <c r="F8207" s="42"/>
    </row>
    <row r="8208" spans="1:6">
      <c r="A8208" s="39">
        <f>A8207</f>
        <v>46048</v>
      </c>
      <c r="B8208" s="40"/>
      <c r="C8208" s="40"/>
      <c r="D8208" s="41"/>
      <c r="E8208" s="43">
        <f>C8208</f>
        <v>0</v>
      </c>
      <c r="F8208" s="42"/>
    </row>
    <row r="8209" spans="1:6">
      <c r="A8209" s="39">
        <f>A8208</f>
        <v>46048</v>
      </c>
      <c r="B8209" s="40"/>
      <c r="C8209" s="40"/>
      <c r="D8209" s="41"/>
      <c r="E8209" s="43">
        <f>C8209</f>
        <v>0</v>
      </c>
      <c r="F8209" s="42"/>
    </row>
    <row r="8210" spans="1:6">
      <c r="A8210" s="39">
        <f>A8209</f>
        <v>46048</v>
      </c>
      <c r="B8210" s="40"/>
      <c r="C8210" s="40"/>
      <c r="D8210" s="41"/>
      <c r="E8210" s="43">
        <f>C8210</f>
        <v>0</v>
      </c>
      <c r="F8210" s="42"/>
    </row>
    <row r="8211" spans="1:6">
      <c r="A8211" s="39">
        <f>A8210</f>
        <v>46048</v>
      </c>
      <c r="B8211" s="40"/>
      <c r="C8211" s="40"/>
      <c r="D8211" s="41"/>
      <c r="E8211" s="43">
        <f>C8211</f>
        <v>0</v>
      </c>
      <c r="F8211" s="42"/>
    </row>
    <row r="8212" spans="1:6">
      <c r="A8212" s="39">
        <f>A8211</f>
        <v>46048</v>
      </c>
      <c r="B8212" s="40"/>
      <c r="C8212" s="40"/>
      <c r="D8212" s="41"/>
      <c r="E8212" s="43">
        <f>C8212</f>
        <v>0</v>
      </c>
      <c r="F8212" s="42"/>
    </row>
    <row r="8213" spans="1:6">
      <c r="A8213" s="39">
        <f>A8212</f>
        <v>46048</v>
      </c>
      <c r="B8213" s="40"/>
      <c r="C8213" s="40"/>
      <c r="D8213" s="41"/>
      <c r="E8213" s="43">
        <f>C8213</f>
        <v>0</v>
      </c>
      <c r="F8213" s="42"/>
    </row>
    <row r="8214" spans="1:6">
      <c r="A8214" s="39">
        <f>A8213</f>
        <v>46048</v>
      </c>
      <c r="B8214" s="40"/>
      <c r="C8214" s="40"/>
      <c r="D8214" s="41"/>
      <c r="E8214" s="43">
        <f>C8214</f>
        <v>0</v>
      </c>
      <c r="F8214" s="42"/>
    </row>
    <row r="8215" spans="1:6">
      <c r="A8215" s="39">
        <f>A8214</f>
        <v>46048</v>
      </c>
      <c r="B8215" s="40"/>
      <c r="C8215" s="40"/>
      <c r="D8215" s="41"/>
      <c r="E8215" s="43">
        <f>C8215</f>
        <v>0</v>
      </c>
      <c r="F8215" s="42"/>
    </row>
    <row r="8216" spans="1:6">
      <c r="A8216" s="39">
        <f>A8215</f>
        <v>46048</v>
      </c>
      <c r="B8216" s="40"/>
      <c r="C8216" s="40"/>
      <c r="D8216" s="41"/>
      <c r="E8216" s="43">
        <f>C8216</f>
        <v>0</v>
      </c>
      <c r="F8216" s="42"/>
    </row>
    <row r="8217" spans="1:6">
      <c r="A8217" s="39">
        <f>A8216</f>
        <v>46048</v>
      </c>
      <c r="B8217" s="40"/>
      <c r="C8217" s="40"/>
      <c r="D8217" s="41"/>
      <c r="E8217" s="43">
        <f>C8217</f>
        <v>0</v>
      </c>
      <c r="F8217" s="42"/>
    </row>
    <row r="8218" spans="1:6">
      <c r="A8218" s="39">
        <f>A8217</f>
        <v>46048</v>
      </c>
      <c r="B8218" s="40"/>
      <c r="C8218" s="40"/>
      <c r="D8218" s="41"/>
      <c r="E8218" s="43">
        <f>C8218</f>
        <v>0</v>
      </c>
      <c r="F8218" s="42"/>
    </row>
    <row r="8219" spans="1:6">
      <c r="A8219" s="39">
        <f>A8218</f>
        <v>46048</v>
      </c>
      <c r="B8219" s="40"/>
      <c r="C8219" s="40"/>
      <c r="D8219" s="41"/>
      <c r="E8219" s="43">
        <f>C8219</f>
        <v>0</v>
      </c>
      <c r="F8219" s="42"/>
    </row>
    <row r="8220" spans="1:6">
      <c r="A8220" s="39">
        <f>A8219</f>
        <v>46048</v>
      </c>
      <c r="B8220" s="40"/>
      <c r="C8220" s="40"/>
      <c r="D8220" s="41"/>
      <c r="E8220" s="43">
        <f>C8220</f>
        <v>0</v>
      </c>
      <c r="F8220" s="42"/>
    </row>
    <row r="8221" spans="1:6">
      <c r="A8221" s="39">
        <f>A8220</f>
        <v>46048</v>
      </c>
      <c r="B8221" s="40"/>
      <c r="C8221" s="40"/>
      <c r="D8221" s="41"/>
      <c r="E8221" s="43">
        <f>C8221</f>
        <v>0</v>
      </c>
      <c r="F8221" s="42"/>
    </row>
    <row r="8222" spans="1:6">
      <c r="A8222" s="39">
        <f>A8221</f>
        <v>46048</v>
      </c>
      <c r="B8222" s="40"/>
      <c r="C8222" s="40"/>
      <c r="D8222" s="41"/>
      <c r="E8222" s="43">
        <f>C8222</f>
        <v>0</v>
      </c>
      <c r="F8222" s="42"/>
    </row>
    <row r="8223" spans="1:6">
      <c r="A8223" s="39">
        <f>A8222</f>
        <v>46048</v>
      </c>
      <c r="B8223" s="40"/>
      <c r="C8223" s="40"/>
      <c r="D8223" s="41"/>
      <c r="E8223" s="43">
        <f>C8223</f>
        <v>0</v>
      </c>
      <c r="F8223" s="42"/>
    </row>
    <row r="8224" spans="1:6">
      <c r="A8224" s="39">
        <f>A8223</f>
        <v>46048</v>
      </c>
      <c r="B8224" s="40"/>
      <c r="C8224" s="40"/>
      <c r="D8224" s="41"/>
      <c r="E8224" s="43">
        <f>C8224</f>
        <v>0</v>
      </c>
      <c r="F8224" s="42"/>
    </row>
    <row r="8225" spans="1:6">
      <c r="A8225" s="39">
        <f>A8224</f>
        <v>46048</v>
      </c>
      <c r="B8225" s="40"/>
      <c r="C8225" s="40"/>
      <c r="D8225" s="41"/>
      <c r="E8225" s="43">
        <f>C8225</f>
        <v>0</v>
      </c>
      <c r="F8225" s="42"/>
    </row>
    <row r="8226" spans="1:6">
      <c r="A8226" s="39">
        <f>A8225</f>
        <v>46048</v>
      </c>
      <c r="B8226" s="40"/>
      <c r="C8226" s="40"/>
      <c r="D8226" s="41"/>
      <c r="E8226" s="43">
        <f>C8226</f>
        <v>0</v>
      </c>
      <c r="F8226" s="42"/>
    </row>
    <row r="8227" spans="1:6">
      <c r="A8227" s="39">
        <f>A8226</f>
        <v>46048</v>
      </c>
      <c r="B8227" s="40"/>
      <c r="C8227" s="40"/>
      <c r="D8227" s="41"/>
      <c r="E8227" s="43">
        <f>C8227</f>
        <v>0</v>
      </c>
      <c r="F8227" s="42"/>
    </row>
    <row r="8228" spans="1:6">
      <c r="A8228" s="39">
        <f>A8227</f>
        <v>46048</v>
      </c>
      <c r="B8228" s="40"/>
      <c r="C8228" s="40"/>
      <c r="D8228" s="41"/>
      <c r="E8228" s="43">
        <f>C8228</f>
        <v>0</v>
      </c>
      <c r="F8228" s="42"/>
    </row>
    <row r="8229" spans="1:6">
      <c r="A8229" s="39">
        <f>A8228</f>
        <v>46048</v>
      </c>
      <c r="B8229" s="40"/>
      <c r="C8229" s="40"/>
      <c r="D8229" s="41"/>
      <c r="E8229" s="43">
        <f>C8229</f>
        <v>0</v>
      </c>
      <c r="F8229" s="42"/>
    </row>
    <row r="8230" spans="1:6">
      <c r="A8230" s="39">
        <f>A8229</f>
        <v>46048</v>
      </c>
      <c r="B8230" s="40"/>
      <c r="C8230" s="40"/>
      <c r="D8230" s="41"/>
      <c r="E8230" s="43">
        <f>C8230</f>
        <v>0</v>
      </c>
      <c r="F8230" s="42"/>
    </row>
    <row r="8231" spans="1:6">
      <c r="A8231" s="39">
        <f>A8230</f>
        <v>46048</v>
      </c>
      <c r="B8231" s="40"/>
      <c r="C8231" s="40"/>
      <c r="D8231" s="41"/>
      <c r="E8231" s="43">
        <f>C8231</f>
        <v>0</v>
      </c>
      <c r="F8231" s="42"/>
    </row>
    <row r="8232" spans="1:6">
      <c r="A8232" s="39">
        <f>A8231</f>
        <v>46048</v>
      </c>
      <c r="B8232" s="40"/>
      <c r="C8232" s="40"/>
      <c r="D8232" s="41"/>
      <c r="E8232" s="43">
        <f>C8232</f>
        <v>0</v>
      </c>
      <c r="F8232" s="42"/>
    </row>
    <row r="8233" spans="1:6">
      <c r="A8233" s="39">
        <f>A8232</f>
        <v>46048</v>
      </c>
      <c r="B8233" s="40"/>
      <c r="C8233" s="40"/>
      <c r="D8233" s="41"/>
      <c r="E8233" s="43">
        <f>C8233</f>
        <v>0</v>
      </c>
      <c r="F8233" s="42"/>
    </row>
    <row r="8234" spans="1:6">
      <c r="A8234" s="39">
        <f>A8233</f>
        <v>46048</v>
      </c>
      <c r="B8234" s="40"/>
      <c r="C8234" s="40"/>
      <c r="D8234" s="41"/>
      <c r="E8234" s="43">
        <f>C8234</f>
        <v>0</v>
      </c>
      <c r="F8234" s="42"/>
    </row>
    <row r="8235" spans="1:6">
      <c r="A8235" s="39">
        <f>A8234</f>
        <v>46048</v>
      </c>
      <c r="B8235" s="40"/>
      <c r="C8235" s="40"/>
      <c r="D8235" s="41"/>
      <c r="E8235" s="43">
        <f>C8235</f>
        <v>0</v>
      </c>
      <c r="F8235" s="42"/>
    </row>
    <row r="8236" spans="1:6">
      <c r="A8236" s="39">
        <f>A8235</f>
        <v>46048</v>
      </c>
      <c r="B8236" s="40"/>
      <c r="C8236" s="40"/>
      <c r="D8236" s="41"/>
      <c r="E8236" s="43">
        <f>C8236</f>
        <v>0</v>
      </c>
      <c r="F8236" s="42"/>
    </row>
    <row r="8237" spans="1:6">
      <c r="A8237" s="39">
        <f>A8236</f>
        <v>46048</v>
      </c>
      <c r="B8237" s="40"/>
      <c r="C8237" s="40"/>
      <c r="D8237" s="41"/>
      <c r="E8237" s="43">
        <f>C8237</f>
        <v>0</v>
      </c>
      <c r="F8237" s="42"/>
    </row>
    <row r="8238" spans="1:6">
      <c r="A8238" s="39">
        <f>A8237</f>
        <v>46048</v>
      </c>
      <c r="B8238" s="40"/>
      <c r="C8238" s="40"/>
      <c r="D8238" s="41"/>
      <c r="E8238" s="43">
        <f>C8238</f>
        <v>0</v>
      </c>
      <c r="F8238" s="42"/>
    </row>
    <row r="8239" spans="1:6">
      <c r="A8239" s="39">
        <f>A8238</f>
        <v>46048</v>
      </c>
      <c r="B8239" s="40"/>
      <c r="C8239" s="40"/>
      <c r="D8239" s="41"/>
      <c r="E8239" s="43">
        <f>C8239</f>
        <v>0</v>
      </c>
      <c r="F8239" s="42"/>
    </row>
    <row r="8240" spans="1:6">
      <c r="A8240" s="39">
        <f>A8239</f>
        <v>46048</v>
      </c>
      <c r="B8240" s="40"/>
      <c r="C8240" s="40"/>
      <c r="D8240" s="41"/>
      <c r="E8240" s="43">
        <f>C8240</f>
        <v>0</v>
      </c>
      <c r="F8240" s="42"/>
    </row>
    <row r="8241" spans="1:6">
      <c r="A8241" s="39">
        <f>A8240</f>
        <v>46048</v>
      </c>
      <c r="B8241" s="40"/>
      <c r="C8241" s="40"/>
      <c r="D8241" s="41"/>
      <c r="E8241" s="43">
        <f>C8241</f>
        <v>0</v>
      </c>
      <c r="F8241" s="42"/>
    </row>
    <row r="8242" spans="1:6">
      <c r="A8242" s="39">
        <f>A8241</f>
        <v>46048</v>
      </c>
      <c r="B8242" s="40"/>
      <c r="C8242" s="40"/>
      <c r="D8242" s="41"/>
      <c r="E8242" s="43">
        <f>C8242</f>
        <v>0</v>
      </c>
      <c r="F8242" s="42"/>
    </row>
    <row r="8243" spans="1:6">
      <c r="A8243" s="39">
        <f>A8242</f>
        <v>46048</v>
      </c>
      <c r="B8243" s="40"/>
      <c r="C8243" s="40"/>
      <c r="D8243" s="41"/>
      <c r="E8243" s="43">
        <f>C8243</f>
        <v>0</v>
      </c>
      <c r="F8243" s="42"/>
    </row>
    <row r="8244" spans="1:6">
      <c r="A8244" s="39">
        <f>A8243</f>
        <v>46048</v>
      </c>
      <c r="B8244" s="40"/>
      <c r="C8244" s="40"/>
      <c r="D8244" s="41"/>
      <c r="E8244" s="43">
        <f>C8244</f>
        <v>0</v>
      </c>
      <c r="F8244" s="42"/>
    </row>
    <row r="8245" spans="1:6">
      <c r="A8245" s="39">
        <f>A8244</f>
        <v>46048</v>
      </c>
      <c r="B8245" s="40"/>
      <c r="C8245" s="40"/>
      <c r="D8245" s="41"/>
      <c r="E8245" s="43">
        <f>C8245</f>
        <v>0</v>
      </c>
      <c r="F8245" s="42"/>
    </row>
    <row r="8246" spans="1:6">
      <c r="A8246" s="39">
        <f>A8245</f>
        <v>46048</v>
      </c>
      <c r="B8246" s="40"/>
      <c r="C8246" s="40"/>
      <c r="D8246" s="41"/>
      <c r="E8246" s="43">
        <f>C8246</f>
        <v>0</v>
      </c>
      <c r="F8246" s="42"/>
    </row>
    <row r="8247" spans="1:6">
      <c r="A8247" s="39">
        <f>A8246</f>
        <v>46048</v>
      </c>
      <c r="B8247" s="40"/>
      <c r="C8247" s="40"/>
      <c r="D8247" s="41"/>
      <c r="E8247" s="43">
        <f>C8247</f>
        <v>0</v>
      </c>
      <c r="F8247" s="42"/>
    </row>
    <row r="8248" spans="1:6">
      <c r="A8248" s="39">
        <f>A8247</f>
        <v>46048</v>
      </c>
      <c r="B8248" s="40"/>
      <c r="C8248" s="40"/>
      <c r="D8248" s="41"/>
      <c r="E8248" s="43">
        <f>C8248</f>
        <v>0</v>
      </c>
      <c r="F8248" s="42"/>
    </row>
    <row r="8249" spans="1:6">
      <c r="A8249" s="39">
        <f>A8248</f>
        <v>46048</v>
      </c>
      <c r="B8249" s="40"/>
      <c r="C8249" s="40"/>
      <c r="D8249" s="41"/>
      <c r="E8249" s="43">
        <f>C8249</f>
        <v>0</v>
      </c>
      <c r="F8249" s="42"/>
    </row>
    <row r="8250" spans="1:6">
      <c r="A8250" s="39">
        <f>A8249</f>
        <v>46048</v>
      </c>
      <c r="B8250" s="40"/>
      <c r="C8250" s="40"/>
      <c r="D8250" s="41"/>
      <c r="E8250" s="43">
        <f>C8250</f>
        <v>0</v>
      </c>
      <c r="F8250" s="42"/>
    </row>
    <row r="8251" spans="1:6">
      <c r="A8251" s="39">
        <f>A8250</f>
        <v>46048</v>
      </c>
      <c r="B8251" s="40"/>
      <c r="C8251" s="40"/>
      <c r="D8251" s="41"/>
      <c r="E8251" s="43">
        <f>C8251</f>
        <v>0</v>
      </c>
      <c r="F8251" s="42"/>
    </row>
    <row r="8252" spans="1:6">
      <c r="A8252" s="39">
        <f>A8251</f>
        <v>46048</v>
      </c>
      <c r="B8252" s="40"/>
      <c r="C8252" s="40"/>
      <c r="D8252" s="41"/>
      <c r="E8252" s="43">
        <f>C8252</f>
        <v>0</v>
      </c>
      <c r="F8252" s="42"/>
    </row>
    <row r="8253" spans="1:6">
      <c r="A8253" s="39">
        <f>A8252</f>
        <v>46048</v>
      </c>
      <c r="B8253" s="40"/>
      <c r="C8253" s="40"/>
      <c r="D8253" s="41"/>
      <c r="E8253" s="43">
        <f>C8253</f>
        <v>0</v>
      </c>
      <c r="F8253" s="42"/>
    </row>
    <row r="8254" spans="1:6">
      <c r="A8254" s="39">
        <f>A8253</f>
        <v>46048</v>
      </c>
      <c r="B8254" s="40"/>
      <c r="C8254" s="40"/>
      <c r="D8254" s="41"/>
      <c r="E8254" s="43">
        <f>C8254</f>
        <v>0</v>
      </c>
      <c r="F8254" s="42"/>
    </row>
    <row r="8255" spans="1:6">
      <c r="A8255" s="39">
        <f>A8254</f>
        <v>46048</v>
      </c>
      <c r="B8255" s="40"/>
      <c r="C8255" s="40"/>
      <c r="D8255" s="41"/>
      <c r="E8255" s="43">
        <f>C8255</f>
        <v>0</v>
      </c>
      <c r="F8255" s="42"/>
    </row>
    <row r="8256" spans="1:6">
      <c r="A8256" s="39">
        <f>A8255</f>
        <v>46048</v>
      </c>
      <c r="B8256" s="40"/>
      <c r="C8256" s="40"/>
      <c r="D8256" s="41"/>
      <c r="E8256" s="43">
        <f>C8256</f>
        <v>0</v>
      </c>
      <c r="F8256" s="42"/>
    </row>
    <row r="8257" spans="1:6">
      <c r="A8257" s="39">
        <f>A8256</f>
        <v>46048</v>
      </c>
      <c r="B8257" s="40"/>
      <c r="C8257" s="40"/>
      <c r="D8257" s="41"/>
      <c r="E8257" s="43">
        <f>C8257</f>
        <v>0</v>
      </c>
      <c r="F8257" s="42"/>
    </row>
    <row r="8258" spans="1:6">
      <c r="A8258" s="39">
        <f>A8257</f>
        <v>46048</v>
      </c>
      <c r="B8258" s="40"/>
      <c r="C8258" s="40"/>
      <c r="D8258" s="41"/>
      <c r="E8258" s="43">
        <f>C8258</f>
        <v>0</v>
      </c>
      <c r="F8258" s="42"/>
    </row>
    <row r="8259" spans="1:6">
      <c r="A8259" s="39">
        <f>A8258</f>
        <v>46048</v>
      </c>
      <c r="B8259" s="40"/>
      <c r="C8259" s="40"/>
      <c r="D8259" s="41"/>
      <c r="E8259" s="43">
        <f>C8259</f>
        <v>0</v>
      </c>
      <c r="F8259" s="42"/>
    </row>
    <row r="8260" spans="1:6">
      <c r="A8260" s="39">
        <f>A8259</f>
        <v>46048</v>
      </c>
      <c r="B8260" s="40"/>
      <c r="C8260" s="40"/>
      <c r="D8260" s="41"/>
      <c r="E8260" s="43">
        <f>C8260</f>
        <v>0</v>
      </c>
      <c r="F8260" s="42"/>
    </row>
    <row r="8261" spans="1:6">
      <c r="A8261" s="39">
        <f>A8260</f>
        <v>46048</v>
      </c>
      <c r="B8261" s="40"/>
      <c r="C8261" s="40"/>
      <c r="D8261" s="41"/>
      <c r="E8261" s="43">
        <f>C8261</f>
        <v>0</v>
      </c>
      <c r="F8261" s="42"/>
    </row>
    <row r="8262" spans="1:6">
      <c r="A8262" s="39">
        <f>A8261</f>
        <v>46048</v>
      </c>
      <c r="B8262" s="40"/>
      <c r="C8262" s="40"/>
      <c r="D8262" s="41"/>
      <c r="E8262" s="43">
        <f>C8262</f>
        <v>0</v>
      </c>
      <c r="F8262" s="42"/>
    </row>
    <row r="8263" spans="1:6">
      <c r="A8263" s="39">
        <f>A8262</f>
        <v>46048</v>
      </c>
      <c r="B8263" s="40"/>
      <c r="C8263" s="40"/>
      <c r="D8263" s="41"/>
      <c r="E8263" s="43">
        <f>C8263</f>
        <v>0</v>
      </c>
      <c r="F8263" s="42"/>
    </row>
    <row r="8264" spans="1:6">
      <c r="A8264" s="39">
        <f>A8263</f>
        <v>46048</v>
      </c>
      <c r="B8264" s="40"/>
      <c r="C8264" s="40"/>
      <c r="D8264" s="41"/>
      <c r="E8264" s="43">
        <f>C8264</f>
        <v>0</v>
      </c>
      <c r="F8264" s="42"/>
    </row>
    <row r="8265" spans="1:6">
      <c r="A8265" s="39">
        <f>A8264</f>
        <v>46048</v>
      </c>
      <c r="B8265" s="40"/>
      <c r="C8265" s="40"/>
      <c r="D8265" s="41"/>
      <c r="E8265" s="43">
        <f>C8265</f>
        <v>0</v>
      </c>
      <c r="F8265" s="42"/>
    </row>
    <row r="8266" spans="1:6">
      <c r="A8266" s="39">
        <f>A8265</f>
        <v>46048</v>
      </c>
      <c r="B8266" s="40"/>
      <c r="C8266" s="40"/>
      <c r="D8266" s="41"/>
      <c r="E8266" s="43">
        <f>C8266</f>
        <v>0</v>
      </c>
      <c r="F8266" s="42"/>
    </row>
    <row r="8267" spans="1:6">
      <c r="A8267" s="39">
        <f>A8266</f>
        <v>46048</v>
      </c>
      <c r="B8267" s="40"/>
      <c r="C8267" s="40"/>
      <c r="D8267" s="41"/>
      <c r="E8267" s="43">
        <f>C8267</f>
        <v>0</v>
      </c>
      <c r="F8267" s="42"/>
    </row>
    <row r="8268" spans="1:6">
      <c r="A8268" s="39">
        <f>A8267</f>
        <v>46048</v>
      </c>
      <c r="B8268" s="40"/>
      <c r="C8268" s="40"/>
      <c r="D8268" s="41"/>
      <c r="E8268" s="43">
        <f>C8268</f>
        <v>0</v>
      </c>
      <c r="F8268" s="42"/>
    </row>
    <row r="8269" spans="1:6">
      <c r="A8269" s="39">
        <f>A8268</f>
        <v>46048</v>
      </c>
      <c r="B8269" s="40"/>
      <c r="C8269" s="40"/>
      <c r="D8269" s="41"/>
      <c r="E8269" s="43">
        <f>C8269</f>
        <v>0</v>
      </c>
      <c r="F8269" s="42"/>
    </row>
    <row r="8270" spans="1:6">
      <c r="A8270" s="39">
        <f>A8269</f>
        <v>46048</v>
      </c>
      <c r="B8270" s="40"/>
      <c r="C8270" s="40"/>
      <c r="D8270" s="41"/>
      <c r="E8270" s="43">
        <f>C8270</f>
        <v>0</v>
      </c>
      <c r="F8270" s="42"/>
    </row>
    <row r="8271" spans="1:6">
      <c r="A8271" s="39">
        <f>A8270</f>
        <v>46048</v>
      </c>
      <c r="B8271" s="40"/>
      <c r="C8271" s="40"/>
      <c r="D8271" s="41"/>
      <c r="E8271" s="43">
        <f>C8271</f>
        <v>0</v>
      </c>
      <c r="F8271" s="42"/>
    </row>
    <row r="8272" spans="1:6">
      <c r="A8272" s="39">
        <f>A8271</f>
        <v>46048</v>
      </c>
      <c r="B8272" s="40"/>
      <c r="C8272" s="40"/>
      <c r="D8272" s="41"/>
      <c r="E8272" s="43">
        <f>C8272</f>
        <v>0</v>
      </c>
      <c r="F8272" s="42"/>
    </row>
    <row r="8273" spans="1:6">
      <c r="A8273" s="39">
        <f>A8272</f>
        <v>46048</v>
      </c>
      <c r="B8273" s="40"/>
      <c r="C8273" s="40"/>
      <c r="D8273" s="41"/>
      <c r="E8273" s="43">
        <f>C8273</f>
        <v>0</v>
      </c>
      <c r="F8273" s="42"/>
    </row>
    <row r="8274" spans="1:6">
      <c r="A8274" s="39">
        <f>A8273</f>
        <v>46048</v>
      </c>
      <c r="B8274" s="40"/>
      <c r="C8274" s="40"/>
      <c r="D8274" s="41"/>
      <c r="E8274" s="43">
        <f>C8274</f>
        <v>0</v>
      </c>
      <c r="F8274" s="42"/>
    </row>
    <row r="8275" spans="1:6">
      <c r="A8275" s="39">
        <f>A8274</f>
        <v>46048</v>
      </c>
      <c r="B8275" s="40"/>
      <c r="C8275" s="40"/>
      <c r="D8275" s="41"/>
      <c r="E8275" s="43">
        <f>C8275</f>
        <v>0</v>
      </c>
      <c r="F8275" s="42"/>
    </row>
    <row r="8276" spans="1:6">
      <c r="A8276" s="39">
        <f>A8275</f>
        <v>46048</v>
      </c>
      <c r="B8276" s="40"/>
      <c r="C8276" s="40"/>
      <c r="D8276" s="41"/>
      <c r="E8276" s="43">
        <f>C8276</f>
        <v>0</v>
      </c>
      <c r="F8276" s="42"/>
    </row>
    <row r="8277" spans="1:6">
      <c r="A8277" s="39">
        <f>A8276</f>
        <v>46048</v>
      </c>
      <c r="B8277" s="40"/>
      <c r="C8277" s="40"/>
      <c r="D8277" s="41"/>
      <c r="E8277" s="43">
        <f>C8277</f>
        <v>0</v>
      </c>
      <c r="F8277" s="42"/>
    </row>
    <row r="8278" spans="1:6">
      <c r="A8278" s="39">
        <f>A8277</f>
        <v>46048</v>
      </c>
      <c r="B8278" s="40"/>
      <c r="C8278" s="40"/>
      <c r="D8278" s="41"/>
      <c r="E8278" s="43">
        <f>C8278</f>
        <v>0</v>
      </c>
      <c r="F8278" s="42"/>
    </row>
    <row r="8279" spans="1:6">
      <c r="A8279" s="39">
        <f>A8278</f>
        <v>46048</v>
      </c>
      <c r="B8279" s="40"/>
      <c r="C8279" s="40"/>
      <c r="D8279" s="41"/>
      <c r="E8279" s="43">
        <f>C8279</f>
        <v>0</v>
      </c>
      <c r="F8279" s="42"/>
    </row>
    <row r="8280" spans="1:6">
      <c r="A8280" s="39">
        <f>A8279</f>
        <v>46048</v>
      </c>
      <c r="B8280" s="40"/>
      <c r="C8280" s="40"/>
      <c r="D8280" s="41"/>
      <c r="E8280" s="43">
        <f>C8280</f>
        <v>0</v>
      </c>
      <c r="F8280" s="42"/>
    </row>
    <row r="8281" spans="1:6">
      <c r="A8281" s="39">
        <f>A8280</f>
        <v>46048</v>
      </c>
      <c r="B8281" s="40"/>
      <c r="C8281" s="40"/>
      <c r="D8281" s="41"/>
      <c r="E8281" s="43">
        <f>C8281</f>
        <v>0</v>
      </c>
      <c r="F8281" s="42"/>
    </row>
    <row r="8282" spans="1:6">
      <c r="A8282" s="39">
        <f>A8281</f>
        <v>46048</v>
      </c>
      <c r="B8282" s="40"/>
      <c r="C8282" s="40"/>
      <c r="D8282" s="41"/>
      <c r="E8282" s="43">
        <f>C8282</f>
        <v>0</v>
      </c>
      <c r="F8282" s="42"/>
    </row>
    <row r="8283" spans="1:6">
      <c r="A8283" s="39">
        <f>A8282</f>
        <v>46048</v>
      </c>
      <c r="B8283" s="40"/>
      <c r="C8283" s="40"/>
      <c r="D8283" s="41"/>
      <c r="E8283" s="43">
        <f>C8283</f>
        <v>0</v>
      </c>
      <c r="F8283" s="42"/>
    </row>
    <row r="8284" spans="1:6">
      <c r="A8284" s="39">
        <f>A8283</f>
        <v>46048</v>
      </c>
      <c r="B8284" s="40"/>
      <c r="C8284" s="40"/>
      <c r="D8284" s="41"/>
      <c r="E8284" s="43">
        <f>C8284</f>
        <v>0</v>
      </c>
      <c r="F8284" s="42"/>
    </row>
    <row r="8285" spans="1:6">
      <c r="A8285" s="39">
        <f>A8284</f>
        <v>46048</v>
      </c>
      <c r="B8285" s="40"/>
      <c r="C8285" s="40"/>
      <c r="D8285" s="41"/>
      <c r="E8285" s="43">
        <f>C8285</f>
        <v>0</v>
      </c>
      <c r="F8285" s="42"/>
    </row>
    <row r="8286" spans="1:6">
      <c r="A8286" s="39">
        <f>A8285</f>
        <v>46048</v>
      </c>
      <c r="B8286" s="40"/>
      <c r="C8286" s="40"/>
      <c r="D8286" s="41"/>
      <c r="E8286" s="43">
        <f>C8286</f>
        <v>0</v>
      </c>
      <c r="F8286" s="42"/>
    </row>
    <row r="8287" spans="1:6">
      <c r="A8287" s="39">
        <f>A8286</f>
        <v>46048</v>
      </c>
      <c r="B8287" s="40"/>
      <c r="C8287" s="40"/>
      <c r="D8287" s="41"/>
      <c r="E8287" s="43">
        <f>C8287</f>
        <v>0</v>
      </c>
      <c r="F8287" s="42"/>
    </row>
    <row r="8288" spans="1:6">
      <c r="A8288" s="39">
        <f>A8287</f>
        <v>46048</v>
      </c>
      <c r="B8288" s="40"/>
      <c r="C8288" s="40"/>
      <c r="D8288" s="41"/>
      <c r="E8288" s="43">
        <f>C8288</f>
        <v>0</v>
      </c>
      <c r="F8288" s="42"/>
    </row>
    <row r="8289" spans="1:6">
      <c r="A8289" s="39">
        <f>A8288</f>
        <v>46048</v>
      </c>
      <c r="B8289" s="40"/>
      <c r="C8289" s="40"/>
      <c r="D8289" s="41"/>
      <c r="E8289" s="43">
        <f>C8289</f>
        <v>0</v>
      </c>
      <c r="F8289" s="42"/>
    </row>
    <row r="8290" spans="1:6">
      <c r="A8290" s="39">
        <f>A8289</f>
        <v>46048</v>
      </c>
      <c r="B8290" s="40"/>
      <c r="C8290" s="40"/>
      <c r="D8290" s="41"/>
      <c r="E8290" s="43">
        <f>C8290</f>
        <v>0</v>
      </c>
      <c r="F8290" s="42"/>
    </row>
    <row r="8291" spans="1:6">
      <c r="A8291" s="39">
        <f>A8290</f>
        <v>46048</v>
      </c>
      <c r="B8291" s="40"/>
      <c r="C8291" s="40"/>
      <c r="D8291" s="41"/>
      <c r="E8291" s="43">
        <f>C8291</f>
        <v>0</v>
      </c>
      <c r="F8291" s="42"/>
    </row>
    <row r="8292" spans="1:6">
      <c r="A8292" s="39">
        <f>A8291</f>
        <v>46048</v>
      </c>
      <c r="B8292" s="40"/>
      <c r="C8292" s="40"/>
      <c r="D8292" s="41"/>
      <c r="E8292" s="43">
        <f>C8292</f>
        <v>0</v>
      </c>
      <c r="F8292" s="42"/>
    </row>
    <row r="8293" spans="1:6">
      <c r="A8293" s="39">
        <f>A8292</f>
        <v>46048</v>
      </c>
      <c r="B8293" s="40"/>
      <c r="C8293" s="40"/>
      <c r="D8293" s="41"/>
      <c r="E8293" s="43">
        <f>C8293</f>
        <v>0</v>
      </c>
      <c r="F8293" s="42"/>
    </row>
    <row r="8294" spans="1:6">
      <c r="A8294" s="39">
        <f>A8293</f>
        <v>46048</v>
      </c>
      <c r="B8294" s="40"/>
      <c r="C8294" s="40"/>
      <c r="D8294" s="41"/>
      <c r="E8294" s="43">
        <f>C8294</f>
        <v>0</v>
      </c>
      <c r="F8294" s="42"/>
    </row>
    <row r="8295" spans="1:6">
      <c r="A8295" s="39">
        <f>A8294</f>
        <v>46048</v>
      </c>
      <c r="B8295" s="40"/>
      <c r="C8295" s="40"/>
      <c r="D8295" s="41"/>
      <c r="E8295" s="43">
        <f>C8295</f>
        <v>0</v>
      </c>
      <c r="F8295" s="42"/>
    </row>
    <row r="8296" spans="1:6">
      <c r="A8296" s="39">
        <f>A8295</f>
        <v>46048</v>
      </c>
      <c r="B8296" s="40"/>
      <c r="C8296" s="40"/>
      <c r="D8296" s="41"/>
      <c r="E8296" s="43">
        <f>C8296</f>
        <v>0</v>
      </c>
      <c r="F8296" s="42"/>
    </row>
    <row r="8297" spans="1:6">
      <c r="A8297" s="39">
        <f>A8296</f>
        <v>46048</v>
      </c>
      <c r="B8297" s="40"/>
      <c r="C8297" s="40"/>
      <c r="D8297" s="41"/>
      <c r="E8297" s="43">
        <f>C8297</f>
        <v>0</v>
      </c>
      <c r="F8297" s="42"/>
    </row>
    <row r="8298" spans="1:6">
      <c r="A8298" s="39">
        <f>A8297</f>
        <v>46048</v>
      </c>
      <c r="B8298" s="40"/>
      <c r="C8298" s="40"/>
      <c r="D8298" s="41"/>
      <c r="E8298" s="43">
        <f>C8298</f>
        <v>0</v>
      </c>
      <c r="F8298" s="42"/>
    </row>
    <row r="8299" spans="1:6">
      <c r="A8299" s="39">
        <f>A8298</f>
        <v>46048</v>
      </c>
      <c r="B8299" s="40"/>
      <c r="C8299" s="40"/>
      <c r="D8299" s="41"/>
      <c r="E8299" s="43">
        <f>C8299</f>
        <v>0</v>
      </c>
      <c r="F8299" s="42"/>
    </row>
    <row r="8300" spans="1:6">
      <c r="A8300" s="39">
        <f>A8299</f>
        <v>46048</v>
      </c>
      <c r="B8300" s="40"/>
      <c r="C8300" s="40"/>
      <c r="D8300" s="41"/>
      <c r="E8300" s="43">
        <f>C8300</f>
        <v>0</v>
      </c>
      <c r="F8300" s="42"/>
    </row>
    <row r="8301" spans="1:6">
      <c r="A8301" s="39">
        <f>A8300</f>
        <v>46048</v>
      </c>
      <c r="B8301" s="40"/>
      <c r="C8301" s="40"/>
      <c r="D8301" s="41"/>
      <c r="E8301" s="43">
        <f>C8301</f>
        <v>0</v>
      </c>
      <c r="F8301" s="42"/>
    </row>
    <row r="8302" spans="1:6">
      <c r="A8302" s="39">
        <f>A8301</f>
        <v>46048</v>
      </c>
      <c r="B8302" s="40"/>
      <c r="C8302" s="40"/>
      <c r="D8302" s="41"/>
      <c r="E8302" s="43">
        <f>C8302</f>
        <v>0</v>
      </c>
      <c r="F8302" s="42"/>
    </row>
    <row r="8303" spans="1:6">
      <c r="A8303" s="39">
        <f>A8302</f>
        <v>46048</v>
      </c>
      <c r="B8303" s="40"/>
      <c r="C8303" s="40"/>
      <c r="D8303" s="41"/>
      <c r="E8303" s="43">
        <f>C8303</f>
        <v>0</v>
      </c>
      <c r="F8303" s="42"/>
    </row>
    <row r="8304" spans="1:6">
      <c r="A8304" s="39">
        <f>A8303</f>
        <v>46048</v>
      </c>
      <c r="B8304" s="40"/>
      <c r="C8304" s="40"/>
      <c r="D8304" s="41"/>
      <c r="E8304" s="43">
        <f>C8304</f>
        <v>0</v>
      </c>
      <c r="F8304" s="42"/>
    </row>
    <row r="8305" spans="1:6">
      <c r="A8305" s="39">
        <f>A8304</f>
        <v>46048</v>
      </c>
      <c r="B8305" s="40"/>
      <c r="C8305" s="40"/>
      <c r="D8305" s="41"/>
      <c r="E8305" s="43">
        <f>C8305</f>
        <v>0</v>
      </c>
      <c r="F8305" s="42"/>
    </row>
    <row r="8306" spans="1:6">
      <c r="A8306" s="39">
        <f>A8305</f>
        <v>46048</v>
      </c>
      <c r="B8306" s="40"/>
      <c r="C8306" s="40"/>
      <c r="D8306" s="41"/>
      <c r="E8306" s="43">
        <f>C8306</f>
        <v>0</v>
      </c>
      <c r="F8306" s="42"/>
    </row>
    <row r="8307" spans="1:6">
      <c r="A8307" s="39">
        <f>A8306</f>
        <v>46048</v>
      </c>
      <c r="B8307" s="40"/>
      <c r="C8307" s="40"/>
      <c r="D8307" s="41"/>
      <c r="E8307" s="43">
        <f>C8307</f>
        <v>0</v>
      </c>
      <c r="F8307" s="42"/>
    </row>
    <row r="8308" spans="1:6">
      <c r="A8308" s="39">
        <f>A8307</f>
        <v>46048</v>
      </c>
      <c r="B8308" s="40"/>
      <c r="C8308" s="40"/>
      <c r="D8308" s="41"/>
      <c r="E8308" s="43">
        <f>C8308</f>
        <v>0</v>
      </c>
      <c r="F8308" s="42"/>
    </row>
    <row r="8309" spans="1:6">
      <c r="A8309" s="39">
        <f>A8308</f>
        <v>46048</v>
      </c>
      <c r="B8309" s="40"/>
      <c r="C8309" s="40"/>
      <c r="D8309" s="41"/>
      <c r="E8309" s="43">
        <f>C8309</f>
        <v>0</v>
      </c>
      <c r="F8309" s="42"/>
    </row>
    <row r="8310" spans="1:6">
      <c r="A8310" s="39">
        <f>A8309</f>
        <v>46048</v>
      </c>
      <c r="B8310" s="40"/>
      <c r="C8310" s="40"/>
      <c r="D8310" s="41"/>
      <c r="E8310" s="43">
        <f>C8310</f>
        <v>0</v>
      </c>
      <c r="F8310" s="42"/>
    </row>
    <row r="8311" spans="1:6">
      <c r="A8311" s="39">
        <f>A8310</f>
        <v>46048</v>
      </c>
      <c r="B8311" s="40"/>
      <c r="C8311" s="40"/>
      <c r="D8311" s="41"/>
      <c r="E8311" s="43">
        <f>C8311</f>
        <v>0</v>
      </c>
      <c r="F8311" s="42"/>
    </row>
    <row r="8312" spans="1:6">
      <c r="A8312" s="39">
        <f>A8311</f>
        <v>46048</v>
      </c>
      <c r="B8312" s="40"/>
      <c r="C8312" s="40"/>
      <c r="D8312" s="41"/>
      <c r="E8312" s="43">
        <f>C8312</f>
        <v>0</v>
      </c>
      <c r="F8312" s="42"/>
    </row>
    <row r="8313" spans="1:6">
      <c r="A8313" s="39">
        <f>A8312</f>
        <v>46048</v>
      </c>
      <c r="B8313" s="40"/>
      <c r="C8313" s="40"/>
      <c r="D8313" s="41"/>
      <c r="E8313" s="43">
        <f>C8313</f>
        <v>0</v>
      </c>
      <c r="F8313" s="42"/>
    </row>
    <row r="8314" spans="1:6">
      <c r="A8314" s="39">
        <f>A8313</f>
        <v>46048</v>
      </c>
      <c r="B8314" s="40"/>
      <c r="C8314" s="40"/>
      <c r="D8314" s="41"/>
      <c r="E8314" s="43">
        <f>C8314</f>
        <v>0</v>
      </c>
      <c r="F8314" s="42"/>
    </row>
    <row r="8315" spans="1:6">
      <c r="A8315" s="39">
        <f>A8314</f>
        <v>46048</v>
      </c>
      <c r="B8315" s="40"/>
      <c r="C8315" s="40"/>
      <c r="D8315" s="41"/>
      <c r="E8315" s="43">
        <f>C8315</f>
        <v>0</v>
      </c>
      <c r="F8315" s="42"/>
    </row>
    <row r="8316" spans="1:6">
      <c r="A8316" s="39">
        <f>A8315</f>
        <v>46048</v>
      </c>
      <c r="B8316" s="40"/>
      <c r="C8316" s="40"/>
      <c r="D8316" s="41"/>
      <c r="E8316" s="43">
        <f>C8316</f>
        <v>0</v>
      </c>
      <c r="F8316" s="42"/>
    </row>
    <row r="8317" spans="1:6">
      <c r="A8317" s="39">
        <f>A8316</f>
        <v>46048</v>
      </c>
      <c r="B8317" s="40"/>
      <c r="C8317" s="40"/>
      <c r="D8317" s="41"/>
      <c r="E8317" s="43">
        <f>C8317</f>
        <v>0</v>
      </c>
      <c r="F8317" s="42"/>
    </row>
    <row r="8318" spans="1:6">
      <c r="A8318" s="39">
        <f>A8317</f>
        <v>46048</v>
      </c>
      <c r="B8318" s="40"/>
      <c r="C8318" s="40"/>
      <c r="D8318" s="41"/>
      <c r="E8318" s="43">
        <f>C8318</f>
        <v>0</v>
      </c>
      <c r="F8318" s="42"/>
    </row>
    <row r="8319" spans="1:6">
      <c r="A8319" s="39">
        <f>A8318</f>
        <v>46048</v>
      </c>
      <c r="B8319" s="40"/>
      <c r="C8319" s="40"/>
      <c r="D8319" s="41"/>
      <c r="E8319" s="43">
        <f>C8319</f>
        <v>0</v>
      </c>
      <c r="F8319" s="42"/>
    </row>
    <row r="8320" spans="1:6">
      <c r="A8320" s="39">
        <f>A8319</f>
        <v>46048</v>
      </c>
      <c r="B8320" s="40"/>
      <c r="C8320" s="40"/>
      <c r="D8320" s="41"/>
      <c r="E8320" s="43">
        <f>C8320</f>
        <v>0</v>
      </c>
      <c r="F8320" s="42"/>
    </row>
    <row r="8321" spans="1:6">
      <c r="A8321" s="39">
        <f>A8320</f>
        <v>46048</v>
      </c>
      <c r="B8321" s="40"/>
      <c r="C8321" s="40"/>
      <c r="D8321" s="41"/>
      <c r="E8321" s="43">
        <f>C8321</f>
        <v>0</v>
      </c>
      <c r="F8321" s="42"/>
    </row>
    <row r="8322" spans="1:6">
      <c r="A8322" s="39">
        <f>A8321</f>
        <v>46048</v>
      </c>
      <c r="B8322" s="40"/>
      <c r="C8322" s="40"/>
      <c r="D8322" s="41"/>
      <c r="E8322" s="43">
        <f>C8322</f>
        <v>0</v>
      </c>
      <c r="F8322" s="42"/>
    </row>
    <row r="8323" spans="1:6">
      <c r="A8323" s="39">
        <f>A8322</f>
        <v>46048</v>
      </c>
      <c r="B8323" s="40"/>
      <c r="C8323" s="40"/>
      <c r="D8323" s="41"/>
      <c r="E8323" s="43">
        <f>C8323</f>
        <v>0</v>
      </c>
      <c r="F8323" s="42"/>
    </row>
    <row r="8324" spans="1:6">
      <c r="A8324" s="39">
        <f>A8323</f>
        <v>46048</v>
      </c>
      <c r="B8324" s="40"/>
      <c r="C8324" s="40"/>
      <c r="D8324" s="41"/>
      <c r="E8324" s="43">
        <f>C8324</f>
        <v>0</v>
      </c>
      <c r="F8324" s="42"/>
    </row>
    <row r="8325" spans="1:6">
      <c r="A8325" s="39">
        <f>A8324</f>
        <v>46048</v>
      </c>
      <c r="B8325" s="40"/>
      <c r="C8325" s="40"/>
      <c r="D8325" s="41"/>
      <c r="E8325" s="43">
        <f>C8325</f>
        <v>0</v>
      </c>
      <c r="F8325" s="42"/>
    </row>
    <row r="8326" spans="1:6">
      <c r="A8326" s="39">
        <f>A8325</f>
        <v>46048</v>
      </c>
      <c r="B8326" s="40"/>
      <c r="C8326" s="40"/>
      <c r="D8326" s="41"/>
      <c r="E8326" s="43">
        <f>C8326</f>
        <v>0</v>
      </c>
      <c r="F8326" s="42"/>
    </row>
    <row r="8327" spans="1:6">
      <c r="A8327" s="39">
        <f>A8326</f>
        <v>46048</v>
      </c>
      <c r="B8327" s="40"/>
      <c r="C8327" s="40"/>
      <c r="D8327" s="41"/>
      <c r="E8327" s="43">
        <f>C8327</f>
        <v>0</v>
      </c>
      <c r="F8327" s="42"/>
    </row>
    <row r="8328" spans="1:6">
      <c r="A8328" s="39">
        <f>A8327</f>
        <v>46048</v>
      </c>
      <c r="B8328" s="40"/>
      <c r="C8328" s="40"/>
      <c r="D8328" s="41"/>
      <c r="E8328" s="43">
        <f>C8328</f>
        <v>0</v>
      </c>
      <c r="F8328" s="42"/>
    </row>
    <row r="8329" spans="1:6">
      <c r="A8329" s="39">
        <f>A8328</f>
        <v>46048</v>
      </c>
      <c r="B8329" s="40"/>
      <c r="C8329" s="40"/>
      <c r="D8329" s="41"/>
      <c r="E8329" s="43">
        <f>C8329</f>
        <v>0</v>
      </c>
      <c r="F8329" s="42"/>
    </row>
    <row r="8330" spans="1:6">
      <c r="A8330" s="39">
        <f>A8329</f>
        <v>46048</v>
      </c>
      <c r="B8330" s="40"/>
      <c r="C8330" s="40"/>
      <c r="D8330" s="41"/>
      <c r="E8330" s="43">
        <f>C8330</f>
        <v>0</v>
      </c>
      <c r="F8330" s="42"/>
    </row>
    <row r="8331" spans="1:6">
      <c r="A8331" s="39">
        <f>A8330</f>
        <v>46048</v>
      </c>
      <c r="B8331" s="40"/>
      <c r="C8331" s="40"/>
      <c r="D8331" s="41"/>
      <c r="E8331" s="43">
        <f>C8331</f>
        <v>0</v>
      </c>
      <c r="F8331" s="42"/>
    </row>
    <row r="8332" spans="1:6">
      <c r="A8332" s="39">
        <f>A8331</f>
        <v>46048</v>
      </c>
      <c r="B8332" s="40"/>
      <c r="C8332" s="40"/>
      <c r="D8332" s="41"/>
      <c r="E8332" s="43">
        <f>C8332</f>
        <v>0</v>
      </c>
      <c r="F8332" s="42"/>
    </row>
    <row r="8333" spans="1:6">
      <c r="A8333" s="39">
        <f>A8332</f>
        <v>46048</v>
      </c>
      <c r="B8333" s="40"/>
      <c r="C8333" s="40"/>
      <c r="D8333" s="41"/>
      <c r="E8333" s="43">
        <f>C8333</f>
        <v>0</v>
      </c>
      <c r="F8333" s="42"/>
    </row>
    <row r="8334" spans="1:6">
      <c r="A8334" s="39">
        <f>A8333</f>
        <v>46048</v>
      </c>
      <c r="B8334" s="40"/>
      <c r="C8334" s="40"/>
      <c r="D8334" s="41"/>
      <c r="E8334" s="43">
        <f>C8334</f>
        <v>0</v>
      </c>
      <c r="F8334" s="42"/>
    </row>
    <row r="8335" spans="1:6">
      <c r="A8335" s="39">
        <f>A8334</f>
        <v>46048</v>
      </c>
      <c r="B8335" s="40"/>
      <c r="C8335" s="40"/>
      <c r="D8335" s="41"/>
      <c r="E8335" s="43">
        <f>C8335</f>
        <v>0</v>
      </c>
      <c r="F8335" s="42"/>
    </row>
    <row r="8336" spans="1:6">
      <c r="A8336" s="39">
        <f>A8335</f>
        <v>46048</v>
      </c>
      <c r="B8336" s="40"/>
      <c r="C8336" s="40"/>
      <c r="D8336" s="41"/>
      <c r="E8336" s="43">
        <f>C8336</f>
        <v>0</v>
      </c>
      <c r="F8336" s="42"/>
    </row>
    <row r="8337" spans="1:6">
      <c r="A8337" s="39">
        <f>A8336</f>
        <v>46048</v>
      </c>
      <c r="B8337" s="40"/>
      <c r="C8337" s="40"/>
      <c r="D8337" s="41"/>
      <c r="E8337" s="43">
        <f>C8337</f>
        <v>0</v>
      </c>
      <c r="F8337" s="42"/>
    </row>
    <row r="8338" spans="1:6">
      <c r="A8338" s="39">
        <f>A8337</f>
        <v>46048</v>
      </c>
      <c r="B8338" s="40"/>
      <c r="C8338" s="40"/>
      <c r="D8338" s="41"/>
      <c r="E8338" s="43">
        <f>C8338</f>
        <v>0</v>
      </c>
      <c r="F8338" s="42"/>
    </row>
    <row r="8339" spans="1:6">
      <c r="A8339" s="39">
        <f>A8338</f>
        <v>46048</v>
      </c>
      <c r="B8339" s="40"/>
      <c r="C8339" s="40"/>
      <c r="D8339" s="41"/>
      <c r="E8339" s="43">
        <f>C8339</f>
        <v>0</v>
      </c>
      <c r="F8339" s="42"/>
    </row>
    <row r="8340" spans="1:6">
      <c r="A8340" s="39">
        <f>A8339</f>
        <v>46048</v>
      </c>
      <c r="B8340" s="40"/>
      <c r="C8340" s="40"/>
      <c r="D8340" s="41"/>
      <c r="E8340" s="43">
        <f>C8340</f>
        <v>0</v>
      </c>
      <c r="F8340" s="42"/>
    </row>
    <row r="8341" spans="1:6">
      <c r="A8341" s="39">
        <f>A8340</f>
        <v>46048</v>
      </c>
      <c r="B8341" s="40"/>
      <c r="C8341" s="40"/>
      <c r="D8341" s="41"/>
      <c r="E8341" s="43">
        <f>C8341</f>
        <v>0</v>
      </c>
      <c r="F8341" s="42"/>
    </row>
    <row r="8342" spans="1:6">
      <c r="A8342" s="39">
        <f>A8341</f>
        <v>46048</v>
      </c>
      <c r="B8342" s="40"/>
      <c r="C8342" s="40"/>
      <c r="D8342" s="41"/>
      <c r="E8342" s="43">
        <f>C8342</f>
        <v>0</v>
      </c>
      <c r="F8342" s="42"/>
    </row>
    <row r="8343" spans="1:6">
      <c r="A8343" s="39">
        <f>A8342</f>
        <v>46048</v>
      </c>
      <c r="B8343" s="40"/>
      <c r="C8343" s="40"/>
      <c r="D8343" s="41"/>
      <c r="E8343" s="43">
        <f>C8343</f>
        <v>0</v>
      </c>
      <c r="F8343" s="42"/>
    </row>
    <row r="8344" spans="1:6">
      <c r="A8344" s="39">
        <f>A8343</f>
        <v>46048</v>
      </c>
      <c r="B8344" s="40"/>
      <c r="C8344" s="40"/>
      <c r="D8344" s="41"/>
      <c r="E8344" s="43">
        <f>C8344</f>
        <v>0</v>
      </c>
      <c r="F8344" s="42"/>
    </row>
    <row r="8345" spans="1:6">
      <c r="A8345" s="39">
        <f>A8344</f>
        <v>46048</v>
      </c>
      <c r="B8345" s="40"/>
      <c r="C8345" s="40"/>
      <c r="D8345" s="41"/>
      <c r="E8345" s="43">
        <f>C8345</f>
        <v>0</v>
      </c>
      <c r="F8345" s="42"/>
    </row>
    <row r="8346" spans="1:6">
      <c r="A8346" s="39">
        <f>A8345</f>
        <v>46048</v>
      </c>
      <c r="B8346" s="40"/>
      <c r="C8346" s="40"/>
      <c r="D8346" s="41"/>
      <c r="E8346" s="43">
        <f>C8346</f>
        <v>0</v>
      </c>
      <c r="F8346" s="42"/>
    </row>
    <row r="8347" spans="1:6">
      <c r="A8347" s="39">
        <f>A8346</f>
        <v>46048</v>
      </c>
      <c r="B8347" s="40"/>
      <c r="C8347" s="40"/>
      <c r="D8347" s="41"/>
      <c r="E8347" s="43">
        <f>C8347</f>
        <v>0</v>
      </c>
      <c r="F8347" s="42"/>
    </row>
    <row r="8348" spans="1:6">
      <c r="A8348" s="39">
        <f>A8347</f>
        <v>46048</v>
      </c>
      <c r="B8348" s="40"/>
      <c r="C8348" s="40"/>
      <c r="D8348" s="41"/>
      <c r="E8348" s="43">
        <f>C8348</f>
        <v>0</v>
      </c>
      <c r="F8348" s="42"/>
    </row>
    <row r="8349" spans="1:6">
      <c r="A8349" s="39">
        <f>A8348</f>
        <v>46048</v>
      </c>
      <c r="B8349" s="40"/>
      <c r="C8349" s="40"/>
      <c r="D8349" s="41"/>
      <c r="E8349" s="43">
        <f>C8349</f>
        <v>0</v>
      </c>
      <c r="F8349" s="42"/>
    </row>
    <row r="8350" spans="1:6">
      <c r="A8350" s="39">
        <f>A8349</f>
        <v>46048</v>
      </c>
      <c r="B8350" s="40"/>
      <c r="C8350" s="40"/>
      <c r="D8350" s="41"/>
      <c r="E8350" s="43">
        <f>C8350</f>
        <v>0</v>
      </c>
      <c r="F8350" s="42"/>
    </row>
    <row r="8351" spans="1:6">
      <c r="A8351" s="39">
        <f>A8350</f>
        <v>46048</v>
      </c>
      <c r="B8351" s="40"/>
      <c r="C8351" s="40"/>
      <c r="D8351" s="41"/>
      <c r="E8351" s="43">
        <f>C8351</f>
        <v>0</v>
      </c>
      <c r="F8351" s="42"/>
    </row>
    <row r="8352" spans="1:6">
      <c r="A8352" s="39">
        <f>A8351</f>
        <v>46048</v>
      </c>
      <c r="B8352" s="40"/>
      <c r="C8352" s="40"/>
      <c r="D8352" s="41"/>
      <c r="E8352" s="43">
        <f>C8352</f>
        <v>0</v>
      </c>
      <c r="F8352" s="42"/>
    </row>
    <row r="8353" spans="1:6">
      <c r="A8353" s="39">
        <f>A8352</f>
        <v>46048</v>
      </c>
      <c r="B8353" s="40"/>
      <c r="C8353" s="40"/>
      <c r="D8353" s="41"/>
      <c r="E8353" s="43">
        <f>C8353</f>
        <v>0</v>
      </c>
      <c r="F8353" s="42"/>
    </row>
    <row r="8354" spans="1:6">
      <c r="A8354" s="39">
        <f>A8353</f>
        <v>46048</v>
      </c>
      <c r="B8354" s="40"/>
      <c r="C8354" s="40"/>
      <c r="D8354" s="41"/>
      <c r="E8354" s="43">
        <f>C8354</f>
        <v>0</v>
      </c>
      <c r="F8354" s="42"/>
    </row>
    <row r="8355" spans="1:6">
      <c r="A8355" s="39">
        <f>A8354</f>
        <v>46048</v>
      </c>
      <c r="B8355" s="40"/>
      <c r="C8355" s="40"/>
      <c r="D8355" s="41"/>
      <c r="E8355" s="43">
        <f>C8355</f>
        <v>0</v>
      </c>
      <c r="F8355" s="42"/>
    </row>
    <row r="8356" spans="1:6">
      <c r="A8356" s="39">
        <f>A8355</f>
        <v>46048</v>
      </c>
      <c r="B8356" s="40"/>
      <c r="C8356" s="40"/>
      <c r="D8356" s="41"/>
      <c r="E8356" s="43">
        <f>C8356</f>
        <v>0</v>
      </c>
      <c r="F8356" s="42"/>
    </row>
    <row r="8357" spans="1:6">
      <c r="A8357" s="39">
        <f>A8356</f>
        <v>46048</v>
      </c>
      <c r="B8357" s="40"/>
      <c r="C8357" s="40"/>
      <c r="D8357" s="41"/>
      <c r="E8357" s="43">
        <f>C8357</f>
        <v>0</v>
      </c>
      <c r="F8357" s="42"/>
    </row>
    <row r="8358" spans="1:6">
      <c r="A8358" s="39">
        <f>A8357</f>
        <v>46048</v>
      </c>
      <c r="B8358" s="40"/>
      <c r="C8358" s="40"/>
      <c r="D8358" s="41"/>
      <c r="E8358" s="43">
        <f>C8358</f>
        <v>0</v>
      </c>
      <c r="F8358" s="42"/>
    </row>
    <row r="8359" spans="1:6">
      <c r="A8359" s="39">
        <f>A8358</f>
        <v>46048</v>
      </c>
      <c r="B8359" s="40"/>
      <c r="C8359" s="40"/>
      <c r="D8359" s="41"/>
      <c r="E8359" s="43">
        <f>C8359</f>
        <v>0</v>
      </c>
      <c r="F8359" s="42"/>
    </row>
    <row r="8360" spans="1:6">
      <c r="A8360" s="39">
        <f>A8359</f>
        <v>46048</v>
      </c>
      <c r="B8360" s="40"/>
      <c r="C8360" s="40"/>
      <c r="D8360" s="41"/>
      <c r="E8360" s="43">
        <f>C8360</f>
        <v>0</v>
      </c>
      <c r="F8360" s="42"/>
    </row>
    <row r="8361" spans="1:6">
      <c r="A8361" s="39">
        <f>A8360</f>
        <v>46048</v>
      </c>
      <c r="B8361" s="40"/>
      <c r="C8361" s="40"/>
      <c r="D8361" s="41"/>
      <c r="E8361" s="43">
        <f>C8361</f>
        <v>0</v>
      </c>
      <c r="F8361" s="42"/>
    </row>
    <row r="8362" spans="1:6">
      <c r="A8362" s="39">
        <f>A8361</f>
        <v>46048</v>
      </c>
      <c r="B8362" s="40"/>
      <c r="C8362" s="40"/>
      <c r="D8362" s="41"/>
      <c r="E8362" s="43">
        <f>C8362</f>
        <v>0</v>
      </c>
      <c r="F8362" s="42"/>
    </row>
    <row r="8363" spans="1:6">
      <c r="A8363" s="39">
        <f>A8362</f>
        <v>46048</v>
      </c>
      <c r="B8363" s="40"/>
      <c r="C8363" s="40"/>
      <c r="D8363" s="41"/>
      <c r="E8363" s="43">
        <f>C8363</f>
        <v>0</v>
      </c>
      <c r="F8363" s="42"/>
    </row>
    <row r="8364" spans="1:6">
      <c r="A8364" s="39">
        <f>A8363</f>
        <v>46048</v>
      </c>
      <c r="B8364" s="40"/>
      <c r="C8364" s="40"/>
      <c r="D8364" s="41"/>
      <c r="E8364" s="43">
        <f>C8364</f>
        <v>0</v>
      </c>
      <c r="F8364" s="42"/>
    </row>
    <row r="8365" spans="1:6">
      <c r="A8365" s="39">
        <f>A8364</f>
        <v>46048</v>
      </c>
      <c r="B8365" s="40"/>
      <c r="C8365" s="40"/>
      <c r="D8365" s="41"/>
      <c r="E8365" s="43">
        <f>C8365</f>
        <v>0</v>
      </c>
      <c r="F8365" s="42"/>
    </row>
    <row r="8366" spans="1:6">
      <c r="A8366" s="39">
        <f>A8365</f>
        <v>46048</v>
      </c>
      <c r="B8366" s="40"/>
      <c r="C8366" s="40"/>
      <c r="D8366" s="41"/>
      <c r="E8366" s="43">
        <f>C8366</f>
        <v>0</v>
      </c>
      <c r="F8366" s="42"/>
    </row>
    <row r="8367" spans="1:6">
      <c r="A8367" s="39">
        <f>A8366</f>
        <v>46048</v>
      </c>
      <c r="B8367" s="40"/>
      <c r="C8367" s="40"/>
      <c r="D8367" s="41"/>
      <c r="E8367" s="43">
        <f>C8367</f>
        <v>0</v>
      </c>
      <c r="F8367" s="42"/>
    </row>
    <row r="8368" spans="1:6">
      <c r="A8368" s="39">
        <f>A8367</f>
        <v>46048</v>
      </c>
      <c r="B8368" s="40"/>
      <c r="C8368" s="40"/>
      <c r="D8368" s="41"/>
      <c r="E8368" s="43">
        <f>C8368</f>
        <v>0</v>
      </c>
      <c r="F8368" s="42"/>
    </row>
    <row r="8369" spans="1:6">
      <c r="A8369" s="39">
        <f>A8368</f>
        <v>46048</v>
      </c>
      <c r="B8369" s="40"/>
      <c r="C8369" s="40"/>
      <c r="D8369" s="41"/>
      <c r="E8369" s="43">
        <f>C8369</f>
        <v>0</v>
      </c>
      <c r="F8369" s="42"/>
    </row>
    <row r="8370" spans="1:6">
      <c r="A8370" s="39">
        <f>A8369</f>
        <v>46048</v>
      </c>
      <c r="B8370" s="40"/>
      <c r="C8370" s="40"/>
      <c r="D8370" s="41"/>
      <c r="E8370" s="43">
        <f>C8370</f>
        <v>0</v>
      </c>
      <c r="F8370" s="42"/>
    </row>
    <row r="8371" spans="1:6">
      <c r="A8371" s="39">
        <f>A8370</f>
        <v>46048</v>
      </c>
      <c r="B8371" s="40"/>
      <c r="C8371" s="40"/>
      <c r="D8371" s="41"/>
      <c r="E8371" s="43">
        <f>C8371</f>
        <v>0</v>
      </c>
      <c r="F8371" s="42"/>
    </row>
    <row r="8372" spans="1:6">
      <c r="A8372" s="39">
        <f>A8371</f>
        <v>46048</v>
      </c>
      <c r="B8372" s="40"/>
      <c r="C8372" s="40"/>
      <c r="D8372" s="41"/>
      <c r="E8372" s="43">
        <f>C8372</f>
        <v>0</v>
      </c>
      <c r="F8372" s="42"/>
    </row>
    <row r="8373" spans="1:6">
      <c r="A8373" s="39">
        <f>A8372</f>
        <v>46048</v>
      </c>
      <c r="B8373" s="40"/>
      <c r="C8373" s="40"/>
      <c r="D8373" s="41"/>
      <c r="E8373" s="43">
        <f>C8373</f>
        <v>0</v>
      </c>
      <c r="F8373" s="42"/>
    </row>
    <row r="8374" spans="1:6">
      <c r="A8374" s="39">
        <f>A8373</f>
        <v>46048</v>
      </c>
      <c r="B8374" s="40"/>
      <c r="C8374" s="40"/>
      <c r="D8374" s="41"/>
      <c r="E8374" s="43">
        <f>C8374</f>
        <v>0</v>
      </c>
      <c r="F8374" s="42"/>
    </row>
    <row r="8375" spans="1:6">
      <c r="A8375" s="39">
        <f>A8374</f>
        <v>46048</v>
      </c>
      <c r="B8375" s="40"/>
      <c r="C8375" s="40"/>
      <c r="D8375" s="41"/>
      <c r="E8375" s="43">
        <f>C8375</f>
        <v>0</v>
      </c>
      <c r="F8375" s="42"/>
    </row>
    <row r="8376" spans="1:6">
      <c r="A8376" s="39">
        <f>A8375</f>
        <v>46048</v>
      </c>
      <c r="B8376" s="40"/>
      <c r="C8376" s="40"/>
      <c r="D8376" s="41"/>
      <c r="E8376" s="43">
        <f>C8376</f>
        <v>0</v>
      </c>
      <c r="F8376" s="42"/>
    </row>
    <row r="8377" spans="1:6">
      <c r="A8377" s="39">
        <f>A8376</f>
        <v>46048</v>
      </c>
      <c r="B8377" s="40"/>
      <c r="C8377" s="40"/>
      <c r="D8377" s="41"/>
      <c r="E8377" s="43">
        <f>C8377</f>
        <v>0</v>
      </c>
      <c r="F8377" s="42"/>
    </row>
    <row r="8378" spans="1:6">
      <c r="A8378" s="39">
        <f>A8377</f>
        <v>46048</v>
      </c>
      <c r="B8378" s="40"/>
      <c r="C8378" s="40"/>
      <c r="D8378" s="41"/>
      <c r="E8378" s="43">
        <f>C8378</f>
        <v>0</v>
      </c>
      <c r="F8378" s="42"/>
    </row>
    <row r="8379" spans="1:6">
      <c r="A8379" s="39">
        <f>A8378</f>
        <v>46048</v>
      </c>
      <c r="B8379" s="40"/>
      <c r="C8379" s="40"/>
      <c r="D8379" s="41"/>
      <c r="E8379" s="43">
        <f>C8379</f>
        <v>0</v>
      </c>
      <c r="F8379" s="42"/>
    </row>
    <row r="8380" spans="1:6">
      <c r="A8380" s="39">
        <f>A8379</f>
        <v>46048</v>
      </c>
      <c r="B8380" s="40"/>
      <c r="C8380" s="40"/>
      <c r="D8380" s="41"/>
      <c r="E8380" s="43">
        <f>C8380</f>
        <v>0</v>
      </c>
      <c r="F8380" s="42"/>
    </row>
    <row r="8381" spans="1:6">
      <c r="A8381" s="39">
        <f>A8380</f>
        <v>46048</v>
      </c>
      <c r="B8381" s="40"/>
      <c r="C8381" s="40"/>
      <c r="D8381" s="41"/>
      <c r="E8381" s="43">
        <f>C8381</f>
        <v>0</v>
      </c>
      <c r="F8381" s="42"/>
    </row>
    <row r="8382" spans="1:6">
      <c r="A8382" s="39">
        <f>A8381</f>
        <v>46048</v>
      </c>
      <c r="B8382" s="40"/>
      <c r="C8382" s="40"/>
      <c r="D8382" s="41"/>
      <c r="E8382" s="43">
        <f>C8382</f>
        <v>0</v>
      </c>
      <c r="F8382" s="42"/>
    </row>
    <row r="8383" spans="1:6">
      <c r="A8383" s="39">
        <f>A8382</f>
        <v>46048</v>
      </c>
      <c r="B8383" s="40"/>
      <c r="C8383" s="40"/>
      <c r="D8383" s="41"/>
      <c r="E8383" s="43">
        <f>C8383</f>
        <v>0</v>
      </c>
      <c r="F8383" s="42"/>
    </row>
    <row r="8384" spans="1:6">
      <c r="A8384" s="39">
        <f>A8383</f>
        <v>46048</v>
      </c>
      <c r="B8384" s="40"/>
      <c r="C8384" s="40"/>
      <c r="D8384" s="41"/>
      <c r="E8384" s="43">
        <f>C8384</f>
        <v>0</v>
      </c>
      <c r="F8384" s="42"/>
    </row>
    <row r="8385" spans="1:6">
      <c r="A8385" s="39">
        <f>A8384</f>
        <v>46048</v>
      </c>
      <c r="B8385" s="40"/>
      <c r="C8385" s="40"/>
      <c r="D8385" s="41"/>
      <c r="E8385" s="43">
        <f>C8385</f>
        <v>0</v>
      </c>
      <c r="F8385" s="42"/>
    </row>
    <row r="8386" spans="1:6">
      <c r="A8386" s="39">
        <f>A8385</f>
        <v>46048</v>
      </c>
      <c r="B8386" s="40"/>
      <c r="C8386" s="40"/>
      <c r="D8386" s="41"/>
      <c r="E8386" s="43">
        <f>C8386</f>
        <v>0</v>
      </c>
      <c r="F8386" s="42"/>
    </row>
    <row r="8387" spans="1:6">
      <c r="A8387" s="39">
        <f>A8386</f>
        <v>46048</v>
      </c>
      <c r="B8387" s="40"/>
      <c r="C8387" s="40"/>
      <c r="D8387" s="41"/>
      <c r="E8387" s="43">
        <f>C8387</f>
        <v>0</v>
      </c>
      <c r="F8387" s="42"/>
    </row>
    <row r="8388" spans="1:6">
      <c r="A8388" s="39">
        <f>A8387</f>
        <v>46048</v>
      </c>
      <c r="B8388" s="40"/>
      <c r="C8388" s="40"/>
      <c r="D8388" s="41"/>
      <c r="E8388" s="43">
        <f>C8388</f>
        <v>0</v>
      </c>
      <c r="F8388" s="42"/>
    </row>
    <row r="8389" spans="1:6">
      <c r="A8389" s="39">
        <f>A8388</f>
        <v>46048</v>
      </c>
      <c r="B8389" s="40"/>
      <c r="C8389" s="40"/>
      <c r="D8389" s="41"/>
      <c r="E8389" s="43">
        <f>C8389</f>
        <v>0</v>
      </c>
      <c r="F8389" s="42"/>
    </row>
    <row r="8390" spans="1:6">
      <c r="A8390" s="39">
        <f>A8389</f>
        <v>46048</v>
      </c>
      <c r="B8390" s="40"/>
      <c r="C8390" s="40"/>
      <c r="D8390" s="41"/>
      <c r="E8390" s="43">
        <f>C8390</f>
        <v>0</v>
      </c>
      <c r="F8390" s="42"/>
    </row>
    <row r="8391" spans="1:6">
      <c r="A8391" s="39">
        <f>A8390</f>
        <v>46048</v>
      </c>
      <c r="B8391" s="40"/>
      <c r="C8391" s="40"/>
      <c r="D8391" s="41"/>
      <c r="E8391" s="43">
        <f>C8391</f>
        <v>0</v>
      </c>
      <c r="F8391" s="42"/>
    </row>
    <row r="8392" spans="1:6">
      <c r="A8392" s="39">
        <f>A8391</f>
        <v>46048</v>
      </c>
      <c r="B8392" s="40"/>
      <c r="C8392" s="40"/>
      <c r="D8392" s="41"/>
      <c r="E8392" s="43">
        <f>C8392</f>
        <v>0</v>
      </c>
      <c r="F8392" s="42"/>
    </row>
    <row r="8393" spans="1:6">
      <c r="A8393" s="39">
        <f>A8392</f>
        <v>46048</v>
      </c>
      <c r="B8393" s="40"/>
      <c r="C8393" s="40"/>
      <c r="D8393" s="41"/>
      <c r="E8393" s="43">
        <f>C8393</f>
        <v>0</v>
      </c>
      <c r="F8393" s="42"/>
    </row>
    <row r="8394" spans="1:6">
      <c r="A8394" s="39">
        <f>A8393</f>
        <v>46048</v>
      </c>
      <c r="B8394" s="40"/>
      <c r="C8394" s="40"/>
      <c r="D8394" s="41"/>
      <c r="E8394" s="43">
        <f>C8394</f>
        <v>0</v>
      </c>
      <c r="F8394" s="42"/>
    </row>
    <row r="8395" spans="1:6">
      <c r="A8395" s="39">
        <f>A8394</f>
        <v>46048</v>
      </c>
      <c r="B8395" s="40"/>
      <c r="C8395" s="40"/>
      <c r="D8395" s="41"/>
      <c r="E8395" s="43">
        <f>C8395</f>
        <v>0</v>
      </c>
      <c r="F8395" s="42"/>
    </row>
    <row r="8396" spans="1:6">
      <c r="A8396" s="39">
        <f>A8395</f>
        <v>46048</v>
      </c>
      <c r="B8396" s="40"/>
      <c r="C8396" s="40"/>
      <c r="D8396" s="41"/>
      <c r="E8396" s="43">
        <f>C8396</f>
        <v>0</v>
      </c>
      <c r="F8396" s="42"/>
    </row>
    <row r="8397" spans="1:6">
      <c r="A8397" s="39">
        <f>A8396</f>
        <v>46048</v>
      </c>
      <c r="B8397" s="40"/>
      <c r="C8397" s="40"/>
      <c r="D8397" s="41"/>
      <c r="E8397" s="43">
        <f>C8397</f>
        <v>0</v>
      </c>
      <c r="F8397" s="42"/>
    </row>
    <row r="8398" spans="1:6">
      <c r="A8398" s="39">
        <f>A8397</f>
        <v>46048</v>
      </c>
      <c r="B8398" s="40"/>
      <c r="C8398" s="40"/>
      <c r="D8398" s="41"/>
      <c r="E8398" s="43">
        <f>C8398</f>
        <v>0</v>
      </c>
      <c r="F8398" s="42"/>
    </row>
    <row r="8399" spans="1:6">
      <c r="A8399" s="39">
        <f>A8398</f>
        <v>46048</v>
      </c>
      <c r="B8399" s="40"/>
      <c r="C8399" s="40"/>
      <c r="D8399" s="41"/>
      <c r="E8399" s="43">
        <f>C8399</f>
        <v>0</v>
      </c>
      <c r="F8399" s="42"/>
    </row>
    <row r="8400" spans="1:6">
      <c r="A8400" s="39">
        <f>A8399</f>
        <v>46048</v>
      </c>
      <c r="B8400" s="40"/>
      <c r="C8400" s="40"/>
      <c r="D8400" s="41"/>
      <c r="E8400" s="43">
        <f>C8400</f>
        <v>0</v>
      </c>
      <c r="F8400" s="42"/>
    </row>
    <row r="8401" spans="1:6">
      <c r="A8401" s="39">
        <f>A8400</f>
        <v>46048</v>
      </c>
      <c r="B8401" s="40"/>
      <c r="C8401" s="40"/>
      <c r="D8401" s="41"/>
      <c r="E8401" s="43">
        <f>C8401</f>
        <v>0</v>
      </c>
      <c r="F8401" s="42"/>
    </row>
    <row r="8402" spans="1:6">
      <c r="A8402" s="39">
        <f>A8401</f>
        <v>46048</v>
      </c>
      <c r="B8402" s="40"/>
      <c r="C8402" s="40"/>
      <c r="D8402" s="41"/>
      <c r="E8402" s="43">
        <f>C8402</f>
        <v>0</v>
      </c>
      <c r="F8402" s="42"/>
    </row>
    <row r="8403" spans="1:6">
      <c r="A8403" s="39">
        <f>A8402</f>
        <v>46048</v>
      </c>
      <c r="B8403" s="40"/>
      <c r="C8403" s="40"/>
      <c r="D8403" s="41"/>
      <c r="E8403" s="43">
        <f>C8403</f>
        <v>0</v>
      </c>
      <c r="F8403" s="42"/>
    </row>
    <row r="8404" spans="1:6">
      <c r="A8404" s="39">
        <f>A8403</f>
        <v>46048</v>
      </c>
      <c r="B8404" s="40"/>
      <c r="C8404" s="40"/>
      <c r="D8404" s="41"/>
      <c r="E8404" s="43">
        <f>C8404</f>
        <v>0</v>
      </c>
      <c r="F8404" s="42"/>
    </row>
    <row r="8405" spans="1:6">
      <c r="A8405" s="39">
        <f>A8404</f>
        <v>46048</v>
      </c>
      <c r="B8405" s="40"/>
      <c r="C8405" s="40"/>
      <c r="D8405" s="41"/>
      <c r="E8405" s="43">
        <f>C8405</f>
        <v>0</v>
      </c>
      <c r="F8405" s="42"/>
    </row>
    <row r="8406" spans="1:6">
      <c r="A8406" s="39">
        <f>A8405</f>
        <v>46048</v>
      </c>
      <c r="B8406" s="40"/>
      <c r="C8406" s="40"/>
      <c r="D8406" s="41"/>
      <c r="E8406" s="43">
        <f>C8406</f>
        <v>0</v>
      </c>
      <c r="F8406" s="42"/>
    </row>
    <row r="8407" spans="1:6">
      <c r="A8407" s="39">
        <f>A8406</f>
        <v>46048</v>
      </c>
      <c r="B8407" s="40"/>
      <c r="C8407" s="40"/>
      <c r="D8407" s="41"/>
      <c r="E8407" s="43">
        <f>C8407</f>
        <v>0</v>
      </c>
      <c r="F8407" s="42"/>
    </row>
    <row r="8408" spans="1:6">
      <c r="A8408" s="39">
        <f>A8407</f>
        <v>46048</v>
      </c>
      <c r="B8408" s="40"/>
      <c r="C8408" s="40"/>
      <c r="D8408" s="41"/>
      <c r="E8408" s="43">
        <f>C8408</f>
        <v>0</v>
      </c>
      <c r="F8408" s="42"/>
    </row>
    <row r="8409" spans="1:6">
      <c r="A8409" s="39">
        <f>A8408</f>
        <v>46048</v>
      </c>
      <c r="B8409" s="40"/>
      <c r="C8409" s="40"/>
      <c r="D8409" s="41"/>
      <c r="E8409" s="43">
        <f>C8409</f>
        <v>0</v>
      </c>
      <c r="F8409" s="42"/>
    </row>
    <row r="8410" spans="1:6">
      <c r="A8410" s="39">
        <f>A8409</f>
        <v>46048</v>
      </c>
      <c r="B8410" s="40"/>
      <c r="C8410" s="40"/>
      <c r="D8410" s="41"/>
      <c r="E8410" s="43">
        <f>C8410</f>
        <v>0</v>
      </c>
      <c r="F8410" s="42"/>
    </row>
    <row r="8411" spans="1:6">
      <c r="A8411" s="39">
        <f>A8410</f>
        <v>46048</v>
      </c>
      <c r="B8411" s="40"/>
      <c r="C8411" s="40"/>
      <c r="D8411" s="41"/>
      <c r="E8411" s="43">
        <f>C8411</f>
        <v>0</v>
      </c>
      <c r="F8411" s="42"/>
    </row>
    <row r="8412" spans="1:6">
      <c r="A8412" s="39">
        <f>A8411</f>
        <v>46048</v>
      </c>
      <c r="B8412" s="40"/>
      <c r="C8412" s="40"/>
      <c r="D8412" s="41"/>
      <c r="E8412" s="43">
        <f>C8412</f>
        <v>0</v>
      </c>
      <c r="F8412" s="42"/>
    </row>
    <row r="8413" spans="1:6">
      <c r="A8413" s="39">
        <f>A8412</f>
        <v>46048</v>
      </c>
      <c r="B8413" s="40"/>
      <c r="C8413" s="40"/>
      <c r="D8413" s="41"/>
      <c r="E8413" s="43">
        <f>C8413</f>
        <v>0</v>
      </c>
      <c r="F8413" s="42"/>
    </row>
    <row r="8414" spans="1:6">
      <c r="A8414" s="39">
        <f>A8413</f>
        <v>46048</v>
      </c>
      <c r="B8414" s="40"/>
      <c r="C8414" s="40"/>
      <c r="D8414" s="41"/>
      <c r="E8414" s="43">
        <f>C8414</f>
        <v>0</v>
      </c>
      <c r="F8414" s="42"/>
    </row>
    <row r="8415" spans="1:6">
      <c r="A8415" s="39">
        <f>A8414</f>
        <v>46048</v>
      </c>
      <c r="B8415" s="40"/>
      <c r="C8415" s="40"/>
      <c r="D8415" s="41"/>
      <c r="E8415" s="43">
        <f>C8415</f>
        <v>0</v>
      </c>
      <c r="F8415" s="42"/>
    </row>
    <row r="8416" spans="1:6">
      <c r="A8416" s="39">
        <f>A8415</f>
        <v>46048</v>
      </c>
      <c r="B8416" s="40"/>
      <c r="C8416" s="40"/>
      <c r="D8416" s="41"/>
      <c r="E8416" s="43">
        <f>C8416</f>
        <v>0</v>
      </c>
      <c r="F8416" s="42"/>
    </row>
    <row r="8417" spans="1:6">
      <c r="A8417" s="39">
        <f>A8416</f>
        <v>46048</v>
      </c>
      <c r="B8417" s="40"/>
      <c r="C8417" s="40"/>
      <c r="D8417" s="41"/>
      <c r="E8417" s="43">
        <f>C8417</f>
        <v>0</v>
      </c>
      <c r="F8417" s="42"/>
    </row>
    <row r="8418" spans="1:6">
      <c r="A8418" s="39">
        <f>A8417</f>
        <v>46048</v>
      </c>
      <c r="B8418" s="40"/>
      <c r="C8418" s="40"/>
      <c r="D8418" s="41"/>
      <c r="E8418" s="43">
        <f>C8418</f>
        <v>0</v>
      </c>
      <c r="F8418" s="42"/>
    </row>
    <row r="8419" spans="1:6">
      <c r="A8419" s="39">
        <f>A8418</f>
        <v>46048</v>
      </c>
      <c r="B8419" s="40"/>
      <c r="C8419" s="40"/>
      <c r="D8419" s="41"/>
      <c r="E8419" s="43">
        <f>C8419</f>
        <v>0</v>
      </c>
      <c r="F8419" s="42"/>
    </row>
    <row r="8420" spans="1:6">
      <c r="A8420" s="39">
        <f>A8419</f>
        <v>46048</v>
      </c>
      <c r="B8420" s="40"/>
      <c r="C8420" s="40"/>
      <c r="D8420" s="41"/>
      <c r="E8420" s="43">
        <f>C8420</f>
        <v>0</v>
      </c>
      <c r="F8420" s="42"/>
    </row>
    <row r="8421" spans="1:6">
      <c r="A8421" s="39">
        <f>A8420</f>
        <v>46048</v>
      </c>
      <c r="B8421" s="40"/>
      <c r="C8421" s="40"/>
      <c r="D8421" s="41"/>
      <c r="E8421" s="43">
        <f>C8421</f>
        <v>0</v>
      </c>
      <c r="F8421" s="42"/>
    </row>
    <row r="8422" spans="1:6">
      <c r="A8422" s="39">
        <f>A8421</f>
        <v>46048</v>
      </c>
      <c r="B8422" s="40"/>
      <c r="C8422" s="40"/>
      <c r="D8422" s="41"/>
      <c r="E8422" s="43">
        <f>C8422</f>
        <v>0</v>
      </c>
      <c r="F8422" s="42"/>
    </row>
    <row r="8423" spans="1:6">
      <c r="A8423" s="39">
        <f>A8422</f>
        <v>46048</v>
      </c>
      <c r="B8423" s="40"/>
      <c r="C8423" s="40"/>
      <c r="D8423" s="41"/>
      <c r="E8423" s="43">
        <f>C8423</f>
        <v>0</v>
      </c>
      <c r="F8423" s="42"/>
    </row>
    <row r="8424" spans="1:6">
      <c r="A8424" s="39">
        <f>A8423</f>
        <v>46048</v>
      </c>
      <c r="B8424" s="40"/>
      <c r="C8424" s="40"/>
      <c r="D8424" s="41"/>
      <c r="E8424" s="43">
        <f>C8424</f>
        <v>0</v>
      </c>
      <c r="F8424" s="42"/>
    </row>
    <row r="8425" spans="1:6">
      <c r="A8425" s="39">
        <f>A8424</f>
        <v>46048</v>
      </c>
      <c r="B8425" s="40"/>
      <c r="C8425" s="40"/>
      <c r="D8425" s="41"/>
      <c r="E8425" s="43">
        <f>C8425</f>
        <v>0</v>
      </c>
      <c r="F8425" s="42"/>
    </row>
    <row r="8426" spans="1:6">
      <c r="A8426" s="39">
        <f>A8425</f>
        <v>46048</v>
      </c>
      <c r="B8426" s="40"/>
      <c r="C8426" s="40"/>
      <c r="D8426" s="41"/>
      <c r="E8426" s="43">
        <f>C8426</f>
        <v>0</v>
      </c>
      <c r="F8426" s="42"/>
    </row>
    <row r="8427" spans="1:6">
      <c r="A8427" s="39">
        <f>A8426</f>
        <v>46048</v>
      </c>
      <c r="B8427" s="40"/>
      <c r="C8427" s="40"/>
      <c r="D8427" s="41"/>
      <c r="E8427" s="43">
        <f>C8427</f>
        <v>0</v>
      </c>
      <c r="F8427" s="42"/>
    </row>
    <row r="8428" spans="1:6">
      <c r="A8428" s="39">
        <f>A8427</f>
        <v>46048</v>
      </c>
      <c r="B8428" s="40"/>
      <c r="C8428" s="40"/>
      <c r="D8428" s="41"/>
      <c r="E8428" s="43">
        <f>C8428</f>
        <v>0</v>
      </c>
      <c r="F8428" s="42"/>
    </row>
    <row r="8429" spans="1:6">
      <c r="A8429" s="39">
        <f>A8428</f>
        <v>46048</v>
      </c>
      <c r="B8429" s="40"/>
      <c r="C8429" s="40"/>
      <c r="D8429" s="41"/>
      <c r="E8429" s="43">
        <f>C8429</f>
        <v>0</v>
      </c>
      <c r="F8429" s="42"/>
    </row>
    <row r="8430" spans="1:6">
      <c r="A8430" s="39">
        <f>A8429</f>
        <v>46048</v>
      </c>
      <c r="B8430" s="40"/>
      <c r="C8430" s="40"/>
      <c r="D8430" s="41"/>
      <c r="E8430" s="43">
        <f>C8430</f>
        <v>0</v>
      </c>
      <c r="F8430" s="42"/>
    </row>
    <row r="8431" spans="1:6">
      <c r="A8431" s="39">
        <f>A8430</f>
        <v>46048</v>
      </c>
      <c r="B8431" s="40"/>
      <c r="C8431" s="40"/>
      <c r="D8431" s="41"/>
      <c r="E8431" s="43">
        <f>C8431</f>
        <v>0</v>
      </c>
      <c r="F8431" s="42"/>
    </row>
    <row r="8432" spans="1:6">
      <c r="A8432" s="39">
        <f>A8431</f>
        <v>46048</v>
      </c>
      <c r="B8432" s="40"/>
      <c r="C8432" s="40"/>
      <c r="D8432" s="41"/>
      <c r="E8432" s="43">
        <f>C8432</f>
        <v>0</v>
      </c>
      <c r="F8432" s="42"/>
    </row>
    <row r="8433" spans="1:6">
      <c r="A8433" s="39">
        <f>A8432</f>
        <v>46048</v>
      </c>
      <c r="B8433" s="40"/>
      <c r="C8433" s="40"/>
      <c r="D8433" s="41"/>
      <c r="E8433" s="43">
        <f>C8433</f>
        <v>0</v>
      </c>
      <c r="F8433" s="42"/>
    </row>
    <row r="8434" spans="1:6">
      <c r="A8434" s="39">
        <f>A8433</f>
        <v>46048</v>
      </c>
      <c r="B8434" s="40"/>
      <c r="C8434" s="40"/>
      <c r="D8434" s="41"/>
      <c r="E8434" s="43">
        <f>C8434</f>
        <v>0</v>
      </c>
      <c r="F8434" s="42"/>
    </row>
    <row r="8435" spans="1:6">
      <c r="A8435" s="39">
        <f>A8434</f>
        <v>46048</v>
      </c>
      <c r="B8435" s="40"/>
      <c r="C8435" s="40"/>
      <c r="D8435" s="41"/>
      <c r="E8435" s="43">
        <f>C8435</f>
        <v>0</v>
      </c>
      <c r="F8435" s="42"/>
    </row>
    <row r="8436" spans="1:6">
      <c r="A8436" s="39">
        <f>A8435</f>
        <v>46048</v>
      </c>
      <c r="B8436" s="40"/>
      <c r="C8436" s="40"/>
      <c r="D8436" s="41"/>
      <c r="E8436" s="43">
        <f>C8436</f>
        <v>0</v>
      </c>
      <c r="F8436" s="42"/>
    </row>
    <row r="8437" spans="1:6">
      <c r="A8437" s="39">
        <f>A8436</f>
        <v>46048</v>
      </c>
      <c r="B8437" s="40"/>
      <c r="C8437" s="40"/>
      <c r="D8437" s="41"/>
      <c r="E8437" s="43">
        <f>C8437</f>
        <v>0</v>
      </c>
      <c r="F8437" s="42"/>
    </row>
    <row r="8438" spans="1:6">
      <c r="A8438" s="39">
        <f>A8437</f>
        <v>46048</v>
      </c>
      <c r="B8438" s="40"/>
      <c r="C8438" s="40"/>
      <c r="D8438" s="41"/>
      <c r="E8438" s="43">
        <f>C8438</f>
        <v>0</v>
      </c>
      <c r="F8438" s="42"/>
    </row>
    <row r="8439" spans="1:6">
      <c r="A8439" s="39">
        <f>A8438</f>
        <v>46048</v>
      </c>
      <c r="B8439" s="40"/>
      <c r="C8439" s="40"/>
      <c r="D8439" s="41"/>
      <c r="E8439" s="43">
        <f>C8439</f>
        <v>0</v>
      </c>
      <c r="F8439" s="42"/>
    </row>
    <row r="8440" spans="1:6">
      <c r="A8440" s="39">
        <f>A8439</f>
        <v>46048</v>
      </c>
      <c r="B8440" s="40"/>
      <c r="C8440" s="40"/>
      <c r="D8440" s="41"/>
      <c r="E8440" s="43">
        <f>C8440</f>
        <v>0</v>
      </c>
      <c r="F8440" s="42"/>
    </row>
    <row r="8441" spans="1:6">
      <c r="A8441" s="39">
        <f>A8440</f>
        <v>46048</v>
      </c>
      <c r="B8441" s="40"/>
      <c r="C8441" s="40"/>
      <c r="D8441" s="41"/>
      <c r="E8441" s="43">
        <f>C8441</f>
        <v>0</v>
      </c>
      <c r="F8441" s="42"/>
    </row>
    <row r="8442" spans="1:6">
      <c r="A8442" s="39">
        <f>A8441</f>
        <v>46048</v>
      </c>
      <c r="B8442" s="40"/>
      <c r="C8442" s="40"/>
      <c r="D8442" s="41"/>
      <c r="E8442" s="43">
        <f>C8442</f>
        <v>0</v>
      </c>
      <c r="F8442" s="42"/>
    </row>
    <row r="8443" spans="1:6">
      <c r="A8443" s="39">
        <f>A8442</f>
        <v>46048</v>
      </c>
      <c r="B8443" s="40"/>
      <c r="C8443" s="40"/>
      <c r="D8443" s="41"/>
      <c r="E8443" s="43">
        <f>C8443</f>
        <v>0</v>
      </c>
      <c r="F8443" s="42"/>
    </row>
    <row r="8444" spans="1:6">
      <c r="A8444" s="39">
        <f>A8443</f>
        <v>46048</v>
      </c>
      <c r="B8444" s="40"/>
      <c r="C8444" s="40"/>
      <c r="D8444" s="41"/>
      <c r="E8444" s="43">
        <f>C8444</f>
        <v>0</v>
      </c>
      <c r="F8444" s="42"/>
    </row>
    <row r="8445" spans="1:6">
      <c r="A8445" s="39">
        <f>A8444</f>
        <v>46048</v>
      </c>
      <c r="B8445" s="40"/>
      <c r="C8445" s="40"/>
      <c r="D8445" s="41"/>
      <c r="E8445" s="43">
        <f>C8445</f>
        <v>0</v>
      </c>
      <c r="F8445" s="42"/>
    </row>
    <row r="8446" spans="1:6">
      <c r="A8446" s="39">
        <f>A8445</f>
        <v>46048</v>
      </c>
      <c r="B8446" s="40"/>
      <c r="C8446" s="40"/>
      <c r="D8446" s="41"/>
      <c r="E8446" s="43">
        <f>C8446</f>
        <v>0</v>
      </c>
      <c r="F8446" s="42"/>
    </row>
    <row r="8447" spans="1:6">
      <c r="A8447" s="39">
        <f>A8446</f>
        <v>46048</v>
      </c>
      <c r="B8447" s="40"/>
      <c r="C8447" s="40"/>
      <c r="D8447" s="41"/>
      <c r="E8447" s="43">
        <f>C8447</f>
        <v>0</v>
      </c>
      <c r="F8447" s="42"/>
    </row>
    <row r="8448" spans="1:6">
      <c r="A8448" s="39">
        <f>A8447</f>
        <v>46048</v>
      </c>
      <c r="B8448" s="40"/>
      <c r="C8448" s="40"/>
      <c r="D8448" s="41"/>
      <c r="E8448" s="43">
        <f>C8448</f>
        <v>0</v>
      </c>
      <c r="F8448" s="42"/>
    </row>
    <row r="8449" spans="1:6">
      <c r="A8449" s="39">
        <f>A8448</f>
        <v>46048</v>
      </c>
      <c r="B8449" s="40"/>
      <c r="C8449" s="40"/>
      <c r="D8449" s="41"/>
      <c r="E8449" s="43">
        <f>C8449</f>
        <v>0</v>
      </c>
      <c r="F8449" s="42"/>
    </row>
    <row r="8450" spans="1:6">
      <c r="A8450" s="39">
        <f>A8449</f>
        <v>46048</v>
      </c>
      <c r="B8450" s="40"/>
      <c r="C8450" s="40"/>
      <c r="D8450" s="41"/>
      <c r="E8450" s="43">
        <f>C8450</f>
        <v>0</v>
      </c>
      <c r="F8450" s="42"/>
    </row>
    <row r="8451" spans="1:6">
      <c r="A8451" s="39">
        <f>A8450</f>
        <v>46048</v>
      </c>
      <c r="B8451" s="40"/>
      <c r="C8451" s="40"/>
      <c r="D8451" s="41"/>
      <c r="E8451" s="43">
        <f>C8451</f>
        <v>0</v>
      </c>
      <c r="F8451" s="42"/>
    </row>
    <row r="8452" spans="1:6">
      <c r="A8452" s="39">
        <f>A8451</f>
        <v>46048</v>
      </c>
      <c r="B8452" s="40"/>
      <c r="C8452" s="40"/>
      <c r="D8452" s="41"/>
      <c r="E8452" s="43">
        <f>C8452</f>
        <v>0</v>
      </c>
      <c r="F8452" s="42"/>
    </row>
    <row r="8453" spans="1:6">
      <c r="A8453" s="39">
        <f>A8452</f>
        <v>46048</v>
      </c>
      <c r="B8453" s="40"/>
      <c r="C8453" s="40"/>
      <c r="D8453" s="41"/>
      <c r="E8453" s="43">
        <f>C8453</f>
        <v>0</v>
      </c>
      <c r="F8453" s="42"/>
    </row>
    <row r="8454" spans="1:6">
      <c r="A8454" s="39">
        <f>A8453</f>
        <v>46048</v>
      </c>
      <c r="B8454" s="40"/>
      <c r="C8454" s="40"/>
      <c r="D8454" s="41"/>
      <c r="E8454" s="43">
        <f>C8454</f>
        <v>0</v>
      </c>
      <c r="F8454" s="42"/>
    </row>
    <row r="8455" spans="1:6">
      <c r="A8455" s="39">
        <f>A8454</f>
        <v>46048</v>
      </c>
      <c r="B8455" s="40"/>
      <c r="C8455" s="40"/>
      <c r="D8455" s="41"/>
      <c r="E8455" s="43">
        <f>C8455</f>
        <v>0</v>
      </c>
      <c r="F8455" s="42"/>
    </row>
    <row r="8456" spans="1:6">
      <c r="A8456" s="39">
        <f>A8455</f>
        <v>46048</v>
      </c>
      <c r="B8456" s="40"/>
      <c r="C8456" s="40"/>
      <c r="D8456" s="41"/>
      <c r="E8456" s="43">
        <f>C8456</f>
        <v>0</v>
      </c>
      <c r="F8456" s="42"/>
    </row>
    <row r="8457" spans="1:6">
      <c r="A8457" s="39">
        <f>A8456</f>
        <v>46048</v>
      </c>
      <c r="B8457" s="40"/>
      <c r="C8457" s="40"/>
      <c r="D8457" s="41"/>
      <c r="E8457" s="43">
        <f>C8457</f>
        <v>0</v>
      </c>
      <c r="F8457" s="42"/>
    </row>
    <row r="8458" spans="1:6">
      <c r="A8458" s="39">
        <f>A8457</f>
        <v>46048</v>
      </c>
      <c r="B8458" s="40"/>
      <c r="C8458" s="40"/>
      <c r="D8458" s="41"/>
      <c r="E8458" s="43">
        <f>C8458</f>
        <v>0</v>
      </c>
      <c r="F8458" s="42"/>
    </row>
    <row r="8459" spans="1:6">
      <c r="A8459" s="39">
        <f>A8458</f>
        <v>46048</v>
      </c>
      <c r="B8459" s="40"/>
      <c r="C8459" s="40"/>
      <c r="D8459" s="41"/>
      <c r="E8459" s="43">
        <f>C8459</f>
        <v>0</v>
      </c>
      <c r="F8459" s="42"/>
    </row>
    <row r="8460" spans="1:6">
      <c r="A8460" s="39">
        <f>A8459</f>
        <v>46048</v>
      </c>
      <c r="B8460" s="40"/>
      <c r="C8460" s="40"/>
      <c r="D8460" s="41"/>
      <c r="E8460" s="43">
        <f>C8460</f>
        <v>0</v>
      </c>
      <c r="F8460" s="42"/>
    </row>
    <row r="8461" spans="1:6">
      <c r="A8461" s="39">
        <f>A8460</f>
        <v>46048</v>
      </c>
      <c r="B8461" s="40"/>
      <c r="C8461" s="40"/>
      <c r="D8461" s="41"/>
      <c r="E8461" s="43">
        <f>C8461</f>
        <v>0</v>
      </c>
      <c r="F8461" s="42"/>
    </row>
    <row r="8462" spans="1:6">
      <c r="A8462" s="39">
        <f>A8461</f>
        <v>46048</v>
      </c>
      <c r="B8462" s="40"/>
      <c r="C8462" s="40"/>
      <c r="D8462" s="41"/>
      <c r="E8462" s="43">
        <f>C8462</f>
        <v>0</v>
      </c>
      <c r="F8462" s="42"/>
    </row>
    <row r="8463" spans="1:6">
      <c r="A8463" s="39">
        <f>A8462</f>
        <v>46048</v>
      </c>
      <c r="B8463" s="40"/>
      <c r="C8463" s="40"/>
      <c r="D8463" s="41"/>
      <c r="E8463" s="43">
        <f>C8463</f>
        <v>0</v>
      </c>
      <c r="F8463" s="42"/>
    </row>
    <row r="8464" spans="1:6">
      <c r="A8464" s="39">
        <f>A8463</f>
        <v>46048</v>
      </c>
      <c r="B8464" s="40"/>
      <c r="C8464" s="40"/>
      <c r="D8464" s="41"/>
      <c r="E8464" s="43">
        <f>C8464</f>
        <v>0</v>
      </c>
      <c r="F8464" s="42"/>
    </row>
    <row r="8465" spans="1:6">
      <c r="A8465" s="39">
        <f>A8464</f>
        <v>46048</v>
      </c>
      <c r="B8465" s="40"/>
      <c r="C8465" s="40"/>
      <c r="D8465" s="41"/>
      <c r="E8465" s="43">
        <f>C8465</f>
        <v>0</v>
      </c>
      <c r="F8465" s="42"/>
    </row>
    <row r="8466" spans="1:6">
      <c r="A8466" s="39">
        <f>A8465</f>
        <v>46048</v>
      </c>
      <c r="B8466" s="40"/>
      <c r="C8466" s="40"/>
      <c r="D8466" s="41"/>
      <c r="E8466" s="43">
        <f>C8466</f>
        <v>0</v>
      </c>
      <c r="F8466" s="42"/>
    </row>
    <row r="8467" spans="1:6">
      <c r="A8467" s="39">
        <f>A8466</f>
        <v>46048</v>
      </c>
      <c r="B8467" s="40"/>
      <c r="C8467" s="40"/>
      <c r="D8467" s="41"/>
      <c r="E8467" s="43">
        <f>C8467</f>
        <v>0</v>
      </c>
      <c r="F8467" s="42"/>
    </row>
    <row r="8468" spans="1:6">
      <c r="A8468" s="39">
        <f>A8467</f>
        <v>46048</v>
      </c>
      <c r="B8468" s="40"/>
      <c r="C8468" s="40"/>
      <c r="D8468" s="41"/>
      <c r="E8468" s="43">
        <f>C8468</f>
        <v>0</v>
      </c>
      <c r="F8468" s="42"/>
    </row>
    <row r="8469" spans="1:6">
      <c r="A8469" s="39">
        <f>A8468</f>
        <v>46048</v>
      </c>
      <c r="B8469" s="40"/>
      <c r="C8469" s="40"/>
      <c r="D8469" s="41"/>
      <c r="E8469" s="43">
        <f>C8469</f>
        <v>0</v>
      </c>
      <c r="F8469" s="42"/>
    </row>
    <row r="8470" spans="1:6">
      <c r="A8470" s="39">
        <f>A8469</f>
        <v>46048</v>
      </c>
      <c r="B8470" s="40"/>
      <c r="C8470" s="40"/>
      <c r="D8470" s="41"/>
      <c r="E8470" s="43">
        <f>C8470</f>
        <v>0</v>
      </c>
      <c r="F8470" s="42"/>
    </row>
    <row r="8471" spans="1:6">
      <c r="A8471" s="39">
        <f>A8470</f>
        <v>46048</v>
      </c>
      <c r="B8471" s="40"/>
      <c r="C8471" s="40"/>
      <c r="D8471" s="41"/>
      <c r="E8471" s="43">
        <f>C8471</f>
        <v>0</v>
      </c>
      <c r="F8471" s="42"/>
    </row>
    <row r="8472" spans="1:6">
      <c r="A8472" s="39">
        <f>A8471</f>
        <v>46048</v>
      </c>
      <c r="B8472" s="40"/>
      <c r="C8472" s="40"/>
      <c r="D8472" s="41"/>
      <c r="E8472" s="43">
        <f>C8472</f>
        <v>0</v>
      </c>
      <c r="F8472" s="42"/>
    </row>
    <row r="8473" spans="1:6">
      <c r="A8473" s="39">
        <f>A8472</f>
        <v>46048</v>
      </c>
      <c r="B8473" s="40"/>
      <c r="C8473" s="40"/>
      <c r="D8473" s="41"/>
      <c r="E8473" s="43">
        <f>C8473</f>
        <v>0</v>
      </c>
      <c r="F8473" s="42"/>
    </row>
    <row r="8474" spans="1:6">
      <c r="A8474" s="39">
        <f>A8473</f>
        <v>46048</v>
      </c>
      <c r="B8474" s="40"/>
      <c r="C8474" s="40"/>
      <c r="D8474" s="41"/>
      <c r="E8474" s="43">
        <f>C8474</f>
        <v>0</v>
      </c>
      <c r="F8474" s="42"/>
    </row>
    <row r="8475" spans="1:6">
      <c r="A8475" s="39">
        <f>A8474</f>
        <v>46048</v>
      </c>
      <c r="B8475" s="40"/>
      <c r="C8475" s="40"/>
      <c r="D8475" s="41"/>
      <c r="E8475" s="43">
        <f>C8475</f>
        <v>0</v>
      </c>
      <c r="F8475" s="42"/>
    </row>
    <row r="8476" spans="1:6">
      <c r="A8476" s="39">
        <f>A8475</f>
        <v>46048</v>
      </c>
      <c r="B8476" s="40"/>
      <c r="C8476" s="40"/>
      <c r="D8476" s="41"/>
      <c r="E8476" s="43">
        <f>C8476</f>
        <v>0</v>
      </c>
      <c r="F8476" s="42"/>
    </row>
    <row r="8477" spans="1:6">
      <c r="A8477" s="39">
        <f>A8476</f>
        <v>46048</v>
      </c>
      <c r="B8477" s="40"/>
      <c r="C8477" s="40"/>
      <c r="D8477" s="41"/>
      <c r="E8477" s="43">
        <f>C8477</f>
        <v>0</v>
      </c>
      <c r="F8477" s="42"/>
    </row>
    <row r="8478" spans="1:6">
      <c r="A8478" s="39">
        <f>A8477</f>
        <v>46048</v>
      </c>
      <c r="B8478" s="40"/>
      <c r="C8478" s="40"/>
      <c r="D8478" s="41"/>
      <c r="E8478" s="43">
        <f>C8478</f>
        <v>0</v>
      </c>
      <c r="F8478" s="42"/>
    </row>
    <row r="8479" spans="1:6">
      <c r="A8479" s="39">
        <f>A8478</f>
        <v>46048</v>
      </c>
      <c r="B8479" s="40"/>
      <c r="C8479" s="40"/>
      <c r="D8479" s="41"/>
      <c r="E8479" s="43">
        <f>C8479</f>
        <v>0</v>
      </c>
      <c r="F8479" s="42"/>
    </row>
    <row r="8480" spans="1:6">
      <c r="A8480" s="39">
        <f>A8479</f>
        <v>46048</v>
      </c>
      <c r="B8480" s="40"/>
      <c r="C8480" s="40"/>
      <c r="D8480" s="41"/>
      <c r="E8480" s="43">
        <f>C8480</f>
        <v>0</v>
      </c>
      <c r="F8480" s="42"/>
    </row>
    <row r="8481" spans="1:6">
      <c r="A8481" s="39">
        <f>A8480</f>
        <v>46048</v>
      </c>
      <c r="B8481" s="40"/>
      <c r="C8481" s="40"/>
      <c r="D8481" s="41"/>
      <c r="E8481" s="43">
        <f>C8481</f>
        <v>0</v>
      </c>
      <c r="F8481" s="42"/>
    </row>
    <row r="8482" spans="1:6">
      <c r="A8482" s="39">
        <f>A8481</f>
        <v>46048</v>
      </c>
      <c r="B8482" s="40"/>
      <c r="C8482" s="40"/>
      <c r="D8482" s="41"/>
      <c r="E8482" s="43">
        <f>C8482</f>
        <v>0</v>
      </c>
      <c r="F8482" s="42"/>
    </row>
    <row r="8483" spans="1:6">
      <c r="A8483" s="39">
        <f>A8482</f>
        <v>46048</v>
      </c>
      <c r="B8483" s="40"/>
      <c r="C8483" s="40"/>
      <c r="D8483" s="41"/>
      <c r="E8483" s="43">
        <f>C8483</f>
        <v>0</v>
      </c>
      <c r="F8483" s="42"/>
    </row>
    <row r="8484" spans="1:6">
      <c r="A8484" s="39">
        <f>A8483</f>
        <v>46048</v>
      </c>
      <c r="B8484" s="40"/>
      <c r="C8484" s="40"/>
      <c r="D8484" s="41"/>
      <c r="E8484" s="43">
        <f>C8484</f>
        <v>0</v>
      </c>
      <c r="F8484" s="42"/>
    </row>
    <row r="8485" spans="1:6">
      <c r="A8485" s="39">
        <f>A8484</f>
        <v>46048</v>
      </c>
      <c r="B8485" s="40"/>
      <c r="C8485" s="40"/>
      <c r="D8485" s="41"/>
      <c r="E8485" s="43">
        <f>C8485</f>
        <v>0</v>
      </c>
      <c r="F8485" s="42"/>
    </row>
    <row r="8486" spans="1:6">
      <c r="A8486" s="39">
        <f>A8485</f>
        <v>46048</v>
      </c>
      <c r="B8486" s="40"/>
      <c r="C8486" s="40"/>
      <c r="D8486" s="41"/>
      <c r="E8486" s="43">
        <f>C8486</f>
        <v>0</v>
      </c>
      <c r="F8486" s="42"/>
    </row>
    <row r="8487" spans="1:6">
      <c r="A8487" s="39">
        <f>A8486</f>
        <v>46048</v>
      </c>
      <c r="B8487" s="40"/>
      <c r="C8487" s="40"/>
      <c r="D8487" s="41"/>
      <c r="E8487" s="43">
        <f>C8487</f>
        <v>0</v>
      </c>
      <c r="F8487" s="42"/>
    </row>
    <row r="8488" spans="1:6">
      <c r="A8488" s="39">
        <f>A8487</f>
        <v>46048</v>
      </c>
      <c r="B8488" s="40"/>
      <c r="C8488" s="40"/>
      <c r="D8488" s="41"/>
      <c r="E8488" s="43">
        <f>C8488</f>
        <v>0</v>
      </c>
      <c r="F8488" s="42"/>
    </row>
    <row r="8489" spans="1:6">
      <c r="A8489" s="39">
        <f>A8488</f>
        <v>46048</v>
      </c>
      <c r="B8489" s="40"/>
      <c r="C8489" s="40"/>
      <c r="D8489" s="41"/>
      <c r="E8489" s="43">
        <f>C8489</f>
        <v>0</v>
      </c>
      <c r="F8489" s="42"/>
    </row>
    <row r="8490" spans="1:6">
      <c r="A8490" s="39">
        <f>A8489</f>
        <v>46048</v>
      </c>
      <c r="B8490" s="40"/>
      <c r="C8490" s="40"/>
      <c r="D8490" s="41"/>
      <c r="E8490" s="43">
        <f>C8490</f>
        <v>0</v>
      </c>
      <c r="F8490" s="42"/>
    </row>
    <row r="8491" spans="1:6">
      <c r="A8491" s="39">
        <f>A8490</f>
        <v>46048</v>
      </c>
      <c r="B8491" s="40"/>
      <c r="C8491" s="40"/>
      <c r="D8491" s="41"/>
      <c r="E8491" s="43">
        <f>C8491</f>
        <v>0</v>
      </c>
      <c r="F8491" s="42"/>
    </row>
    <row r="8492" spans="1:6">
      <c r="A8492" s="39">
        <f>A8491</f>
        <v>46048</v>
      </c>
      <c r="B8492" s="40"/>
      <c r="C8492" s="40"/>
      <c r="D8492" s="41"/>
      <c r="E8492" s="43">
        <f>C8492</f>
        <v>0</v>
      </c>
      <c r="F8492" s="42"/>
    </row>
    <row r="8493" spans="1:6">
      <c r="A8493" s="39">
        <f>A8492</f>
        <v>46048</v>
      </c>
      <c r="B8493" s="40"/>
      <c r="C8493" s="40"/>
      <c r="D8493" s="41"/>
      <c r="E8493" s="43">
        <f>C8493</f>
        <v>0</v>
      </c>
      <c r="F8493" s="42"/>
    </row>
    <row r="8494" spans="1:6">
      <c r="A8494" s="39">
        <f>A8493</f>
        <v>46048</v>
      </c>
      <c r="B8494" s="40"/>
      <c r="C8494" s="40"/>
      <c r="D8494" s="41"/>
      <c r="E8494" s="43">
        <f>C8494</f>
        <v>0</v>
      </c>
      <c r="F8494" s="42"/>
    </row>
    <row r="8495" spans="1:6">
      <c r="A8495" s="39">
        <f>A8494</f>
        <v>46048</v>
      </c>
      <c r="B8495" s="40"/>
      <c r="C8495" s="40"/>
      <c r="D8495" s="41"/>
      <c r="E8495" s="43">
        <f>C8495</f>
        <v>0</v>
      </c>
      <c r="F8495" s="42"/>
    </row>
    <row r="8496" spans="1:6">
      <c r="A8496" s="39">
        <f>A8495</f>
        <v>46048</v>
      </c>
      <c r="B8496" s="40"/>
      <c r="C8496" s="40"/>
      <c r="D8496" s="41"/>
      <c r="E8496" s="43">
        <f>C8496</f>
        <v>0</v>
      </c>
      <c r="F8496" s="42"/>
    </row>
    <row r="8497" spans="1:6">
      <c r="A8497" s="39">
        <f>A8496</f>
        <v>46048</v>
      </c>
      <c r="B8497" s="40"/>
      <c r="C8497" s="40"/>
      <c r="D8497" s="41"/>
      <c r="E8497" s="43">
        <f>C8497</f>
        <v>0</v>
      </c>
      <c r="F8497" s="42"/>
    </row>
    <row r="8498" spans="1:6">
      <c r="A8498" s="39">
        <f>A8497</f>
        <v>46048</v>
      </c>
      <c r="B8498" s="40"/>
      <c r="C8498" s="40"/>
      <c r="D8498" s="41"/>
      <c r="E8498" s="43">
        <f>C8498</f>
        <v>0</v>
      </c>
      <c r="F8498" s="42"/>
    </row>
    <row r="8499" spans="1:6">
      <c r="A8499" s="39">
        <f>A8498</f>
        <v>46048</v>
      </c>
      <c r="B8499" s="40"/>
      <c r="C8499" s="40"/>
      <c r="D8499" s="41"/>
      <c r="E8499" s="43">
        <f>C8499</f>
        <v>0</v>
      </c>
      <c r="F8499" s="42"/>
    </row>
    <row r="8500" spans="1:6">
      <c r="A8500" s="39">
        <f>A8499</f>
        <v>46048</v>
      </c>
      <c r="B8500" s="40"/>
      <c r="C8500" s="40"/>
      <c r="D8500" s="41"/>
      <c r="E8500" s="43">
        <f>C8500</f>
        <v>0</v>
      </c>
      <c r="F8500" s="42"/>
    </row>
    <row r="8501" spans="1:6">
      <c r="A8501" s="39">
        <f>A8500</f>
        <v>46048</v>
      </c>
      <c r="B8501" s="40"/>
      <c r="C8501" s="40"/>
      <c r="D8501" s="41"/>
      <c r="E8501" s="43">
        <f>C8501</f>
        <v>0</v>
      </c>
      <c r="F8501" s="42"/>
    </row>
    <row r="8502" spans="1:6">
      <c r="A8502" s="39">
        <f>A8501</f>
        <v>46048</v>
      </c>
      <c r="B8502" s="40"/>
      <c r="C8502" s="40"/>
      <c r="D8502" s="41"/>
      <c r="E8502" s="43">
        <f>C8502</f>
        <v>0</v>
      </c>
      <c r="F8502" s="42"/>
    </row>
    <row r="8503" spans="1:6">
      <c r="A8503" s="39">
        <f>A8502</f>
        <v>46048</v>
      </c>
      <c r="B8503" s="40"/>
      <c r="C8503" s="40"/>
      <c r="D8503" s="41"/>
      <c r="E8503" s="43">
        <f>C8503</f>
        <v>0</v>
      </c>
      <c r="F8503" s="42"/>
    </row>
    <row r="8504" spans="1:6">
      <c r="A8504" s="39">
        <f>A8503</f>
        <v>46048</v>
      </c>
      <c r="B8504" s="40"/>
      <c r="C8504" s="40"/>
      <c r="D8504" s="41"/>
      <c r="E8504" s="43">
        <f>C8504</f>
        <v>0</v>
      </c>
      <c r="F8504" s="42"/>
    </row>
    <row r="8505" spans="1:6">
      <c r="A8505" s="39">
        <f>A8504</f>
        <v>46048</v>
      </c>
      <c r="B8505" s="40"/>
      <c r="C8505" s="40"/>
      <c r="D8505" s="41"/>
      <c r="E8505" s="43">
        <f>C8505</f>
        <v>0</v>
      </c>
      <c r="F8505" s="42"/>
    </row>
    <row r="8506" spans="1:6">
      <c r="A8506" s="39">
        <f>A8505</f>
        <v>46048</v>
      </c>
      <c r="B8506" s="40"/>
      <c r="C8506" s="40"/>
      <c r="D8506" s="41"/>
      <c r="E8506" s="43">
        <f>C8506</f>
        <v>0</v>
      </c>
      <c r="F8506" s="42"/>
    </row>
    <row r="8507" spans="1:6">
      <c r="A8507" s="39">
        <f>A8506</f>
        <v>46048</v>
      </c>
      <c r="B8507" s="40"/>
      <c r="C8507" s="40"/>
      <c r="D8507" s="41"/>
      <c r="E8507" s="43">
        <f>C8507</f>
        <v>0</v>
      </c>
      <c r="F8507" s="42"/>
    </row>
    <row r="8508" spans="1:6">
      <c r="A8508" s="39">
        <f>A8507</f>
        <v>46048</v>
      </c>
      <c r="B8508" s="40"/>
      <c r="C8508" s="40"/>
      <c r="D8508" s="41"/>
      <c r="E8508" s="43">
        <f>C8508</f>
        <v>0</v>
      </c>
      <c r="F8508" s="42"/>
    </row>
    <row r="8509" spans="1:6">
      <c r="A8509" s="39">
        <f>A8508</f>
        <v>46048</v>
      </c>
      <c r="B8509" s="40"/>
      <c r="C8509" s="40"/>
      <c r="D8509" s="41"/>
      <c r="E8509" s="43">
        <f>C8509</f>
        <v>0</v>
      </c>
      <c r="F8509" s="42"/>
    </row>
    <row r="8510" spans="1:6">
      <c r="A8510" s="39">
        <f>A8509</f>
        <v>46048</v>
      </c>
      <c r="B8510" s="40"/>
      <c r="C8510" s="40"/>
      <c r="D8510" s="41"/>
      <c r="E8510" s="43">
        <f>C8510</f>
        <v>0</v>
      </c>
      <c r="F8510" s="42"/>
    </row>
    <row r="8511" spans="1:6">
      <c r="A8511" s="39">
        <f>A8510</f>
        <v>46048</v>
      </c>
      <c r="B8511" s="40"/>
      <c r="C8511" s="40"/>
      <c r="D8511" s="41"/>
      <c r="E8511" s="43">
        <f>C8511</f>
        <v>0</v>
      </c>
      <c r="F8511" s="42"/>
    </row>
    <row r="8512" spans="1:6">
      <c r="A8512" s="39">
        <f>A8511</f>
        <v>46048</v>
      </c>
      <c r="B8512" s="40"/>
      <c r="C8512" s="40"/>
      <c r="D8512" s="41"/>
      <c r="E8512" s="43">
        <f>C8512</f>
        <v>0</v>
      </c>
      <c r="F8512" s="42"/>
    </row>
    <row r="8513" spans="1:6">
      <c r="A8513" s="39">
        <f>A8512</f>
        <v>46048</v>
      </c>
      <c r="B8513" s="40"/>
      <c r="C8513" s="40"/>
      <c r="D8513" s="41"/>
      <c r="E8513" s="43">
        <f>C8513</f>
        <v>0</v>
      </c>
      <c r="F8513" s="42"/>
    </row>
    <row r="8514" spans="1:6">
      <c r="A8514" s="39">
        <f>A8513</f>
        <v>46048</v>
      </c>
      <c r="B8514" s="40"/>
      <c r="C8514" s="40"/>
      <c r="D8514" s="41"/>
      <c r="E8514" s="43">
        <f>C8514</f>
        <v>0</v>
      </c>
      <c r="F8514" s="42"/>
    </row>
    <row r="8515" spans="1:6">
      <c r="A8515" s="39">
        <f>A8514</f>
        <v>46048</v>
      </c>
      <c r="B8515" s="40"/>
      <c r="C8515" s="40"/>
      <c r="D8515" s="41"/>
      <c r="E8515" s="43">
        <f>C8515</f>
        <v>0</v>
      </c>
      <c r="F8515" s="42"/>
    </row>
    <row r="8516" spans="1:6">
      <c r="A8516" s="39">
        <f>A8515</f>
        <v>46048</v>
      </c>
      <c r="B8516" s="40"/>
      <c r="C8516" s="40"/>
      <c r="D8516" s="41"/>
      <c r="E8516" s="43">
        <f>C8516</f>
        <v>0</v>
      </c>
      <c r="F8516" s="42"/>
    </row>
    <row r="8517" spans="1:6">
      <c r="A8517" s="39">
        <f>A8516</f>
        <v>46048</v>
      </c>
      <c r="B8517" s="40"/>
      <c r="C8517" s="40"/>
      <c r="D8517" s="41"/>
      <c r="E8517" s="43">
        <f>C8517</f>
        <v>0</v>
      </c>
      <c r="F8517" s="42"/>
    </row>
    <row r="8518" spans="1:6">
      <c r="A8518" s="39">
        <f>A8517</f>
        <v>46048</v>
      </c>
      <c r="B8518" s="40"/>
      <c r="C8518" s="40"/>
      <c r="D8518" s="41"/>
      <c r="E8518" s="43">
        <f>C8518</f>
        <v>0</v>
      </c>
      <c r="F8518" s="42"/>
    </row>
    <row r="8519" spans="1:6">
      <c r="A8519" s="39">
        <f>A8518</f>
        <v>46048</v>
      </c>
      <c r="B8519" s="40"/>
      <c r="C8519" s="40"/>
      <c r="D8519" s="41"/>
      <c r="E8519" s="43">
        <f>C8519</f>
        <v>0</v>
      </c>
      <c r="F8519" s="42"/>
    </row>
    <row r="8520" spans="1:6">
      <c r="A8520" s="39">
        <f>A8519</f>
        <v>46048</v>
      </c>
      <c r="B8520" s="40"/>
      <c r="C8520" s="40"/>
      <c r="D8520" s="41"/>
      <c r="E8520" s="43">
        <f>C8520</f>
        <v>0</v>
      </c>
      <c r="F8520" s="42"/>
    </row>
    <row r="8521" spans="1:6">
      <c r="A8521" s="39">
        <f>A8520</f>
        <v>46048</v>
      </c>
      <c r="B8521" s="40"/>
      <c r="C8521" s="40"/>
      <c r="D8521" s="41"/>
      <c r="E8521" s="43">
        <f>C8521</f>
        <v>0</v>
      </c>
      <c r="F8521" s="42"/>
    </row>
    <row r="8522" spans="1:6">
      <c r="A8522" s="39">
        <f>A8521</f>
        <v>46048</v>
      </c>
      <c r="B8522" s="40"/>
      <c r="C8522" s="40"/>
      <c r="D8522" s="41"/>
      <c r="E8522" s="43">
        <f>C8522</f>
        <v>0</v>
      </c>
      <c r="F8522" s="42"/>
    </row>
    <row r="8523" spans="1:6">
      <c r="A8523" s="39">
        <f>A8522</f>
        <v>46048</v>
      </c>
      <c r="B8523" s="40"/>
      <c r="C8523" s="40"/>
      <c r="D8523" s="41"/>
      <c r="E8523" s="43">
        <f>C8523</f>
        <v>0</v>
      </c>
      <c r="F8523" s="42"/>
    </row>
    <row r="8524" spans="1:6">
      <c r="A8524" s="39">
        <f>A8523</f>
        <v>46048</v>
      </c>
      <c r="B8524" s="40"/>
      <c r="C8524" s="40"/>
      <c r="D8524" s="41"/>
      <c r="E8524" s="43">
        <f>C8524</f>
        <v>0</v>
      </c>
      <c r="F8524" s="42"/>
    </row>
    <row r="8525" spans="1:6">
      <c r="A8525" s="39">
        <f>A8524</f>
        <v>46048</v>
      </c>
      <c r="B8525" s="40"/>
      <c r="C8525" s="40"/>
      <c r="D8525" s="41"/>
      <c r="E8525" s="43">
        <f>C8525</f>
        <v>0</v>
      </c>
      <c r="F8525" s="42"/>
    </row>
    <row r="8526" spans="1:6">
      <c r="A8526" s="39">
        <f>A8525</f>
        <v>46048</v>
      </c>
      <c r="B8526" s="40"/>
      <c r="C8526" s="40"/>
      <c r="D8526" s="41"/>
      <c r="E8526" s="43">
        <f>C8526</f>
        <v>0</v>
      </c>
      <c r="F8526" s="42"/>
    </row>
    <row r="8527" spans="1:6">
      <c r="A8527" s="39">
        <f>A8526</f>
        <v>46048</v>
      </c>
      <c r="B8527" s="40"/>
      <c r="C8527" s="40"/>
      <c r="D8527" s="41"/>
      <c r="E8527" s="43">
        <f>C8527</f>
        <v>0</v>
      </c>
      <c r="F8527" s="42"/>
    </row>
    <row r="8528" spans="1:6">
      <c r="A8528" s="39">
        <f>A8527</f>
        <v>46048</v>
      </c>
      <c r="B8528" s="40"/>
      <c r="C8528" s="40"/>
      <c r="D8528" s="41"/>
      <c r="E8528" s="43">
        <f>C8528</f>
        <v>0</v>
      </c>
      <c r="F8528" s="42"/>
    </row>
    <row r="8529" spans="1:6">
      <c r="A8529" s="39">
        <f>A8528</f>
        <v>46048</v>
      </c>
      <c r="B8529" s="40"/>
      <c r="C8529" s="40"/>
      <c r="D8529" s="41"/>
      <c r="E8529" s="43">
        <f>C8529</f>
        <v>0</v>
      </c>
      <c r="F8529" s="42"/>
    </row>
    <row r="8530" spans="1:6">
      <c r="A8530" s="39">
        <f>A8529</f>
        <v>46048</v>
      </c>
      <c r="B8530" s="40"/>
      <c r="C8530" s="40"/>
      <c r="D8530" s="41"/>
      <c r="E8530" s="43">
        <f>C8530</f>
        <v>0</v>
      </c>
      <c r="F8530" s="42"/>
    </row>
    <row r="8531" spans="1:6">
      <c r="A8531" s="39">
        <f>A8530</f>
        <v>46048</v>
      </c>
      <c r="B8531" s="40"/>
      <c r="C8531" s="40"/>
      <c r="D8531" s="41"/>
      <c r="E8531" s="43">
        <f>C8531</f>
        <v>0</v>
      </c>
      <c r="F8531" s="42"/>
    </row>
    <row r="8532" spans="1:6">
      <c r="A8532" s="39">
        <f>A8531</f>
        <v>46048</v>
      </c>
      <c r="B8532" s="40"/>
      <c r="C8532" s="40"/>
      <c r="D8532" s="41"/>
      <c r="E8532" s="43">
        <f>C8532</f>
        <v>0</v>
      </c>
      <c r="F8532" s="42"/>
    </row>
    <row r="8533" spans="1:6">
      <c r="A8533" s="39">
        <f>A8532</f>
        <v>46048</v>
      </c>
      <c r="B8533" s="40"/>
      <c r="C8533" s="40"/>
      <c r="D8533" s="41"/>
      <c r="E8533" s="43">
        <f>C8533</f>
        <v>0</v>
      </c>
      <c r="F8533" s="42"/>
    </row>
    <row r="8534" spans="1:6">
      <c r="A8534" s="39">
        <f>A8533</f>
        <v>46048</v>
      </c>
      <c r="B8534" s="40"/>
      <c r="C8534" s="40"/>
      <c r="D8534" s="41"/>
      <c r="E8534" s="43">
        <f>C8534</f>
        <v>0</v>
      </c>
      <c r="F8534" s="42"/>
    </row>
    <row r="8535" spans="1:6">
      <c r="A8535" s="39">
        <f>A8534</f>
        <v>46048</v>
      </c>
      <c r="B8535" s="40"/>
      <c r="C8535" s="40"/>
      <c r="D8535" s="41"/>
      <c r="E8535" s="43">
        <f>C8535</f>
        <v>0</v>
      </c>
      <c r="F8535" s="42"/>
    </row>
    <row r="8536" spans="1:6">
      <c r="A8536" s="39">
        <f>A8535</f>
        <v>46048</v>
      </c>
      <c r="B8536" s="40"/>
      <c r="C8536" s="40"/>
      <c r="D8536" s="41"/>
      <c r="E8536" s="43">
        <f>C8536</f>
        <v>0</v>
      </c>
      <c r="F8536" s="42"/>
    </row>
    <row r="8537" spans="1:6">
      <c r="A8537" s="39">
        <f>A8536</f>
        <v>46048</v>
      </c>
      <c r="B8537" s="40"/>
      <c r="C8537" s="40"/>
      <c r="D8537" s="41"/>
      <c r="E8537" s="43">
        <f>C8537</f>
        <v>0</v>
      </c>
      <c r="F8537" s="42"/>
    </row>
    <row r="8538" spans="1:6">
      <c r="A8538" s="39">
        <f>A8537</f>
        <v>46048</v>
      </c>
      <c r="B8538" s="40"/>
      <c r="C8538" s="40"/>
      <c r="D8538" s="41"/>
      <c r="E8538" s="43">
        <f>C8538</f>
        <v>0</v>
      </c>
      <c r="F8538" s="42"/>
    </row>
    <row r="8539" spans="1:6">
      <c r="A8539" s="39">
        <f>A8538</f>
        <v>46048</v>
      </c>
      <c r="B8539" s="40"/>
      <c r="C8539" s="40"/>
      <c r="D8539" s="41"/>
      <c r="E8539" s="43">
        <f>C8539</f>
        <v>0</v>
      </c>
      <c r="F8539" s="42"/>
    </row>
    <row r="8540" spans="1:6">
      <c r="A8540" s="39">
        <f>A8539</f>
        <v>46048</v>
      </c>
      <c r="B8540" s="40"/>
      <c r="C8540" s="40"/>
      <c r="D8540" s="41"/>
      <c r="E8540" s="43">
        <f>C8540</f>
        <v>0</v>
      </c>
      <c r="F8540" s="42"/>
    </row>
    <row r="8541" spans="1:6">
      <c r="A8541" s="39">
        <f>A8540</f>
        <v>46048</v>
      </c>
      <c r="B8541" s="40"/>
      <c r="C8541" s="40"/>
      <c r="D8541" s="41"/>
      <c r="E8541" s="43">
        <f>C8541</f>
        <v>0</v>
      </c>
      <c r="F8541" s="42"/>
    </row>
    <row r="8542" spans="1:6">
      <c r="A8542" s="39">
        <f>A8541</f>
        <v>46048</v>
      </c>
      <c r="B8542" s="40"/>
      <c r="C8542" s="40"/>
      <c r="D8542" s="41"/>
      <c r="E8542" s="43">
        <f>C8542</f>
        <v>0</v>
      </c>
      <c r="F8542" s="42"/>
    </row>
    <row r="8543" spans="1:6">
      <c r="A8543" s="39">
        <f>A8542</f>
        <v>46048</v>
      </c>
      <c r="B8543" s="40"/>
      <c r="C8543" s="40"/>
      <c r="D8543" s="41"/>
      <c r="E8543" s="43">
        <f>C8543</f>
        <v>0</v>
      </c>
      <c r="F8543" s="42"/>
    </row>
    <row r="8544" spans="1:6">
      <c r="A8544" s="39">
        <f>A8543</f>
        <v>46048</v>
      </c>
      <c r="B8544" s="40"/>
      <c r="C8544" s="40"/>
      <c r="D8544" s="41"/>
      <c r="E8544" s="43">
        <f>C8544</f>
        <v>0</v>
      </c>
      <c r="F8544" s="42"/>
    </row>
    <row r="8545" spans="1:6">
      <c r="A8545" s="39">
        <f>A8544</f>
        <v>46048</v>
      </c>
      <c r="B8545" s="40"/>
      <c r="C8545" s="40"/>
      <c r="D8545" s="41"/>
      <c r="E8545" s="43">
        <f>C8545</f>
        <v>0</v>
      </c>
      <c r="F8545" s="42"/>
    </row>
    <row r="8546" spans="1:6">
      <c r="A8546" s="39">
        <f>A8545</f>
        <v>46048</v>
      </c>
      <c r="B8546" s="40"/>
      <c r="C8546" s="40"/>
      <c r="D8546" s="41"/>
      <c r="E8546" s="43">
        <f>C8546</f>
        <v>0</v>
      </c>
      <c r="F8546" s="42"/>
    </row>
    <row r="8547" spans="1:6">
      <c r="A8547" s="39">
        <f>A8546</f>
        <v>46048</v>
      </c>
      <c r="B8547" s="40"/>
      <c r="C8547" s="40"/>
      <c r="D8547" s="41"/>
      <c r="E8547" s="43">
        <f>C8547</f>
        <v>0</v>
      </c>
      <c r="F8547" s="42"/>
    </row>
    <row r="8548" spans="1:6">
      <c r="A8548" s="39">
        <f>A8547</f>
        <v>46048</v>
      </c>
      <c r="B8548" s="40"/>
      <c r="C8548" s="40"/>
      <c r="D8548" s="41"/>
      <c r="E8548" s="43">
        <f>C8548</f>
        <v>0</v>
      </c>
      <c r="F8548" s="42"/>
    </row>
    <row r="8549" spans="1:6">
      <c r="A8549" s="39">
        <f>A8548</f>
        <v>46048</v>
      </c>
      <c r="B8549" s="40"/>
      <c r="C8549" s="40"/>
      <c r="D8549" s="41"/>
      <c r="E8549" s="43">
        <f>C8549</f>
        <v>0</v>
      </c>
      <c r="F8549" s="42"/>
    </row>
    <row r="8550" spans="1:6">
      <c r="A8550" s="39">
        <f>A8549</f>
        <v>46048</v>
      </c>
      <c r="B8550" s="40"/>
      <c r="C8550" s="40"/>
      <c r="D8550" s="41"/>
      <c r="E8550" s="43">
        <f>C8550</f>
        <v>0</v>
      </c>
      <c r="F8550" s="42"/>
    </row>
    <row r="8551" spans="1:6">
      <c r="A8551" s="39">
        <f>A8550</f>
        <v>46048</v>
      </c>
      <c r="B8551" s="40"/>
      <c r="C8551" s="40"/>
      <c r="D8551" s="41"/>
      <c r="E8551" s="43">
        <f>C8551</f>
        <v>0</v>
      </c>
      <c r="F8551" s="42"/>
    </row>
    <row r="8552" spans="1:6">
      <c r="A8552" s="39">
        <f>A8551</f>
        <v>46048</v>
      </c>
      <c r="B8552" s="40"/>
      <c r="C8552" s="40"/>
      <c r="D8552" s="41"/>
      <c r="E8552" s="43">
        <f>C8552</f>
        <v>0</v>
      </c>
      <c r="F8552" s="42"/>
    </row>
    <row r="8553" spans="1:6">
      <c r="A8553" s="39">
        <f>A8552</f>
        <v>46048</v>
      </c>
      <c r="B8553" s="40"/>
      <c r="C8553" s="40"/>
      <c r="D8553" s="41"/>
      <c r="E8553" s="43">
        <f>C8553</f>
        <v>0</v>
      </c>
      <c r="F8553" s="42"/>
    </row>
    <row r="8554" spans="1:6">
      <c r="A8554" s="39">
        <f>A8553</f>
        <v>46048</v>
      </c>
      <c r="B8554" s="40"/>
      <c r="C8554" s="40"/>
      <c r="D8554" s="41"/>
      <c r="E8554" s="43">
        <f>C8554</f>
        <v>0</v>
      </c>
      <c r="F8554" s="42"/>
    </row>
    <row r="8555" spans="1:6">
      <c r="A8555" s="39">
        <f>A8554</f>
        <v>46048</v>
      </c>
      <c r="B8555" s="40"/>
      <c r="C8555" s="40"/>
      <c r="D8555" s="41"/>
      <c r="E8555" s="43">
        <f>C8555</f>
        <v>0</v>
      </c>
      <c r="F8555" s="42"/>
    </row>
    <row r="8556" spans="1:6">
      <c r="A8556" s="39">
        <f>A8555</f>
        <v>46048</v>
      </c>
      <c r="B8556" s="40"/>
      <c r="C8556" s="40"/>
      <c r="D8556" s="41"/>
      <c r="E8556" s="43">
        <f>C8556</f>
        <v>0</v>
      </c>
      <c r="F8556" s="42"/>
    </row>
    <row r="8557" spans="1:6">
      <c r="A8557" s="39">
        <f>A8556</f>
        <v>46048</v>
      </c>
      <c r="B8557" s="40"/>
      <c r="C8557" s="40"/>
      <c r="D8557" s="41"/>
      <c r="E8557" s="43">
        <f>C8557</f>
        <v>0</v>
      </c>
      <c r="F8557" s="42"/>
    </row>
    <row r="8558" spans="1:6">
      <c r="A8558" s="39">
        <f>A8557</f>
        <v>46048</v>
      </c>
      <c r="B8558" s="40"/>
      <c r="C8558" s="40"/>
      <c r="D8558" s="41"/>
      <c r="E8558" s="43">
        <f>C8558</f>
        <v>0</v>
      </c>
      <c r="F8558" s="42"/>
    </row>
    <row r="8559" spans="1:6">
      <c r="A8559" s="39">
        <f>A8558</f>
        <v>46048</v>
      </c>
      <c r="B8559" s="40"/>
      <c r="C8559" s="40"/>
      <c r="D8559" s="41"/>
      <c r="E8559" s="43">
        <f>C8559</f>
        <v>0</v>
      </c>
      <c r="F8559" s="42"/>
    </row>
    <row r="8560" spans="1:6">
      <c r="A8560" s="39">
        <f>A8559</f>
        <v>46048</v>
      </c>
      <c r="B8560" s="40"/>
      <c r="C8560" s="40"/>
      <c r="D8560" s="41"/>
      <c r="E8560" s="43">
        <f>C8560</f>
        <v>0</v>
      </c>
      <c r="F8560" s="42"/>
    </row>
    <row r="8561" spans="1:6">
      <c r="A8561" s="39">
        <f>A8560</f>
        <v>46048</v>
      </c>
      <c r="B8561" s="40"/>
      <c r="C8561" s="40"/>
      <c r="D8561" s="41"/>
      <c r="E8561" s="43">
        <f>C8561</f>
        <v>0</v>
      </c>
      <c r="F8561" s="42"/>
    </row>
    <row r="8562" spans="1:6">
      <c r="A8562" s="39">
        <f>A8561</f>
        <v>46048</v>
      </c>
      <c r="B8562" s="40"/>
      <c r="C8562" s="40"/>
      <c r="D8562" s="41"/>
      <c r="E8562" s="43">
        <f>C8562</f>
        <v>0</v>
      </c>
      <c r="F8562" s="42"/>
    </row>
    <row r="8563" spans="1:6">
      <c r="A8563" s="39">
        <f>A8562</f>
        <v>46048</v>
      </c>
      <c r="B8563" s="40"/>
      <c r="C8563" s="40"/>
      <c r="D8563" s="41"/>
      <c r="E8563" s="43">
        <f>C8563</f>
        <v>0</v>
      </c>
      <c r="F8563" s="42"/>
    </row>
    <row r="8564" spans="1:6">
      <c r="A8564" s="39">
        <f>A8563</f>
        <v>46048</v>
      </c>
      <c r="B8564" s="40"/>
      <c r="C8564" s="40"/>
      <c r="D8564" s="41"/>
      <c r="E8564" s="43">
        <f>C8564</f>
        <v>0</v>
      </c>
      <c r="F8564" s="42"/>
    </row>
    <row r="8565" spans="1:6">
      <c r="A8565" s="39">
        <f>A8564</f>
        <v>46048</v>
      </c>
      <c r="B8565" s="40"/>
      <c r="C8565" s="40"/>
      <c r="D8565" s="41"/>
      <c r="E8565" s="43">
        <f>C8565</f>
        <v>0</v>
      </c>
      <c r="F8565" s="42"/>
    </row>
    <row r="8566" spans="1:6">
      <c r="A8566" s="39">
        <f>A8565</f>
        <v>46048</v>
      </c>
      <c r="B8566" s="40"/>
      <c r="C8566" s="40"/>
      <c r="D8566" s="41"/>
      <c r="E8566" s="43">
        <f>C8566</f>
        <v>0</v>
      </c>
      <c r="F8566" s="42"/>
    </row>
    <row r="8567" spans="1:6">
      <c r="A8567" s="39">
        <f>A8566</f>
        <v>46048</v>
      </c>
      <c r="B8567" s="40"/>
      <c r="C8567" s="40"/>
      <c r="D8567" s="41"/>
      <c r="E8567" s="43">
        <f>C8567</f>
        <v>0</v>
      </c>
      <c r="F8567" s="42"/>
    </row>
    <row r="8568" spans="1:6">
      <c r="A8568" s="39">
        <f>A8567</f>
        <v>46048</v>
      </c>
      <c r="B8568" s="40"/>
      <c r="C8568" s="40"/>
      <c r="D8568" s="41"/>
      <c r="E8568" s="43">
        <f>C8568</f>
        <v>0</v>
      </c>
      <c r="F8568" s="42"/>
    </row>
    <row r="8569" spans="1:6">
      <c r="A8569" s="39">
        <f>A8568</f>
        <v>46048</v>
      </c>
      <c r="B8569" s="40"/>
      <c r="C8569" s="40"/>
      <c r="D8569" s="41"/>
      <c r="E8569" s="43">
        <f>C8569</f>
        <v>0</v>
      </c>
      <c r="F8569" s="42"/>
    </row>
    <row r="8570" spans="1:6">
      <c r="A8570" s="39">
        <f>A8569</f>
        <v>46048</v>
      </c>
      <c r="B8570" s="40"/>
      <c r="C8570" s="40"/>
      <c r="D8570" s="41"/>
      <c r="E8570" s="43">
        <f>C8570</f>
        <v>0</v>
      </c>
      <c r="F8570" s="42"/>
    </row>
    <row r="8571" spans="1:6">
      <c r="A8571" s="39">
        <f>A8570</f>
        <v>46048</v>
      </c>
      <c r="B8571" s="40"/>
      <c r="C8571" s="40"/>
      <c r="D8571" s="41"/>
      <c r="E8571" s="43">
        <f>C8571</f>
        <v>0</v>
      </c>
      <c r="F8571" s="42"/>
    </row>
    <row r="8572" spans="1:6">
      <c r="A8572" s="39">
        <f>A8571</f>
        <v>46048</v>
      </c>
      <c r="B8572" s="40"/>
      <c r="C8572" s="40"/>
      <c r="D8572" s="41"/>
      <c r="E8572" s="43">
        <f>C8572</f>
        <v>0</v>
      </c>
      <c r="F8572" s="42"/>
    </row>
    <row r="8573" spans="1:6">
      <c r="A8573" s="39">
        <f>A8572</f>
        <v>46048</v>
      </c>
      <c r="B8573" s="40"/>
      <c r="C8573" s="40"/>
      <c r="D8573" s="41"/>
      <c r="E8573" s="43">
        <f>C8573</f>
        <v>0</v>
      </c>
      <c r="F8573" s="42"/>
    </row>
    <row r="8574" spans="1:6">
      <c r="A8574" s="39">
        <f>A8573</f>
        <v>46048</v>
      </c>
      <c r="B8574" s="40"/>
      <c r="C8574" s="40"/>
      <c r="D8574" s="41"/>
      <c r="E8574" s="43">
        <f>C8574</f>
        <v>0</v>
      </c>
      <c r="F8574" s="42"/>
    </row>
    <row r="8575" spans="1:6">
      <c r="A8575" s="39">
        <f>A8574</f>
        <v>46048</v>
      </c>
      <c r="B8575" s="40"/>
      <c r="C8575" s="40"/>
      <c r="D8575" s="41"/>
      <c r="E8575" s="43">
        <f>C8575</f>
        <v>0</v>
      </c>
      <c r="F8575" s="42"/>
    </row>
    <row r="8576" spans="1:6">
      <c r="A8576" s="39">
        <f>A8575</f>
        <v>46048</v>
      </c>
      <c r="B8576" s="40"/>
      <c r="C8576" s="40"/>
      <c r="D8576" s="41"/>
      <c r="E8576" s="43">
        <f>C8576</f>
        <v>0</v>
      </c>
      <c r="F8576" s="42"/>
    </row>
    <row r="8577" spans="1:6">
      <c r="A8577" s="39">
        <f>A8576</f>
        <v>46048</v>
      </c>
      <c r="B8577" s="40"/>
      <c r="C8577" s="40"/>
      <c r="D8577" s="41"/>
      <c r="E8577" s="43">
        <f>C8577</f>
        <v>0</v>
      </c>
      <c r="F8577" s="42"/>
    </row>
    <row r="8578" spans="1:6">
      <c r="A8578" s="39">
        <f>A8577</f>
        <v>46048</v>
      </c>
      <c r="B8578" s="40"/>
      <c r="C8578" s="40"/>
      <c r="D8578" s="41"/>
      <c r="E8578" s="43">
        <f>C8578</f>
        <v>0</v>
      </c>
      <c r="F8578" s="42"/>
    </row>
    <row r="8579" spans="1:6">
      <c r="A8579" s="39">
        <f>A8578</f>
        <v>46048</v>
      </c>
      <c r="B8579" s="40"/>
      <c r="C8579" s="40"/>
      <c r="D8579" s="41"/>
      <c r="E8579" s="43">
        <f>C8579</f>
        <v>0</v>
      </c>
      <c r="F8579" s="42"/>
    </row>
    <row r="8580" spans="1:6">
      <c r="A8580" s="39">
        <f>A8579</f>
        <v>46048</v>
      </c>
      <c r="B8580" s="40"/>
      <c r="C8580" s="40"/>
      <c r="D8580" s="41"/>
      <c r="E8580" s="43">
        <f>C8580</f>
        <v>0</v>
      </c>
      <c r="F8580" s="42"/>
    </row>
    <row r="8581" spans="1:6">
      <c r="A8581" s="39">
        <f>A8580</f>
        <v>46048</v>
      </c>
      <c r="B8581" s="40"/>
      <c r="C8581" s="40"/>
      <c r="D8581" s="41"/>
      <c r="E8581" s="43">
        <f>C8581</f>
        <v>0</v>
      </c>
      <c r="F8581" s="42"/>
    </row>
    <row r="8582" spans="1:6">
      <c r="A8582" s="39">
        <f>A8581</f>
        <v>46048</v>
      </c>
      <c r="B8582" s="40"/>
      <c r="C8582" s="40"/>
      <c r="D8582" s="41"/>
      <c r="E8582" s="43">
        <f>C8582</f>
        <v>0</v>
      </c>
      <c r="F8582" s="42"/>
    </row>
    <row r="8583" spans="1:6">
      <c r="A8583" s="39">
        <f>A8582</f>
        <v>46048</v>
      </c>
      <c r="B8583" s="40"/>
      <c r="C8583" s="40"/>
      <c r="D8583" s="41"/>
      <c r="E8583" s="43">
        <f>C8583</f>
        <v>0</v>
      </c>
      <c r="F8583" s="42"/>
    </row>
    <row r="8584" spans="1:6">
      <c r="A8584" s="39">
        <f>A8583</f>
        <v>46048</v>
      </c>
      <c r="B8584" s="40"/>
      <c r="C8584" s="40"/>
      <c r="D8584" s="41"/>
      <c r="E8584" s="43">
        <f>C8584</f>
        <v>0</v>
      </c>
      <c r="F8584" s="42"/>
    </row>
    <row r="8585" spans="1:6">
      <c r="A8585" s="39">
        <f>A8584</f>
        <v>46048</v>
      </c>
      <c r="B8585" s="40"/>
      <c r="C8585" s="40"/>
      <c r="D8585" s="41"/>
      <c r="E8585" s="43">
        <f>C8585</f>
        <v>0</v>
      </c>
      <c r="F8585" s="42"/>
    </row>
    <row r="8586" spans="1:6">
      <c r="A8586" s="39">
        <f>A8585</f>
        <v>46048</v>
      </c>
      <c r="B8586" s="40"/>
      <c r="C8586" s="40"/>
      <c r="D8586" s="41"/>
      <c r="E8586" s="43">
        <f>C8586</f>
        <v>0</v>
      </c>
      <c r="F8586" s="42"/>
    </row>
    <row r="8587" spans="1:6">
      <c r="A8587" s="39">
        <f>A8586</f>
        <v>46048</v>
      </c>
      <c r="B8587" s="40"/>
      <c r="C8587" s="40"/>
      <c r="D8587" s="41"/>
      <c r="E8587" s="43">
        <f>C8587</f>
        <v>0</v>
      </c>
      <c r="F8587" s="42"/>
    </row>
    <row r="8588" spans="1:6">
      <c r="A8588" s="39">
        <f>A8587</f>
        <v>46048</v>
      </c>
      <c r="B8588" s="40"/>
      <c r="C8588" s="40"/>
      <c r="D8588" s="41"/>
      <c r="E8588" s="43">
        <f>C8588</f>
        <v>0</v>
      </c>
      <c r="F8588" s="42"/>
    </row>
    <row r="8589" spans="1:6">
      <c r="A8589" s="39">
        <f>A8588</f>
        <v>46048</v>
      </c>
      <c r="B8589" s="40"/>
      <c r="C8589" s="40"/>
      <c r="D8589" s="41"/>
      <c r="E8589" s="43">
        <f>C8589</f>
        <v>0</v>
      </c>
      <c r="F8589" s="42"/>
    </row>
    <row r="8590" spans="1:6">
      <c r="A8590" s="39">
        <f>A8589</f>
        <v>46048</v>
      </c>
      <c r="B8590" s="40"/>
      <c r="C8590" s="40"/>
      <c r="D8590" s="41"/>
      <c r="E8590" s="43">
        <f>C8590</f>
        <v>0</v>
      </c>
      <c r="F8590" s="42"/>
    </row>
    <row r="8591" spans="1:6">
      <c r="A8591" s="39">
        <f>A8590</f>
        <v>46048</v>
      </c>
      <c r="B8591" s="40"/>
      <c r="C8591" s="40"/>
      <c r="D8591" s="41"/>
      <c r="E8591" s="43">
        <f>C8591</f>
        <v>0</v>
      </c>
      <c r="F8591" s="42"/>
    </row>
    <row r="8592" spans="1:6">
      <c r="A8592" s="39">
        <f>A8591</f>
        <v>46048</v>
      </c>
      <c r="B8592" s="40"/>
      <c r="C8592" s="40"/>
      <c r="D8592" s="41"/>
      <c r="E8592" s="43">
        <f>C8592</f>
        <v>0</v>
      </c>
      <c r="F8592" s="42"/>
    </row>
    <row r="8593" spans="1:6">
      <c r="A8593" s="39">
        <f>A8592</f>
        <v>46048</v>
      </c>
      <c r="B8593" s="40"/>
      <c r="C8593" s="40"/>
      <c r="D8593" s="41"/>
      <c r="E8593" s="43">
        <f>C8593</f>
        <v>0</v>
      </c>
      <c r="F8593" s="42"/>
    </row>
    <row r="8594" spans="1:6">
      <c r="A8594" s="39">
        <f>A8593</f>
        <v>46048</v>
      </c>
      <c r="B8594" s="40"/>
      <c r="C8594" s="40"/>
      <c r="D8594" s="41"/>
      <c r="E8594" s="43">
        <f>C8594</f>
        <v>0</v>
      </c>
      <c r="F8594" s="42"/>
    </row>
    <row r="8595" spans="1:6">
      <c r="A8595" s="39">
        <f>A8594</f>
        <v>46048</v>
      </c>
      <c r="B8595" s="40"/>
      <c r="C8595" s="40"/>
      <c r="D8595" s="41"/>
      <c r="E8595" s="43">
        <f>C8595</f>
        <v>0</v>
      </c>
      <c r="F8595" s="42"/>
    </row>
    <row r="8596" spans="1:6">
      <c r="A8596" s="39">
        <f>A8595</f>
        <v>46048</v>
      </c>
      <c r="B8596" s="40"/>
      <c r="C8596" s="40"/>
      <c r="D8596" s="41"/>
      <c r="E8596" s="43">
        <f>C8596</f>
        <v>0</v>
      </c>
      <c r="F8596" s="42"/>
    </row>
    <row r="8597" spans="1:6">
      <c r="A8597" s="39">
        <f>A8596</f>
        <v>46048</v>
      </c>
      <c r="B8597" s="40"/>
      <c r="C8597" s="40"/>
      <c r="D8597" s="41"/>
      <c r="E8597" s="43">
        <f>C8597</f>
        <v>0</v>
      </c>
      <c r="F8597" s="42"/>
    </row>
    <row r="8598" spans="1:6">
      <c r="A8598" s="39">
        <f>A8597</f>
        <v>46048</v>
      </c>
      <c r="B8598" s="40"/>
      <c r="C8598" s="40"/>
      <c r="D8598" s="41"/>
      <c r="E8598" s="43">
        <f>C8598</f>
        <v>0</v>
      </c>
      <c r="F8598" s="42"/>
    </row>
    <row r="8599" spans="1:6">
      <c r="A8599" s="39">
        <f>A8598</f>
        <v>46048</v>
      </c>
      <c r="B8599" s="40"/>
      <c r="C8599" s="40"/>
      <c r="D8599" s="41"/>
      <c r="E8599" s="43">
        <f>C8599</f>
        <v>0</v>
      </c>
      <c r="F8599" s="42"/>
    </row>
    <row r="8600" spans="1:6">
      <c r="A8600" s="39">
        <f>A8599</f>
        <v>46048</v>
      </c>
      <c r="B8600" s="40"/>
      <c r="C8600" s="40"/>
      <c r="D8600" s="41"/>
      <c r="E8600" s="43">
        <f>C8600</f>
        <v>0</v>
      </c>
      <c r="F8600" s="42"/>
    </row>
    <row r="8601" spans="1:6">
      <c r="A8601" s="39">
        <f>A8600</f>
        <v>46048</v>
      </c>
      <c r="B8601" s="40"/>
      <c r="C8601" s="40"/>
      <c r="D8601" s="41"/>
      <c r="E8601" s="43">
        <f>C8601</f>
        <v>0</v>
      </c>
      <c r="F8601" s="42"/>
    </row>
    <row r="8602" spans="1:6">
      <c r="A8602" s="39">
        <f>A8601</f>
        <v>46048</v>
      </c>
      <c r="B8602" s="40"/>
      <c r="C8602" s="40"/>
      <c r="D8602" s="41"/>
      <c r="E8602" s="43">
        <f>C8602</f>
        <v>0</v>
      </c>
      <c r="F8602" s="42"/>
    </row>
    <row r="8603" spans="1:6">
      <c r="A8603" s="39">
        <f>A8602</f>
        <v>46048</v>
      </c>
      <c r="B8603" s="40"/>
      <c r="C8603" s="40"/>
      <c r="D8603" s="41"/>
      <c r="E8603" s="43">
        <f>C8603</f>
        <v>0</v>
      </c>
      <c r="F8603" s="42"/>
    </row>
    <row r="8604" spans="1:6">
      <c r="A8604" s="39">
        <f>A8603</f>
        <v>46048</v>
      </c>
      <c r="B8604" s="40"/>
      <c r="C8604" s="40"/>
      <c r="D8604" s="41"/>
      <c r="E8604" s="43">
        <f>C8604</f>
        <v>0</v>
      </c>
      <c r="F8604" s="42"/>
    </row>
    <row r="8605" spans="1:6">
      <c r="A8605" s="39">
        <f>A8604</f>
        <v>46048</v>
      </c>
      <c r="B8605" s="40"/>
      <c r="C8605" s="40"/>
      <c r="D8605" s="41"/>
      <c r="E8605" s="43">
        <f>C8605</f>
        <v>0</v>
      </c>
      <c r="F8605" s="42"/>
    </row>
    <row r="8606" spans="1:6">
      <c r="A8606" s="39">
        <f>A8605</f>
        <v>46048</v>
      </c>
      <c r="B8606" s="40"/>
      <c r="C8606" s="40"/>
      <c r="D8606" s="41"/>
      <c r="E8606" s="43">
        <f>C8606</f>
        <v>0</v>
      </c>
      <c r="F8606" s="42"/>
    </row>
    <row r="8607" spans="1:6">
      <c r="A8607" s="39">
        <f>A8606</f>
        <v>46048</v>
      </c>
      <c r="B8607" s="40"/>
      <c r="C8607" s="40"/>
      <c r="D8607" s="41"/>
      <c r="E8607" s="43">
        <f>C8607</f>
        <v>0</v>
      </c>
      <c r="F8607" s="42"/>
    </row>
    <row r="8608" spans="1:6">
      <c r="A8608" s="39">
        <f>A8607</f>
        <v>46048</v>
      </c>
      <c r="B8608" s="40"/>
      <c r="C8608" s="40"/>
      <c r="D8608" s="41"/>
      <c r="E8608" s="43">
        <f>C8608</f>
        <v>0</v>
      </c>
      <c r="F8608" s="42"/>
    </row>
    <row r="8609" spans="1:6">
      <c r="A8609" s="39">
        <f>A8608</f>
        <v>46048</v>
      </c>
      <c r="B8609" s="40"/>
      <c r="C8609" s="40"/>
      <c r="D8609" s="41"/>
      <c r="E8609" s="43">
        <f>C8609</f>
        <v>0</v>
      </c>
      <c r="F8609" s="42"/>
    </row>
    <row r="8610" spans="1:6">
      <c r="A8610" s="39">
        <f>A8609</f>
        <v>46048</v>
      </c>
      <c r="B8610" s="40"/>
      <c r="C8610" s="40"/>
      <c r="D8610" s="41"/>
      <c r="E8610" s="43">
        <f>C8610</f>
        <v>0</v>
      </c>
      <c r="F8610" s="42"/>
    </row>
    <row r="8611" spans="1:6">
      <c r="A8611" s="39">
        <f>A8610</f>
        <v>46048</v>
      </c>
      <c r="B8611" s="40"/>
      <c r="C8611" s="40"/>
      <c r="D8611" s="41"/>
      <c r="E8611" s="43">
        <f>C8611</f>
        <v>0</v>
      </c>
      <c r="F8611" s="42"/>
    </row>
    <row r="8612" spans="1:6">
      <c r="A8612" s="39">
        <f>A8611</f>
        <v>46048</v>
      </c>
      <c r="B8612" s="40"/>
      <c r="C8612" s="40"/>
      <c r="D8612" s="41"/>
      <c r="E8612" s="43">
        <f>C8612</f>
        <v>0</v>
      </c>
      <c r="F8612" s="42"/>
    </row>
    <row r="8613" spans="1:6">
      <c r="A8613" s="39">
        <f>A8612</f>
        <v>46048</v>
      </c>
      <c r="B8613" s="40"/>
      <c r="C8613" s="40"/>
      <c r="D8613" s="41"/>
      <c r="E8613" s="43">
        <f>C8613</f>
        <v>0</v>
      </c>
      <c r="F8613" s="42"/>
    </row>
    <row r="8614" spans="1:6">
      <c r="A8614" s="39">
        <f>A8613</f>
        <v>46048</v>
      </c>
      <c r="B8614" s="40"/>
      <c r="C8614" s="40"/>
      <c r="D8614" s="41"/>
      <c r="E8614" s="43">
        <f>C8614</f>
        <v>0</v>
      </c>
      <c r="F8614" s="42"/>
    </row>
    <row r="8615" spans="1:6">
      <c r="A8615" s="39">
        <f>A8614</f>
        <v>46048</v>
      </c>
      <c r="B8615" s="40"/>
      <c r="C8615" s="40"/>
      <c r="D8615" s="41"/>
      <c r="E8615" s="43">
        <f>C8615</f>
        <v>0</v>
      </c>
      <c r="F8615" s="42"/>
    </row>
    <row r="8616" spans="1:6">
      <c r="A8616" s="39">
        <f>A8615</f>
        <v>46048</v>
      </c>
      <c r="B8616" s="40"/>
      <c r="C8616" s="40"/>
      <c r="D8616" s="41"/>
      <c r="E8616" s="43">
        <f>C8616</f>
        <v>0</v>
      </c>
      <c r="F8616" s="42"/>
    </row>
    <row r="8617" spans="1:6">
      <c r="A8617" s="39">
        <f>A8616</f>
        <v>46048</v>
      </c>
      <c r="B8617" s="40"/>
      <c r="C8617" s="40"/>
      <c r="D8617" s="41"/>
      <c r="E8617" s="43">
        <f>C8617</f>
        <v>0</v>
      </c>
      <c r="F8617" s="42"/>
    </row>
    <row r="8618" spans="1:6">
      <c r="A8618" s="39">
        <f>A8617</f>
        <v>46048</v>
      </c>
      <c r="B8618" s="40"/>
      <c r="C8618" s="40"/>
      <c r="D8618" s="41"/>
      <c r="E8618" s="43">
        <f>C8618</f>
        <v>0</v>
      </c>
      <c r="F8618" s="42"/>
    </row>
    <row r="8619" spans="1:6">
      <c r="A8619" s="39">
        <f>A8618</f>
        <v>46048</v>
      </c>
      <c r="B8619" s="40"/>
      <c r="C8619" s="40"/>
      <c r="D8619" s="41"/>
      <c r="E8619" s="43">
        <f>C8619</f>
        <v>0</v>
      </c>
      <c r="F8619" s="42"/>
    </row>
    <row r="8620" spans="1:6">
      <c r="A8620" s="39">
        <f>A8619</f>
        <v>46048</v>
      </c>
      <c r="B8620" s="40"/>
      <c r="C8620" s="40"/>
      <c r="D8620" s="41"/>
      <c r="E8620" s="43">
        <f>C8620</f>
        <v>0</v>
      </c>
      <c r="F8620" s="42"/>
    </row>
    <row r="8621" spans="1:6">
      <c r="A8621" s="39">
        <f>A8620</f>
        <v>46048</v>
      </c>
      <c r="B8621" s="40"/>
      <c r="C8621" s="40"/>
      <c r="D8621" s="41"/>
      <c r="E8621" s="43">
        <f>C8621</f>
        <v>0</v>
      </c>
      <c r="F8621" s="42"/>
    </row>
    <row r="8622" spans="1:6">
      <c r="A8622" s="39">
        <f>A8621</f>
        <v>46048</v>
      </c>
      <c r="B8622" s="40"/>
      <c r="C8622" s="40"/>
      <c r="D8622" s="41"/>
      <c r="E8622" s="43">
        <f>C8622</f>
        <v>0</v>
      </c>
      <c r="F8622" s="42"/>
    </row>
    <row r="8623" spans="1:6">
      <c r="A8623" s="39">
        <f>A8622</f>
        <v>46048</v>
      </c>
      <c r="B8623" s="40"/>
      <c r="C8623" s="40"/>
      <c r="D8623" s="41"/>
      <c r="E8623" s="43">
        <f>C8623</f>
        <v>0</v>
      </c>
      <c r="F8623" s="42"/>
    </row>
    <row r="8624" spans="1:6">
      <c r="A8624" s="39">
        <f>A8623</f>
        <v>46048</v>
      </c>
      <c r="B8624" s="40"/>
      <c r="C8624" s="40"/>
      <c r="D8624" s="41"/>
      <c r="E8624" s="43">
        <f>C8624</f>
        <v>0</v>
      </c>
      <c r="F8624" s="42"/>
    </row>
    <row r="8625" spans="1:6">
      <c r="A8625" s="39">
        <f>A8624</f>
        <v>46048</v>
      </c>
      <c r="B8625" s="40"/>
      <c r="C8625" s="40"/>
      <c r="D8625" s="41"/>
      <c r="E8625" s="43">
        <f>C8625</f>
        <v>0</v>
      </c>
      <c r="F8625" s="42"/>
    </row>
    <row r="8626" spans="1:6">
      <c r="A8626" s="39">
        <f>A8625</f>
        <v>46048</v>
      </c>
      <c r="B8626" s="40"/>
      <c r="C8626" s="40"/>
      <c r="D8626" s="41"/>
      <c r="E8626" s="43">
        <f>C8626</f>
        <v>0</v>
      </c>
      <c r="F8626" s="42"/>
    </row>
    <row r="8627" spans="1:6">
      <c r="A8627" s="39">
        <f>A8626</f>
        <v>46048</v>
      </c>
      <c r="B8627" s="40"/>
      <c r="C8627" s="40"/>
      <c r="D8627" s="41"/>
      <c r="E8627" s="43">
        <f>C8627</f>
        <v>0</v>
      </c>
      <c r="F8627" s="42"/>
    </row>
    <row r="8628" spans="1:6">
      <c r="A8628" s="39">
        <f>A8627</f>
        <v>46048</v>
      </c>
      <c r="B8628" s="40"/>
      <c r="C8628" s="40"/>
      <c r="D8628" s="41"/>
      <c r="E8628" s="43">
        <f>C8628</f>
        <v>0</v>
      </c>
      <c r="F8628" s="42"/>
    </row>
    <row r="8629" spans="1:6">
      <c r="A8629" s="39">
        <f>A8628</f>
        <v>46048</v>
      </c>
      <c r="B8629" s="40"/>
      <c r="C8629" s="40"/>
      <c r="D8629" s="41"/>
      <c r="E8629" s="43">
        <f>C8629</f>
        <v>0</v>
      </c>
      <c r="F8629" s="42"/>
    </row>
    <row r="8630" spans="1:6">
      <c r="A8630" s="39">
        <f>A8629</f>
        <v>46048</v>
      </c>
      <c r="B8630" s="40"/>
      <c r="C8630" s="40"/>
      <c r="D8630" s="41"/>
      <c r="E8630" s="43">
        <f>C8630</f>
        <v>0</v>
      </c>
      <c r="F8630" s="42"/>
    </row>
    <row r="8631" spans="1:6">
      <c r="A8631" s="39">
        <f>A8630</f>
        <v>46048</v>
      </c>
      <c r="B8631" s="40"/>
      <c r="C8631" s="40"/>
      <c r="D8631" s="41"/>
      <c r="E8631" s="43">
        <f>C8631</f>
        <v>0</v>
      </c>
      <c r="F8631" s="42"/>
    </row>
    <row r="8632" spans="1:6">
      <c r="A8632" s="39">
        <f>A8631</f>
        <v>46048</v>
      </c>
      <c r="B8632" s="40"/>
      <c r="C8632" s="40"/>
      <c r="D8632" s="41"/>
      <c r="E8632" s="43">
        <f>C8632</f>
        <v>0</v>
      </c>
      <c r="F8632" s="42"/>
    </row>
    <row r="8633" spans="1:6">
      <c r="A8633" s="39">
        <f>A8632</f>
        <v>46048</v>
      </c>
      <c r="B8633" s="40"/>
      <c r="C8633" s="40"/>
      <c r="D8633" s="41"/>
      <c r="E8633" s="43">
        <f>C8633</f>
        <v>0</v>
      </c>
      <c r="F8633" s="42"/>
    </row>
    <row r="8634" spans="1:6">
      <c r="A8634" s="39">
        <f>A8633</f>
        <v>46048</v>
      </c>
      <c r="B8634" s="40"/>
      <c r="C8634" s="40"/>
      <c r="D8634" s="41"/>
      <c r="E8634" s="43">
        <f>C8634</f>
        <v>0</v>
      </c>
      <c r="F8634" s="42"/>
    </row>
    <row r="8635" spans="1:6">
      <c r="A8635" s="39">
        <f>A8634</f>
        <v>46048</v>
      </c>
      <c r="B8635" s="40"/>
      <c r="C8635" s="40"/>
      <c r="D8635" s="41"/>
      <c r="E8635" s="43">
        <f>C8635</f>
        <v>0</v>
      </c>
      <c r="F8635" s="42"/>
    </row>
    <row r="8636" spans="1:6">
      <c r="A8636" s="39">
        <f>A8635</f>
        <v>46048</v>
      </c>
      <c r="B8636" s="40"/>
      <c r="C8636" s="40"/>
      <c r="D8636" s="41"/>
      <c r="E8636" s="43">
        <f>C8636</f>
        <v>0</v>
      </c>
      <c r="F8636" s="42"/>
    </row>
    <row r="8637" spans="1:6">
      <c r="A8637" s="39">
        <f>A8636</f>
        <v>46048</v>
      </c>
      <c r="B8637" s="40"/>
      <c r="C8637" s="40"/>
      <c r="D8637" s="41"/>
      <c r="E8637" s="43">
        <f>C8637</f>
        <v>0</v>
      </c>
      <c r="F8637" s="42"/>
    </row>
    <row r="8638" spans="1:6">
      <c r="A8638" s="39">
        <f>A8637</f>
        <v>46048</v>
      </c>
      <c r="B8638" s="40"/>
      <c r="C8638" s="40"/>
      <c r="D8638" s="41"/>
      <c r="E8638" s="43">
        <f>C8638</f>
        <v>0</v>
      </c>
      <c r="F8638" s="42"/>
    </row>
    <row r="8639" spans="1:6">
      <c r="A8639" s="39">
        <f>A8638</f>
        <v>46048</v>
      </c>
      <c r="B8639" s="40"/>
      <c r="C8639" s="40"/>
      <c r="D8639" s="41"/>
      <c r="E8639" s="43">
        <f>C8639</f>
        <v>0</v>
      </c>
      <c r="F8639" s="42"/>
    </row>
    <row r="8640" spans="1:6">
      <c r="A8640" s="39">
        <f>A8639</f>
        <v>46048</v>
      </c>
      <c r="B8640" s="40"/>
      <c r="C8640" s="40"/>
      <c r="D8640" s="41"/>
      <c r="E8640" s="43">
        <f>C8640</f>
        <v>0</v>
      </c>
      <c r="F8640" s="42"/>
    </row>
    <row r="8641" spans="1:6">
      <c r="A8641" s="39">
        <f>A8640</f>
        <v>46048</v>
      </c>
      <c r="B8641" s="40"/>
      <c r="C8641" s="40"/>
      <c r="D8641" s="41"/>
      <c r="E8641" s="43">
        <f>C8641</f>
        <v>0</v>
      </c>
      <c r="F8641" s="42"/>
    </row>
    <row r="8642" spans="1:6">
      <c r="A8642" s="39">
        <f>A8641</f>
        <v>46048</v>
      </c>
      <c r="B8642" s="40"/>
      <c r="C8642" s="40"/>
      <c r="D8642" s="41"/>
      <c r="E8642" s="43">
        <f>C8642</f>
        <v>0</v>
      </c>
      <c r="F8642" s="42"/>
    </row>
    <row r="8643" spans="1:6">
      <c r="A8643" s="39">
        <f>A8642</f>
        <v>46048</v>
      </c>
      <c r="B8643" s="40"/>
      <c r="C8643" s="40"/>
      <c r="D8643" s="41"/>
      <c r="E8643" s="43">
        <f>C8643</f>
        <v>0</v>
      </c>
      <c r="F8643" s="42"/>
    </row>
    <row r="8644" spans="1:6">
      <c r="A8644" s="39">
        <f>A8643</f>
        <v>46048</v>
      </c>
      <c r="B8644" s="40"/>
      <c r="C8644" s="40"/>
      <c r="D8644" s="41"/>
      <c r="E8644" s="43">
        <f>C8644</f>
        <v>0</v>
      </c>
      <c r="F8644" s="42"/>
    </row>
    <row r="8645" spans="1:6">
      <c r="A8645" s="39">
        <f>A8644</f>
        <v>46048</v>
      </c>
      <c r="B8645" s="40"/>
      <c r="C8645" s="40"/>
      <c r="D8645" s="41"/>
      <c r="E8645" s="43">
        <f>C8645</f>
        <v>0</v>
      </c>
      <c r="F8645" s="42"/>
    </row>
    <row r="8646" spans="1:6">
      <c r="A8646" s="39">
        <f>A8645</f>
        <v>46048</v>
      </c>
      <c r="B8646" s="40"/>
      <c r="C8646" s="40"/>
      <c r="D8646" s="41"/>
      <c r="E8646" s="43">
        <f>C8646</f>
        <v>0</v>
      </c>
      <c r="F8646" s="42"/>
    </row>
    <row r="8647" spans="1:6">
      <c r="A8647" s="39">
        <f>A8646</f>
        <v>46048</v>
      </c>
      <c r="B8647" s="40"/>
      <c r="C8647" s="40"/>
      <c r="D8647" s="41"/>
      <c r="E8647" s="43">
        <f>C8647</f>
        <v>0</v>
      </c>
      <c r="F8647" s="42"/>
    </row>
    <row r="8648" spans="1:6">
      <c r="A8648" s="39">
        <f>A8647</f>
        <v>46048</v>
      </c>
      <c r="B8648" s="40"/>
      <c r="C8648" s="40"/>
      <c r="D8648" s="41"/>
      <c r="E8648" s="43">
        <f>C8648</f>
        <v>0</v>
      </c>
      <c r="F8648" s="42"/>
    </row>
    <row r="8649" spans="1:6">
      <c r="A8649" s="39">
        <f>A8648</f>
        <v>46048</v>
      </c>
      <c r="B8649" s="40"/>
      <c r="C8649" s="40"/>
      <c r="D8649" s="41"/>
      <c r="E8649" s="43">
        <f>C8649</f>
        <v>0</v>
      </c>
      <c r="F8649" s="42"/>
    </row>
    <row r="8650" spans="1:6">
      <c r="A8650" s="39">
        <f>A8649</f>
        <v>46048</v>
      </c>
      <c r="B8650" s="40"/>
      <c r="C8650" s="40"/>
      <c r="D8650" s="41"/>
      <c r="E8650" s="43">
        <f>C8650</f>
        <v>0</v>
      </c>
      <c r="F8650" s="42"/>
    </row>
    <row r="8651" spans="1:6">
      <c r="A8651" s="39">
        <f>A8650</f>
        <v>46048</v>
      </c>
      <c r="B8651" s="40"/>
      <c r="C8651" s="40"/>
      <c r="D8651" s="41"/>
      <c r="E8651" s="43">
        <f>C8651</f>
        <v>0</v>
      </c>
      <c r="F8651" s="42"/>
    </row>
    <row r="8652" spans="1:6">
      <c r="A8652" s="39">
        <f>A8651</f>
        <v>46048</v>
      </c>
      <c r="B8652" s="40"/>
      <c r="C8652" s="40"/>
      <c r="D8652" s="41"/>
      <c r="E8652" s="43">
        <f>C8652</f>
        <v>0</v>
      </c>
      <c r="F8652" s="42"/>
    </row>
    <row r="8653" spans="1:6">
      <c r="A8653" s="39">
        <f>A8652</f>
        <v>46048</v>
      </c>
      <c r="B8653" s="40"/>
      <c r="C8653" s="40"/>
      <c r="D8653" s="41"/>
      <c r="E8653" s="43">
        <f>C8653</f>
        <v>0</v>
      </c>
      <c r="F8653" s="42"/>
    </row>
    <row r="8654" spans="1:6">
      <c r="A8654" s="39">
        <f>A8653</f>
        <v>46048</v>
      </c>
      <c r="B8654" s="40"/>
      <c r="C8654" s="40"/>
      <c r="D8654" s="41"/>
      <c r="E8654" s="43">
        <f>C8654</f>
        <v>0</v>
      </c>
      <c r="F8654" s="42"/>
    </row>
    <row r="8655" spans="1:6">
      <c r="A8655" s="39">
        <f>A8654</f>
        <v>46048</v>
      </c>
      <c r="B8655" s="40"/>
      <c r="C8655" s="40"/>
      <c r="D8655" s="41"/>
      <c r="E8655" s="43">
        <f>C8655</f>
        <v>0</v>
      </c>
      <c r="F8655" s="42"/>
    </row>
    <row r="8656" spans="1:6">
      <c r="A8656" s="39">
        <f>A8655</f>
        <v>46048</v>
      </c>
      <c r="B8656" s="40"/>
      <c r="C8656" s="40"/>
      <c r="D8656" s="41"/>
      <c r="E8656" s="43">
        <f>C8656</f>
        <v>0</v>
      </c>
      <c r="F8656" s="42"/>
    </row>
    <row r="8657" spans="1:6">
      <c r="A8657" s="39">
        <f>A8656</f>
        <v>46048</v>
      </c>
      <c r="B8657" s="40"/>
      <c r="C8657" s="40"/>
      <c r="D8657" s="41"/>
      <c r="E8657" s="43">
        <f>C8657</f>
        <v>0</v>
      </c>
      <c r="F8657" s="42"/>
    </row>
    <row r="8658" spans="1:6">
      <c r="A8658" s="39">
        <f>A8657</f>
        <v>46048</v>
      </c>
      <c r="B8658" s="40"/>
      <c r="C8658" s="40"/>
      <c r="D8658" s="41"/>
      <c r="E8658" s="43">
        <f>C8658</f>
        <v>0</v>
      </c>
      <c r="F8658" s="42"/>
    </row>
    <row r="8659" spans="1:6">
      <c r="A8659" s="39">
        <f>A8658</f>
        <v>46048</v>
      </c>
      <c r="B8659" s="40"/>
      <c r="C8659" s="40"/>
      <c r="D8659" s="41"/>
      <c r="E8659" s="43">
        <f>C8659</f>
        <v>0</v>
      </c>
      <c r="F8659" s="42"/>
    </row>
    <row r="8660" spans="1:6">
      <c r="A8660" s="39">
        <f>A8659</f>
        <v>46048</v>
      </c>
      <c r="B8660" s="40"/>
      <c r="C8660" s="40"/>
      <c r="D8660" s="41"/>
      <c r="E8660" s="43">
        <f>C8660</f>
        <v>0</v>
      </c>
      <c r="F8660" s="42"/>
    </row>
    <row r="8661" spans="1:6">
      <c r="A8661" s="39">
        <f>A8660</f>
        <v>46048</v>
      </c>
      <c r="B8661" s="40"/>
      <c r="C8661" s="40"/>
      <c r="D8661" s="41"/>
      <c r="E8661" s="43">
        <f>C8661</f>
        <v>0</v>
      </c>
      <c r="F8661" s="42"/>
    </row>
    <row r="8662" spans="1:6">
      <c r="A8662" s="39">
        <f>A8661</f>
        <v>46048</v>
      </c>
      <c r="B8662" s="40"/>
      <c r="C8662" s="40"/>
      <c r="D8662" s="41"/>
      <c r="E8662" s="43">
        <f>C8662</f>
        <v>0</v>
      </c>
      <c r="F8662" s="42"/>
    </row>
    <row r="8663" spans="1:6">
      <c r="A8663" s="39">
        <f>A8662</f>
        <v>46048</v>
      </c>
      <c r="B8663" s="40"/>
      <c r="C8663" s="40"/>
      <c r="D8663" s="41"/>
      <c r="E8663" s="43">
        <f>C8663</f>
        <v>0</v>
      </c>
      <c r="F8663" s="42"/>
    </row>
    <row r="8664" spans="1:6">
      <c r="A8664" s="39">
        <f>A8663</f>
        <v>46048</v>
      </c>
      <c r="B8664" s="40"/>
      <c r="C8664" s="40"/>
      <c r="D8664" s="41"/>
      <c r="E8664" s="43">
        <f>C8664</f>
        <v>0</v>
      </c>
      <c r="F8664" s="42"/>
    </row>
    <row r="8665" spans="1:6">
      <c r="A8665" s="39">
        <f>A8664</f>
        <v>46048</v>
      </c>
      <c r="B8665" s="40"/>
      <c r="C8665" s="40"/>
      <c r="D8665" s="41"/>
      <c r="E8665" s="43">
        <f>C8665</f>
        <v>0</v>
      </c>
      <c r="F8665" s="42"/>
    </row>
    <row r="8666" spans="1:6">
      <c r="A8666" s="39">
        <f>A8665</f>
        <v>46048</v>
      </c>
      <c r="B8666" s="40"/>
      <c r="C8666" s="40"/>
      <c r="D8666" s="41"/>
      <c r="E8666" s="43">
        <f>C8666</f>
        <v>0</v>
      </c>
      <c r="F8666" s="42"/>
    </row>
    <row r="8667" spans="1:6">
      <c r="A8667" s="39">
        <f>A8666</f>
        <v>46048</v>
      </c>
      <c r="B8667" s="40"/>
      <c r="C8667" s="40"/>
      <c r="D8667" s="41"/>
      <c r="E8667" s="43">
        <f>C8667</f>
        <v>0</v>
      </c>
      <c r="F8667" s="42"/>
    </row>
    <row r="8668" spans="1:6">
      <c r="A8668" s="39">
        <f>A8667</f>
        <v>46048</v>
      </c>
      <c r="B8668" s="40"/>
      <c r="C8668" s="40"/>
      <c r="D8668" s="41"/>
      <c r="E8668" s="43">
        <f>C8668</f>
        <v>0</v>
      </c>
      <c r="F8668" s="42"/>
    </row>
    <row r="8669" spans="1:6">
      <c r="A8669" s="39">
        <f>A8668</f>
        <v>46048</v>
      </c>
      <c r="B8669" s="40"/>
      <c r="C8669" s="40"/>
      <c r="D8669" s="41"/>
      <c r="E8669" s="43">
        <f>C8669</f>
        <v>0</v>
      </c>
      <c r="F8669" s="42"/>
    </row>
    <row r="8670" spans="1:6">
      <c r="A8670" s="39">
        <f>A8669</f>
        <v>46048</v>
      </c>
      <c r="B8670" s="40"/>
      <c r="C8670" s="40"/>
      <c r="D8670" s="41"/>
      <c r="E8670" s="43">
        <f>C8670</f>
        <v>0</v>
      </c>
      <c r="F8670" s="42"/>
    </row>
    <row r="8671" spans="1:6">
      <c r="A8671" s="39">
        <f>A8670</f>
        <v>46048</v>
      </c>
      <c r="B8671" s="40"/>
      <c r="C8671" s="40"/>
      <c r="D8671" s="41"/>
      <c r="E8671" s="43">
        <f>C8671</f>
        <v>0</v>
      </c>
      <c r="F8671" s="42"/>
    </row>
    <row r="8672" spans="1:6">
      <c r="A8672" s="39">
        <f>A8671</f>
        <v>46048</v>
      </c>
      <c r="B8672" s="40"/>
      <c r="C8672" s="40"/>
      <c r="D8672" s="41"/>
      <c r="E8672" s="43">
        <f>C8672</f>
        <v>0</v>
      </c>
      <c r="F8672" s="42"/>
    </row>
    <row r="8673" spans="1:6">
      <c r="A8673" s="39">
        <f>A8672</f>
        <v>46048</v>
      </c>
      <c r="B8673" s="40"/>
      <c r="C8673" s="40"/>
      <c r="D8673" s="41"/>
      <c r="E8673" s="43">
        <f>C8673</f>
        <v>0</v>
      </c>
      <c r="F8673" s="42"/>
    </row>
    <row r="8674" spans="1:6">
      <c r="A8674" s="39">
        <f>A8673</f>
        <v>46048</v>
      </c>
      <c r="B8674" s="40"/>
      <c r="C8674" s="40"/>
      <c r="D8674" s="41"/>
      <c r="E8674" s="43">
        <f>C8674</f>
        <v>0</v>
      </c>
      <c r="F8674" s="42"/>
    </row>
    <row r="8675" spans="1:6">
      <c r="A8675" s="39">
        <f>A8674</f>
        <v>46048</v>
      </c>
      <c r="B8675" s="40"/>
      <c r="C8675" s="40"/>
      <c r="D8675" s="41"/>
      <c r="E8675" s="43">
        <f>C8675</f>
        <v>0</v>
      </c>
      <c r="F8675" s="42"/>
    </row>
    <row r="8676" spans="1:6">
      <c r="A8676" s="39">
        <f>A8675</f>
        <v>46048</v>
      </c>
      <c r="B8676" s="40"/>
      <c r="C8676" s="40"/>
      <c r="D8676" s="41"/>
      <c r="E8676" s="43">
        <f>C8676</f>
        <v>0</v>
      </c>
      <c r="F8676" s="42"/>
    </row>
    <row r="8677" spans="1:6">
      <c r="A8677" s="39">
        <f>A8676</f>
        <v>46048</v>
      </c>
      <c r="B8677" s="40"/>
      <c r="C8677" s="40"/>
      <c r="D8677" s="41"/>
      <c r="E8677" s="43">
        <f>C8677</f>
        <v>0</v>
      </c>
      <c r="F8677" s="42"/>
    </row>
    <row r="8678" spans="1:6">
      <c r="A8678" s="39">
        <f>A8677</f>
        <v>46048</v>
      </c>
      <c r="B8678" s="40"/>
      <c r="C8678" s="40"/>
      <c r="D8678" s="41"/>
      <c r="E8678" s="43">
        <f>C8678</f>
        <v>0</v>
      </c>
      <c r="F8678" s="42"/>
    </row>
    <row r="8679" spans="1:6">
      <c r="A8679" s="39">
        <f>A8678</f>
        <v>46048</v>
      </c>
      <c r="B8679" s="40"/>
      <c r="C8679" s="40"/>
      <c r="D8679" s="41"/>
      <c r="E8679" s="43">
        <f>C8679</f>
        <v>0</v>
      </c>
      <c r="F8679" s="42"/>
    </row>
    <row r="8680" spans="1:6">
      <c r="A8680" s="39">
        <f>A8679</f>
        <v>46048</v>
      </c>
      <c r="B8680" s="40"/>
      <c r="C8680" s="40"/>
      <c r="D8680" s="41"/>
      <c r="E8680" s="43">
        <f>C8680</f>
        <v>0</v>
      </c>
      <c r="F8680" s="42"/>
    </row>
    <row r="8681" spans="1:6">
      <c r="A8681" s="39">
        <f>A8680</f>
        <v>46048</v>
      </c>
      <c r="B8681" s="40"/>
      <c r="C8681" s="40"/>
      <c r="D8681" s="41"/>
      <c r="E8681" s="43">
        <f>C8681</f>
        <v>0</v>
      </c>
      <c r="F8681" s="42"/>
    </row>
    <row r="8682" spans="1:6">
      <c r="A8682" s="39">
        <f>A8681</f>
        <v>46048</v>
      </c>
      <c r="B8682" s="40"/>
      <c r="C8682" s="40"/>
      <c r="D8682" s="41"/>
      <c r="E8682" s="43">
        <f>C8682</f>
        <v>0</v>
      </c>
      <c r="F8682" s="42"/>
    </row>
    <row r="8683" spans="1:6">
      <c r="A8683" s="39">
        <f>A8682</f>
        <v>46048</v>
      </c>
      <c r="B8683" s="40"/>
      <c r="C8683" s="40"/>
      <c r="D8683" s="41"/>
      <c r="E8683" s="43">
        <f>C8683</f>
        <v>0</v>
      </c>
      <c r="F8683" s="42"/>
    </row>
    <row r="8684" spans="1:6">
      <c r="A8684" s="39">
        <f>A8683</f>
        <v>46048</v>
      </c>
      <c r="B8684" s="40"/>
      <c r="C8684" s="40"/>
      <c r="D8684" s="41"/>
      <c r="E8684" s="43">
        <f>C8684</f>
        <v>0</v>
      </c>
      <c r="F8684" s="42"/>
    </row>
    <row r="8685" spans="1:6">
      <c r="A8685" s="39">
        <f>A8684</f>
        <v>46048</v>
      </c>
      <c r="B8685" s="40"/>
      <c r="C8685" s="40"/>
      <c r="D8685" s="41"/>
      <c r="E8685" s="43">
        <f>C8685</f>
        <v>0</v>
      </c>
      <c r="F8685" s="42"/>
    </row>
    <row r="8686" spans="1:6">
      <c r="A8686" s="39">
        <f>A8685</f>
        <v>46048</v>
      </c>
      <c r="B8686" s="40"/>
      <c r="C8686" s="40"/>
      <c r="D8686" s="41"/>
      <c r="E8686" s="43">
        <f>C8686</f>
        <v>0</v>
      </c>
      <c r="F8686" s="42"/>
    </row>
    <row r="8687" spans="1:6">
      <c r="A8687" s="39">
        <f>A8686</f>
        <v>46048</v>
      </c>
      <c r="B8687" s="40"/>
      <c r="C8687" s="40"/>
      <c r="D8687" s="41"/>
      <c r="E8687" s="43">
        <f>C8687</f>
        <v>0</v>
      </c>
      <c r="F8687" s="42"/>
    </row>
    <row r="8688" spans="1:6">
      <c r="A8688" s="39">
        <f>A8687</f>
        <v>46048</v>
      </c>
      <c r="B8688" s="40"/>
      <c r="C8688" s="40"/>
      <c r="D8688" s="41"/>
      <c r="E8688" s="43">
        <f>C8688</f>
        <v>0</v>
      </c>
      <c r="F8688" s="42"/>
    </row>
    <row r="8689" spans="1:6">
      <c r="A8689" s="39">
        <f>A8688</f>
        <v>46048</v>
      </c>
      <c r="B8689" s="40"/>
      <c r="C8689" s="40"/>
      <c r="D8689" s="41"/>
      <c r="E8689" s="43">
        <f>C8689</f>
        <v>0</v>
      </c>
      <c r="F8689" s="42"/>
    </row>
    <row r="8690" spans="1:6">
      <c r="A8690" s="39">
        <f>A8689</f>
        <v>46048</v>
      </c>
      <c r="B8690" s="40"/>
      <c r="C8690" s="40"/>
      <c r="D8690" s="41"/>
      <c r="E8690" s="43">
        <f>C8690</f>
        <v>0</v>
      </c>
      <c r="F8690" s="42"/>
    </row>
    <row r="8691" spans="1:6">
      <c r="A8691" s="39">
        <f>A8690</f>
        <v>46048</v>
      </c>
      <c r="B8691" s="40"/>
      <c r="C8691" s="40"/>
      <c r="D8691" s="41"/>
      <c r="E8691" s="43">
        <f>C8691</f>
        <v>0</v>
      </c>
      <c r="F8691" s="42"/>
    </row>
    <row r="8692" spans="1:6">
      <c r="A8692" s="39">
        <f>A8691</f>
        <v>46048</v>
      </c>
      <c r="B8692" s="40"/>
      <c r="C8692" s="40"/>
      <c r="D8692" s="41"/>
      <c r="E8692" s="43">
        <f>C8692</f>
        <v>0</v>
      </c>
      <c r="F8692" s="42"/>
    </row>
    <row r="8693" spans="1:6">
      <c r="A8693" s="39">
        <f>A8692</f>
        <v>46048</v>
      </c>
      <c r="B8693" s="40"/>
      <c r="C8693" s="40"/>
      <c r="D8693" s="41"/>
      <c r="E8693" s="43">
        <f>C8693</f>
        <v>0</v>
      </c>
      <c r="F8693" s="42"/>
    </row>
    <row r="8694" spans="1:6">
      <c r="A8694" s="39">
        <f>A8693</f>
        <v>46048</v>
      </c>
      <c r="B8694" s="40"/>
      <c r="C8694" s="40"/>
      <c r="D8694" s="41"/>
      <c r="E8694" s="43">
        <f>C8694</f>
        <v>0</v>
      </c>
      <c r="F8694" s="42"/>
    </row>
    <row r="8695" spans="1:6">
      <c r="A8695" s="39">
        <f>A8694</f>
        <v>46048</v>
      </c>
      <c r="B8695" s="40"/>
      <c r="C8695" s="40"/>
      <c r="D8695" s="41"/>
      <c r="E8695" s="43">
        <f>C8695</f>
        <v>0</v>
      </c>
      <c r="F8695" s="42"/>
    </row>
    <row r="8696" spans="1:6">
      <c r="A8696" s="39">
        <f>A8695</f>
        <v>46048</v>
      </c>
      <c r="B8696" s="40"/>
      <c r="C8696" s="40"/>
      <c r="D8696" s="41"/>
      <c r="E8696" s="43">
        <f>C8696</f>
        <v>0</v>
      </c>
      <c r="F8696" s="42"/>
    </row>
    <row r="8697" spans="1:6">
      <c r="A8697" s="39">
        <f>A8696</f>
        <v>46048</v>
      </c>
      <c r="B8697" s="40"/>
      <c r="C8697" s="40"/>
      <c r="D8697" s="41"/>
      <c r="E8697" s="43">
        <f>C8697</f>
        <v>0</v>
      </c>
      <c r="F8697" s="42"/>
    </row>
    <row r="8698" spans="1:6">
      <c r="A8698" s="39">
        <f>A8697</f>
        <v>46048</v>
      </c>
      <c r="B8698" s="40"/>
      <c r="C8698" s="40"/>
      <c r="D8698" s="41"/>
      <c r="E8698" s="43">
        <f>C8698</f>
        <v>0</v>
      </c>
      <c r="F8698" s="42"/>
    </row>
    <row r="8699" spans="1:6">
      <c r="A8699" s="39">
        <f>A8698</f>
        <v>46048</v>
      </c>
      <c r="B8699" s="40"/>
      <c r="C8699" s="40"/>
      <c r="D8699" s="41"/>
      <c r="E8699" s="43">
        <f>C8699</f>
        <v>0</v>
      </c>
      <c r="F8699" s="42"/>
    </row>
    <row r="8700" spans="1:6">
      <c r="A8700" s="39">
        <f>A8699</f>
        <v>46048</v>
      </c>
      <c r="B8700" s="40"/>
      <c r="C8700" s="40"/>
      <c r="D8700" s="41"/>
      <c r="E8700" s="43">
        <f>C8700</f>
        <v>0</v>
      </c>
      <c r="F8700" s="42"/>
    </row>
    <row r="8701" spans="1:6">
      <c r="A8701" s="39">
        <f>A8700</f>
        <v>46048</v>
      </c>
      <c r="B8701" s="40"/>
      <c r="C8701" s="40"/>
      <c r="D8701" s="41"/>
      <c r="E8701" s="43">
        <f>C8701</f>
        <v>0</v>
      </c>
      <c r="F8701" s="42"/>
    </row>
    <row r="8702" spans="1:6">
      <c r="A8702" s="39">
        <f>A8701</f>
        <v>46048</v>
      </c>
      <c r="B8702" s="40"/>
      <c r="C8702" s="40"/>
      <c r="D8702" s="41"/>
      <c r="E8702" s="43">
        <f>C8702</f>
        <v>0</v>
      </c>
      <c r="F8702" s="42"/>
    </row>
    <row r="8703" spans="1:6">
      <c r="A8703" s="39">
        <f>A8702</f>
        <v>46048</v>
      </c>
      <c r="B8703" s="40"/>
      <c r="C8703" s="40"/>
      <c r="D8703" s="41"/>
      <c r="E8703" s="43">
        <f>C8703</f>
        <v>0</v>
      </c>
      <c r="F8703" s="42"/>
    </row>
    <row r="8704" spans="1:6">
      <c r="A8704" s="39">
        <f>A8703</f>
        <v>46048</v>
      </c>
      <c r="B8704" s="40"/>
      <c r="C8704" s="40"/>
      <c r="D8704" s="41"/>
      <c r="E8704" s="43">
        <f>C8704</f>
        <v>0</v>
      </c>
      <c r="F8704" s="42"/>
    </row>
    <row r="8705" spans="1:6">
      <c r="A8705" s="39">
        <f>A8704</f>
        <v>46048</v>
      </c>
      <c r="B8705" s="40"/>
      <c r="C8705" s="40"/>
      <c r="D8705" s="41"/>
      <c r="E8705" s="43">
        <f>C8705</f>
        <v>0</v>
      </c>
      <c r="F8705" s="42"/>
    </row>
    <row r="8706" spans="1:6">
      <c r="A8706" s="39">
        <f>A8705</f>
        <v>46048</v>
      </c>
      <c r="B8706" s="40"/>
      <c r="C8706" s="40"/>
      <c r="D8706" s="41"/>
      <c r="E8706" s="43">
        <f>C8706</f>
        <v>0</v>
      </c>
      <c r="F8706" s="42"/>
    </row>
    <row r="8707" spans="1:6">
      <c r="A8707" s="39">
        <f>A8706</f>
        <v>46048</v>
      </c>
      <c r="B8707" s="40"/>
      <c r="C8707" s="40"/>
      <c r="D8707" s="41"/>
      <c r="E8707" s="43">
        <f>C8707</f>
        <v>0</v>
      </c>
      <c r="F8707" s="42"/>
    </row>
    <row r="8708" spans="1:6">
      <c r="A8708" s="39">
        <f>A8707</f>
        <v>46048</v>
      </c>
      <c r="B8708" s="40"/>
      <c r="C8708" s="40"/>
      <c r="D8708" s="41"/>
      <c r="E8708" s="43">
        <f>C8708</f>
        <v>0</v>
      </c>
      <c r="F8708" s="42"/>
    </row>
    <row r="8709" spans="1:6">
      <c r="A8709" s="39">
        <f>A8708</f>
        <v>46048</v>
      </c>
      <c r="B8709" s="40"/>
      <c r="C8709" s="40"/>
      <c r="D8709" s="41"/>
      <c r="E8709" s="43">
        <f>C8709</f>
        <v>0</v>
      </c>
      <c r="F8709" s="42"/>
    </row>
    <row r="8710" spans="1:6">
      <c r="A8710" s="39">
        <f>A8709</f>
        <v>46048</v>
      </c>
      <c r="B8710" s="40"/>
      <c r="C8710" s="40"/>
      <c r="D8710" s="41"/>
      <c r="E8710" s="43">
        <f>C8710</f>
        <v>0</v>
      </c>
      <c r="F8710" s="42"/>
    </row>
    <row r="8711" spans="1:6">
      <c r="A8711" s="39">
        <f>A8710</f>
        <v>46048</v>
      </c>
      <c r="B8711" s="40"/>
      <c r="C8711" s="40"/>
      <c r="D8711" s="41"/>
      <c r="E8711" s="43">
        <f>C8711</f>
        <v>0</v>
      </c>
      <c r="F8711" s="42"/>
    </row>
    <row r="8712" spans="1:6">
      <c r="A8712" s="39">
        <f>A8711</f>
        <v>46048</v>
      </c>
      <c r="B8712" s="40"/>
      <c r="C8712" s="40"/>
      <c r="D8712" s="41"/>
      <c r="E8712" s="43">
        <f>C8712</f>
        <v>0</v>
      </c>
      <c r="F8712" s="42"/>
    </row>
    <row r="8713" spans="1:6">
      <c r="A8713" s="39">
        <f>A8712</f>
        <v>46048</v>
      </c>
      <c r="B8713" s="40"/>
      <c r="C8713" s="40"/>
      <c r="D8713" s="41"/>
      <c r="E8713" s="43">
        <f>C8713</f>
        <v>0</v>
      </c>
      <c r="F8713" s="42"/>
    </row>
    <row r="8714" spans="1:6">
      <c r="A8714" s="39">
        <f>A8713</f>
        <v>46048</v>
      </c>
      <c r="B8714" s="40"/>
      <c r="C8714" s="40"/>
      <c r="D8714" s="41"/>
      <c r="E8714" s="43">
        <f>C8714</f>
        <v>0</v>
      </c>
      <c r="F8714" s="42"/>
    </row>
    <row r="8715" spans="1:6">
      <c r="A8715" s="39">
        <f>A8714</f>
        <v>46048</v>
      </c>
      <c r="B8715" s="40"/>
      <c r="C8715" s="40"/>
      <c r="D8715" s="41"/>
      <c r="E8715" s="43">
        <f>C8715</f>
        <v>0</v>
      </c>
      <c r="F8715" s="42"/>
    </row>
    <row r="8716" spans="1:6">
      <c r="A8716" s="39">
        <f>A8715</f>
        <v>46048</v>
      </c>
      <c r="B8716" s="40"/>
      <c r="C8716" s="40"/>
      <c r="D8716" s="41"/>
      <c r="E8716" s="43">
        <f>C8716</f>
        <v>0</v>
      </c>
      <c r="F8716" s="42"/>
    </row>
    <row r="8717" spans="1:6">
      <c r="A8717" s="39">
        <f>A8716</f>
        <v>46048</v>
      </c>
      <c r="B8717" s="40"/>
      <c r="C8717" s="40"/>
      <c r="D8717" s="41"/>
      <c r="E8717" s="43">
        <f>C8717</f>
        <v>0</v>
      </c>
      <c r="F8717" s="42"/>
    </row>
    <row r="8718" spans="1:6">
      <c r="A8718" s="39">
        <f>A8717</f>
        <v>46048</v>
      </c>
      <c r="B8718" s="40"/>
      <c r="C8718" s="40"/>
      <c r="D8718" s="41"/>
      <c r="E8718" s="43">
        <f>C8718</f>
        <v>0</v>
      </c>
      <c r="F8718" s="42"/>
    </row>
    <row r="8719" spans="1:6">
      <c r="A8719" s="39">
        <f>A8718</f>
        <v>46048</v>
      </c>
      <c r="B8719" s="40"/>
      <c r="C8719" s="40"/>
      <c r="D8719" s="41"/>
      <c r="E8719" s="43">
        <f>C8719</f>
        <v>0</v>
      </c>
      <c r="F8719" s="42"/>
    </row>
    <row r="8720" spans="1:6">
      <c r="A8720" s="39">
        <f>A8719</f>
        <v>46048</v>
      </c>
      <c r="B8720" s="40"/>
      <c r="C8720" s="40"/>
      <c r="D8720" s="41"/>
      <c r="E8720" s="43">
        <f>C8720</f>
        <v>0</v>
      </c>
      <c r="F8720" s="42"/>
    </row>
    <row r="8721" spans="1:6">
      <c r="A8721" s="39">
        <f>A8720</f>
        <v>46048</v>
      </c>
      <c r="B8721" s="40"/>
      <c r="C8721" s="40"/>
      <c r="D8721" s="41"/>
      <c r="E8721" s="43">
        <f>C8721</f>
        <v>0</v>
      </c>
      <c r="F8721" s="42"/>
    </row>
    <row r="8722" spans="1:6">
      <c r="A8722" s="39">
        <f>A8721</f>
        <v>46048</v>
      </c>
      <c r="B8722" s="40"/>
      <c r="C8722" s="40"/>
      <c r="D8722" s="41"/>
      <c r="E8722" s="43">
        <f>C8722</f>
        <v>0</v>
      </c>
      <c r="F8722" s="42"/>
    </row>
    <row r="8723" spans="1:6">
      <c r="A8723" s="39">
        <f>A8722</f>
        <v>46048</v>
      </c>
      <c r="B8723" s="40"/>
      <c r="C8723" s="40"/>
      <c r="D8723" s="41"/>
      <c r="E8723" s="43">
        <f>C8723</f>
        <v>0</v>
      </c>
      <c r="F8723" s="42"/>
    </row>
    <row r="8724" spans="1:6">
      <c r="A8724" s="39">
        <f>A8723</f>
        <v>46048</v>
      </c>
      <c r="B8724" s="40"/>
      <c r="C8724" s="40"/>
      <c r="D8724" s="41"/>
      <c r="E8724" s="43">
        <f>C8724</f>
        <v>0</v>
      </c>
      <c r="F8724" s="42"/>
    </row>
    <row r="8725" spans="1:6">
      <c r="A8725" s="39">
        <f>A8724</f>
        <v>46048</v>
      </c>
      <c r="B8725" s="40"/>
      <c r="C8725" s="40"/>
      <c r="D8725" s="41"/>
      <c r="E8725" s="43">
        <f>C8725</f>
        <v>0</v>
      </c>
      <c r="F8725" s="42"/>
    </row>
    <row r="8726" spans="1:6">
      <c r="A8726" s="39">
        <f>A8725</f>
        <v>46048</v>
      </c>
      <c r="B8726" s="40"/>
      <c r="C8726" s="40"/>
      <c r="D8726" s="41"/>
      <c r="E8726" s="43">
        <f>C8726</f>
        <v>0</v>
      </c>
      <c r="F8726" s="42"/>
    </row>
    <row r="8727" spans="1:6">
      <c r="A8727" s="39">
        <f>A8726</f>
        <v>46048</v>
      </c>
      <c r="B8727" s="40"/>
      <c r="C8727" s="40"/>
      <c r="D8727" s="41"/>
      <c r="E8727" s="43">
        <f>C8727</f>
        <v>0</v>
      </c>
      <c r="F8727" s="42"/>
    </row>
    <row r="8728" spans="1:6">
      <c r="A8728" s="39">
        <f>A8727</f>
        <v>46048</v>
      </c>
      <c r="B8728" s="40"/>
      <c r="C8728" s="40"/>
      <c r="D8728" s="41"/>
      <c r="E8728" s="43">
        <f>C8728</f>
        <v>0</v>
      </c>
      <c r="F8728" s="42"/>
    </row>
    <row r="8729" spans="1:6">
      <c r="A8729" s="39">
        <f>A8728</f>
        <v>46048</v>
      </c>
      <c r="B8729" s="40"/>
      <c r="C8729" s="40"/>
      <c r="D8729" s="41"/>
      <c r="E8729" s="43">
        <f>C8729</f>
        <v>0</v>
      </c>
      <c r="F8729" s="42"/>
    </row>
    <row r="8730" spans="1:6">
      <c r="A8730" s="39">
        <f>A8729</f>
        <v>46048</v>
      </c>
      <c r="B8730" s="40"/>
      <c r="C8730" s="40"/>
      <c r="D8730" s="41"/>
      <c r="E8730" s="43">
        <f>C8730</f>
        <v>0</v>
      </c>
      <c r="F8730" s="42"/>
    </row>
    <row r="8731" spans="1:6">
      <c r="A8731" s="39">
        <f>A8730</f>
        <v>46048</v>
      </c>
      <c r="B8731" s="40"/>
      <c r="C8731" s="40"/>
      <c r="D8731" s="41"/>
      <c r="E8731" s="43">
        <f>C8731</f>
        <v>0</v>
      </c>
      <c r="F8731" s="42"/>
    </row>
    <row r="8732" spans="1:6">
      <c r="A8732" s="39">
        <f>A8731</f>
        <v>46048</v>
      </c>
      <c r="B8732" s="40"/>
      <c r="C8732" s="40"/>
      <c r="D8732" s="41"/>
      <c r="E8732" s="43">
        <f>C8732</f>
        <v>0</v>
      </c>
      <c r="F8732" s="42"/>
    </row>
    <row r="8733" spans="1:6">
      <c r="A8733" s="39">
        <f>A8732</f>
        <v>46048</v>
      </c>
      <c r="B8733" s="40"/>
      <c r="C8733" s="40"/>
      <c r="D8733" s="41"/>
      <c r="E8733" s="43">
        <f>C8733</f>
        <v>0</v>
      </c>
      <c r="F8733" s="42"/>
    </row>
    <row r="8734" spans="1:6">
      <c r="A8734" s="39">
        <f>A8733</f>
        <v>46048</v>
      </c>
      <c r="B8734" s="40"/>
      <c r="C8734" s="40"/>
      <c r="D8734" s="41"/>
      <c r="E8734" s="43">
        <f>C8734</f>
        <v>0</v>
      </c>
      <c r="F8734" s="42"/>
    </row>
    <row r="8735" spans="1:6">
      <c r="A8735" s="39">
        <f>A8734</f>
        <v>46048</v>
      </c>
      <c r="B8735" s="40"/>
      <c r="C8735" s="40"/>
      <c r="D8735" s="41"/>
      <c r="E8735" s="43">
        <f>C8735</f>
        <v>0</v>
      </c>
      <c r="F8735" s="42"/>
    </row>
    <row r="8736" spans="1:6">
      <c r="A8736" s="39">
        <f>A8735</f>
        <v>46048</v>
      </c>
      <c r="B8736" s="40"/>
      <c r="C8736" s="40"/>
      <c r="D8736" s="41"/>
      <c r="E8736" s="43">
        <f>C8736</f>
        <v>0</v>
      </c>
      <c r="F8736" s="42"/>
    </row>
    <row r="8737" spans="1:6">
      <c r="A8737" s="39">
        <f>A8736</f>
        <v>46048</v>
      </c>
      <c r="B8737" s="40"/>
      <c r="C8737" s="40"/>
      <c r="D8737" s="41"/>
      <c r="E8737" s="43">
        <f>C8737</f>
        <v>0</v>
      </c>
      <c r="F8737" s="42"/>
    </row>
    <row r="8738" spans="1:6">
      <c r="A8738" s="39">
        <f>A8737</f>
        <v>46048</v>
      </c>
      <c r="B8738" s="40"/>
      <c r="C8738" s="40"/>
      <c r="D8738" s="41"/>
      <c r="E8738" s="43">
        <f>C8738</f>
        <v>0</v>
      </c>
      <c r="F8738" s="42"/>
    </row>
    <row r="8739" spans="1:6">
      <c r="A8739" s="39">
        <f>A8738</f>
        <v>46048</v>
      </c>
      <c r="B8739" s="40"/>
      <c r="C8739" s="40"/>
      <c r="D8739" s="41"/>
      <c r="E8739" s="43">
        <f>C8739</f>
        <v>0</v>
      </c>
      <c r="F8739" s="42"/>
    </row>
    <row r="8740" spans="1:6">
      <c r="A8740" s="39">
        <f>A8739</f>
        <v>46048</v>
      </c>
      <c r="B8740" s="40"/>
      <c r="C8740" s="40"/>
      <c r="D8740" s="41"/>
      <c r="E8740" s="43">
        <f>C8740</f>
        <v>0</v>
      </c>
      <c r="F8740" s="42"/>
    </row>
    <row r="8741" spans="1:6">
      <c r="A8741" s="39">
        <f>A8740</f>
        <v>46048</v>
      </c>
      <c r="B8741" s="40"/>
      <c r="C8741" s="40"/>
      <c r="D8741" s="41"/>
      <c r="E8741" s="43">
        <f>C8741</f>
        <v>0</v>
      </c>
      <c r="F8741" s="42"/>
    </row>
    <row r="8742" spans="1:6">
      <c r="A8742" s="39">
        <f>A8741</f>
        <v>46048</v>
      </c>
      <c r="B8742" s="40"/>
      <c r="C8742" s="40"/>
      <c r="D8742" s="41"/>
      <c r="E8742" s="43">
        <f>C8742</f>
        <v>0</v>
      </c>
      <c r="F8742" s="42"/>
    </row>
    <row r="8743" spans="1:6">
      <c r="A8743" s="39">
        <f>A8742</f>
        <v>46048</v>
      </c>
      <c r="B8743" s="40"/>
      <c r="C8743" s="40"/>
      <c r="D8743" s="41"/>
      <c r="E8743" s="43">
        <f>C8743</f>
        <v>0</v>
      </c>
      <c r="F8743" s="42"/>
    </row>
    <row r="8744" spans="1:6">
      <c r="A8744" s="39">
        <f>A8743</f>
        <v>46048</v>
      </c>
      <c r="B8744" s="40"/>
      <c r="C8744" s="40"/>
      <c r="D8744" s="41"/>
      <c r="E8744" s="43">
        <f>C8744</f>
        <v>0</v>
      </c>
      <c r="F8744" s="42"/>
    </row>
    <row r="8745" spans="1:6">
      <c r="A8745" s="39">
        <f>A8744</f>
        <v>46048</v>
      </c>
      <c r="B8745" s="40"/>
      <c r="C8745" s="40"/>
      <c r="D8745" s="41"/>
      <c r="E8745" s="43">
        <f>C8745</f>
        <v>0</v>
      </c>
      <c r="F8745" s="42"/>
    </row>
    <row r="8746" spans="1:6">
      <c r="A8746" s="39">
        <f>A8745</f>
        <v>46048</v>
      </c>
      <c r="B8746" s="40"/>
      <c r="C8746" s="40"/>
      <c r="D8746" s="41"/>
      <c r="E8746" s="43">
        <f>C8746</f>
        <v>0</v>
      </c>
      <c r="F8746" s="42"/>
    </row>
    <row r="8747" spans="1:6">
      <c r="A8747" s="39">
        <f>A8746</f>
        <v>46048</v>
      </c>
      <c r="B8747" s="40"/>
      <c r="C8747" s="40"/>
      <c r="D8747" s="41"/>
      <c r="E8747" s="43">
        <f>C8747</f>
        <v>0</v>
      </c>
      <c r="F8747" s="42"/>
    </row>
    <row r="8748" spans="1:6">
      <c r="A8748" s="39">
        <f>A8747</f>
        <v>46048</v>
      </c>
      <c r="B8748" s="40"/>
      <c r="C8748" s="40"/>
      <c r="D8748" s="41"/>
      <c r="E8748" s="43">
        <f>C8748</f>
        <v>0</v>
      </c>
      <c r="F8748" s="42"/>
    </row>
    <row r="8749" spans="1:6">
      <c r="A8749" s="39">
        <f>A8748</f>
        <v>46048</v>
      </c>
      <c r="B8749" s="40"/>
      <c r="C8749" s="40"/>
      <c r="D8749" s="41"/>
      <c r="E8749" s="43">
        <f>C8749</f>
        <v>0</v>
      </c>
      <c r="F8749" s="42"/>
    </row>
    <row r="8750" spans="1:6">
      <c r="A8750" s="39">
        <f>A8749</f>
        <v>46048</v>
      </c>
      <c r="B8750" s="40"/>
      <c r="C8750" s="40"/>
      <c r="D8750" s="41"/>
      <c r="E8750" s="43">
        <f>C8750</f>
        <v>0</v>
      </c>
      <c r="F8750" s="42"/>
    </row>
    <row r="8751" spans="1:6">
      <c r="A8751" s="39">
        <f>A8750</f>
        <v>46048</v>
      </c>
      <c r="B8751" s="40"/>
      <c r="C8751" s="40"/>
      <c r="D8751" s="41"/>
      <c r="E8751" s="43">
        <f>C8751</f>
        <v>0</v>
      </c>
      <c r="F8751" s="42"/>
    </row>
    <row r="8752" spans="1:6">
      <c r="A8752" s="39">
        <f>A8751</f>
        <v>46048</v>
      </c>
      <c r="B8752" s="40"/>
      <c r="C8752" s="40"/>
      <c r="D8752" s="41"/>
      <c r="E8752" s="43">
        <f>C8752</f>
        <v>0</v>
      </c>
      <c r="F8752" s="42"/>
    </row>
    <row r="8753" spans="1:6">
      <c r="A8753" s="39">
        <f>A8752</f>
        <v>46048</v>
      </c>
      <c r="B8753" s="40"/>
      <c r="C8753" s="40"/>
      <c r="D8753" s="41"/>
      <c r="E8753" s="43">
        <f>C8753</f>
        <v>0</v>
      </c>
      <c r="F8753" s="42"/>
    </row>
    <row r="8754" spans="1:6">
      <c r="A8754" s="39">
        <f>A8753</f>
        <v>46048</v>
      </c>
      <c r="B8754" s="40"/>
      <c r="C8754" s="40"/>
      <c r="D8754" s="41"/>
      <c r="E8754" s="43">
        <f>C8754</f>
        <v>0</v>
      </c>
      <c r="F8754" s="42"/>
    </row>
    <row r="8755" spans="1:6">
      <c r="A8755" s="39">
        <f>A8754</f>
        <v>46048</v>
      </c>
      <c r="B8755" s="40"/>
      <c r="C8755" s="40"/>
      <c r="D8755" s="41"/>
      <c r="E8755" s="43">
        <f>C8755</f>
        <v>0</v>
      </c>
      <c r="F8755" s="42"/>
    </row>
    <row r="8756" spans="1:6">
      <c r="A8756" s="39">
        <f>A8755</f>
        <v>46048</v>
      </c>
      <c r="B8756" s="40"/>
      <c r="C8756" s="40"/>
      <c r="D8756" s="41"/>
      <c r="E8756" s="43">
        <f>C8756</f>
        <v>0</v>
      </c>
      <c r="F8756" s="42"/>
    </row>
    <row r="8757" spans="1:6">
      <c r="A8757" s="39">
        <f>A8756</f>
        <v>46048</v>
      </c>
      <c r="B8757" s="40"/>
      <c r="C8757" s="40"/>
      <c r="D8757" s="41"/>
      <c r="E8757" s="43">
        <f>C8757</f>
        <v>0</v>
      </c>
      <c r="F8757" s="42"/>
    </row>
    <row r="8758" spans="1:6">
      <c r="A8758" s="39">
        <f>A8757</f>
        <v>46048</v>
      </c>
      <c r="B8758" s="40"/>
      <c r="C8758" s="40"/>
      <c r="D8758" s="41"/>
      <c r="E8758" s="43">
        <f>C8758</f>
        <v>0</v>
      </c>
      <c r="F8758" s="42"/>
    </row>
    <row r="8759" spans="1:6">
      <c r="A8759" s="39">
        <f>A8758</f>
        <v>46048</v>
      </c>
      <c r="B8759" s="40"/>
      <c r="C8759" s="40"/>
      <c r="D8759" s="41"/>
      <c r="E8759" s="43">
        <f>C8759</f>
        <v>0</v>
      </c>
      <c r="F8759" s="42"/>
    </row>
    <row r="8760" spans="1:6">
      <c r="A8760" s="39">
        <f>A8759</f>
        <v>46048</v>
      </c>
      <c r="B8760" s="40"/>
      <c r="C8760" s="40"/>
      <c r="D8760" s="41"/>
      <c r="E8760" s="43">
        <f>C8760</f>
        <v>0</v>
      </c>
      <c r="F8760" s="42"/>
    </row>
    <row r="8761" spans="1:6">
      <c r="A8761" s="39">
        <f>A8760</f>
        <v>46048</v>
      </c>
      <c r="B8761" s="40"/>
      <c r="C8761" s="40"/>
      <c r="D8761" s="41"/>
      <c r="E8761" s="43">
        <f>C8761</f>
        <v>0</v>
      </c>
      <c r="F8761" s="42"/>
    </row>
    <row r="8762" spans="1:6">
      <c r="A8762" s="39">
        <f>A8761</f>
        <v>46048</v>
      </c>
      <c r="B8762" s="40"/>
      <c r="C8762" s="40"/>
      <c r="D8762" s="41"/>
      <c r="E8762" s="43">
        <f>C8762</f>
        <v>0</v>
      </c>
      <c r="F8762" s="42"/>
    </row>
    <row r="8763" spans="1:6">
      <c r="A8763" s="39">
        <f>A8762</f>
        <v>46048</v>
      </c>
      <c r="B8763" s="40"/>
      <c r="C8763" s="40"/>
      <c r="D8763" s="41"/>
      <c r="E8763" s="43">
        <f>C8763</f>
        <v>0</v>
      </c>
      <c r="F8763" s="42"/>
    </row>
    <row r="8764" spans="1:6">
      <c r="A8764" s="39">
        <f>A8763</f>
        <v>46048</v>
      </c>
      <c r="B8764" s="40"/>
      <c r="C8764" s="40"/>
      <c r="D8764" s="41"/>
      <c r="E8764" s="43">
        <f>C8764</f>
        <v>0</v>
      </c>
      <c r="F8764" s="42"/>
    </row>
    <row r="8765" spans="1:6">
      <c r="A8765" s="39">
        <f>A8764</f>
        <v>46048</v>
      </c>
      <c r="B8765" s="40"/>
      <c r="C8765" s="40"/>
      <c r="D8765" s="41"/>
      <c r="E8765" s="43">
        <f>C8765</f>
        <v>0</v>
      </c>
      <c r="F8765" s="42"/>
    </row>
    <row r="8766" spans="1:6">
      <c r="A8766" s="39">
        <f>A8765</f>
        <v>46048</v>
      </c>
      <c r="B8766" s="40"/>
      <c r="C8766" s="40"/>
      <c r="D8766" s="41"/>
      <c r="E8766" s="43">
        <f>C8766</f>
        <v>0</v>
      </c>
      <c r="F8766" s="42"/>
    </row>
    <row r="8767" spans="1:6">
      <c r="A8767" s="39">
        <f>A8766</f>
        <v>46048</v>
      </c>
      <c r="B8767" s="40"/>
      <c r="C8767" s="40"/>
      <c r="D8767" s="41"/>
      <c r="E8767" s="43">
        <f>C8767</f>
        <v>0</v>
      </c>
      <c r="F8767" s="42"/>
    </row>
    <row r="8768" spans="1:6">
      <c r="A8768" s="39">
        <f>A8767</f>
        <v>46048</v>
      </c>
      <c r="B8768" s="40"/>
      <c r="C8768" s="40"/>
      <c r="D8768" s="41"/>
      <c r="E8768" s="43">
        <f>C8768</f>
        <v>0</v>
      </c>
      <c r="F8768" s="42"/>
    </row>
    <row r="8769" spans="1:6">
      <c r="A8769" s="39">
        <f>A8768</f>
        <v>46048</v>
      </c>
      <c r="B8769" s="40"/>
      <c r="C8769" s="40"/>
      <c r="D8769" s="41"/>
      <c r="E8769" s="43">
        <f>C8769</f>
        <v>0</v>
      </c>
      <c r="F8769" s="42"/>
    </row>
    <row r="8770" spans="1:6">
      <c r="A8770" s="39">
        <f>A8769</f>
        <v>46048</v>
      </c>
      <c r="B8770" s="40"/>
      <c r="C8770" s="40"/>
      <c r="D8770" s="41"/>
      <c r="E8770" s="43">
        <f>C8770</f>
        <v>0</v>
      </c>
      <c r="F8770" s="42"/>
    </row>
    <row r="8771" spans="1:6">
      <c r="A8771" s="39">
        <f>A8770</f>
        <v>46048</v>
      </c>
      <c r="B8771" s="40"/>
      <c r="C8771" s="40"/>
      <c r="D8771" s="41"/>
      <c r="E8771" s="43">
        <f>C8771</f>
        <v>0</v>
      </c>
      <c r="F8771" s="42"/>
    </row>
    <row r="8772" spans="1:6">
      <c r="A8772" s="39">
        <f>A8771</f>
        <v>46048</v>
      </c>
      <c r="B8772" s="40"/>
      <c r="C8772" s="40"/>
      <c r="D8772" s="41"/>
      <c r="E8772" s="43">
        <f>C8772</f>
        <v>0</v>
      </c>
      <c r="F8772" s="42"/>
    </row>
    <row r="8773" spans="1:6">
      <c r="A8773" s="39">
        <f>A8772</f>
        <v>46048</v>
      </c>
      <c r="B8773" s="40"/>
      <c r="C8773" s="40"/>
      <c r="D8773" s="41"/>
      <c r="E8773" s="43">
        <f>C8773</f>
        <v>0</v>
      </c>
      <c r="F8773" s="42"/>
    </row>
    <row r="8774" spans="1:6">
      <c r="A8774" s="39">
        <f>A8773</f>
        <v>46048</v>
      </c>
      <c r="B8774" s="40"/>
      <c r="C8774" s="40"/>
      <c r="D8774" s="41"/>
      <c r="E8774" s="43">
        <f>C8774</f>
        <v>0</v>
      </c>
      <c r="F8774" s="42"/>
    </row>
    <row r="8775" spans="1:6">
      <c r="A8775" s="39">
        <f>A8774</f>
        <v>46048</v>
      </c>
      <c r="B8775" s="40"/>
      <c r="C8775" s="40"/>
      <c r="D8775" s="41"/>
      <c r="E8775" s="43">
        <f>C8775</f>
        <v>0</v>
      </c>
      <c r="F8775" s="42"/>
    </row>
    <row r="8776" spans="1:6">
      <c r="A8776" s="39">
        <f>A8775</f>
        <v>46048</v>
      </c>
      <c r="B8776" s="40"/>
      <c r="C8776" s="40"/>
      <c r="D8776" s="41"/>
      <c r="E8776" s="43">
        <f>C8776</f>
        <v>0</v>
      </c>
      <c r="F8776" s="42"/>
    </row>
    <row r="8777" spans="1:6">
      <c r="A8777" s="39">
        <f>A8776</f>
        <v>46048</v>
      </c>
      <c r="B8777" s="40"/>
      <c r="C8777" s="40"/>
      <c r="D8777" s="41"/>
      <c r="E8777" s="43">
        <f>C8777</f>
        <v>0</v>
      </c>
      <c r="F8777" s="42"/>
    </row>
    <row r="8778" spans="1:6">
      <c r="A8778" s="39">
        <f>A8777</f>
        <v>46048</v>
      </c>
      <c r="B8778" s="40"/>
      <c r="C8778" s="40"/>
      <c r="D8778" s="41"/>
      <c r="E8778" s="43">
        <f>C8778</f>
        <v>0</v>
      </c>
      <c r="F8778" s="42"/>
    </row>
    <row r="8779" spans="1:6">
      <c r="A8779" s="39">
        <f>A8778</f>
        <v>46048</v>
      </c>
      <c r="B8779" s="40"/>
      <c r="C8779" s="40"/>
      <c r="D8779" s="41"/>
      <c r="E8779" s="43">
        <f>C8779</f>
        <v>0</v>
      </c>
      <c r="F8779" s="42"/>
    </row>
    <row r="8780" spans="1:6">
      <c r="A8780" s="39">
        <f>A8779</f>
        <v>46048</v>
      </c>
      <c r="B8780" s="40"/>
      <c r="C8780" s="40"/>
      <c r="D8780" s="41"/>
      <c r="E8780" s="43">
        <f>C8780</f>
        <v>0</v>
      </c>
      <c r="F8780" s="42"/>
    </row>
    <row r="8781" spans="1:6">
      <c r="A8781" s="39">
        <f>A8780</f>
        <v>46048</v>
      </c>
      <c r="B8781" s="40"/>
      <c r="C8781" s="40"/>
      <c r="D8781" s="41"/>
      <c r="E8781" s="43">
        <f>C8781</f>
        <v>0</v>
      </c>
      <c r="F8781" s="42"/>
    </row>
    <row r="8782" spans="1:6">
      <c r="A8782" s="39">
        <f>A8781</f>
        <v>46048</v>
      </c>
      <c r="B8782" s="40"/>
      <c r="C8782" s="40"/>
      <c r="D8782" s="41"/>
      <c r="E8782" s="43">
        <f>C8782</f>
        <v>0</v>
      </c>
      <c r="F8782" s="42"/>
    </row>
    <row r="8783" spans="1:6">
      <c r="A8783" s="39">
        <f>A8782</f>
        <v>46048</v>
      </c>
      <c r="B8783" s="40"/>
      <c r="C8783" s="40"/>
      <c r="D8783" s="41"/>
      <c r="E8783" s="43">
        <f>C8783</f>
        <v>0</v>
      </c>
      <c r="F8783" s="42"/>
    </row>
    <row r="8784" spans="1:6">
      <c r="A8784" s="39">
        <f>A8783</f>
        <v>46048</v>
      </c>
      <c r="B8784" s="40"/>
      <c r="C8784" s="40"/>
      <c r="D8784" s="41"/>
      <c r="E8784" s="43">
        <f>C8784</f>
        <v>0</v>
      </c>
      <c r="F8784" s="42"/>
    </row>
    <row r="8785" spans="1:6">
      <c r="A8785" s="39">
        <f>A8784</f>
        <v>46048</v>
      </c>
      <c r="B8785" s="40"/>
      <c r="C8785" s="40"/>
      <c r="D8785" s="41"/>
      <c r="E8785" s="43">
        <f>C8785</f>
        <v>0</v>
      </c>
      <c r="F8785" s="42"/>
    </row>
    <row r="8786" spans="1:6">
      <c r="A8786" s="39">
        <f>A8785</f>
        <v>46048</v>
      </c>
      <c r="B8786" s="40"/>
      <c r="C8786" s="40"/>
      <c r="D8786" s="41"/>
      <c r="E8786" s="43">
        <f>C8786</f>
        <v>0</v>
      </c>
      <c r="F8786" s="42"/>
    </row>
    <row r="8787" spans="1:6">
      <c r="A8787" s="39">
        <f>A8786</f>
        <v>46048</v>
      </c>
      <c r="B8787" s="40"/>
      <c r="C8787" s="40"/>
      <c r="D8787" s="41"/>
      <c r="E8787" s="43">
        <f>C8787</f>
        <v>0</v>
      </c>
      <c r="F8787" s="42"/>
    </row>
    <row r="8788" spans="1:6">
      <c r="A8788" s="39">
        <f>A8787</f>
        <v>46048</v>
      </c>
      <c r="B8788" s="40"/>
      <c r="C8788" s="40"/>
      <c r="D8788" s="41"/>
      <c r="E8788" s="43">
        <f>C8788</f>
        <v>0</v>
      </c>
      <c r="F8788" s="42"/>
    </row>
    <row r="8789" spans="1:6">
      <c r="A8789" s="39">
        <f>A8788</f>
        <v>46048</v>
      </c>
      <c r="B8789" s="40"/>
      <c r="C8789" s="40"/>
      <c r="D8789" s="41"/>
      <c r="E8789" s="43">
        <f>C8789</f>
        <v>0</v>
      </c>
      <c r="F8789" s="42"/>
    </row>
    <row r="8790" spans="1:6">
      <c r="A8790" s="39">
        <f>A8789</f>
        <v>46048</v>
      </c>
      <c r="B8790" s="40"/>
      <c r="C8790" s="40"/>
      <c r="D8790" s="41"/>
      <c r="E8790" s="43">
        <f>C8790</f>
        <v>0</v>
      </c>
      <c r="F8790" s="42"/>
    </row>
    <row r="8791" spans="1:6">
      <c r="A8791" s="39">
        <f>A8790</f>
        <v>46048</v>
      </c>
      <c r="B8791" s="40"/>
      <c r="C8791" s="40"/>
      <c r="D8791" s="41"/>
      <c r="E8791" s="43">
        <f>C8791</f>
        <v>0</v>
      </c>
      <c r="F8791" s="42"/>
    </row>
    <row r="8792" spans="1:6">
      <c r="A8792" s="39">
        <f>A8791</f>
        <v>46048</v>
      </c>
      <c r="B8792" s="40"/>
      <c r="C8792" s="40"/>
      <c r="D8792" s="41"/>
      <c r="E8792" s="43">
        <f>C8792</f>
        <v>0</v>
      </c>
      <c r="F8792" s="42"/>
    </row>
    <row r="8793" spans="1:6">
      <c r="A8793" s="39">
        <f>A8792</f>
        <v>46048</v>
      </c>
      <c r="B8793" s="40"/>
      <c r="C8793" s="40"/>
      <c r="D8793" s="41"/>
      <c r="E8793" s="43">
        <f>C8793</f>
        <v>0</v>
      </c>
      <c r="F8793" s="42"/>
    </row>
    <row r="8794" spans="1:6">
      <c r="A8794" s="39">
        <f>A8793</f>
        <v>46048</v>
      </c>
      <c r="B8794" s="40"/>
      <c r="C8794" s="40"/>
      <c r="D8794" s="41"/>
      <c r="E8794" s="43">
        <f>C8794</f>
        <v>0</v>
      </c>
      <c r="F8794" s="42"/>
    </row>
    <row r="8795" spans="1:6">
      <c r="A8795" s="39">
        <f>A8794</f>
        <v>46048</v>
      </c>
      <c r="B8795" s="40"/>
      <c r="C8795" s="40"/>
      <c r="D8795" s="41"/>
      <c r="E8795" s="43">
        <f>C8795</f>
        <v>0</v>
      </c>
      <c r="F8795" s="42"/>
    </row>
    <row r="8796" spans="1:6">
      <c r="A8796" s="39">
        <f>A8795</f>
        <v>46048</v>
      </c>
      <c r="B8796" s="40"/>
      <c r="C8796" s="40"/>
      <c r="D8796" s="41"/>
      <c r="E8796" s="43">
        <f>C8796</f>
        <v>0</v>
      </c>
      <c r="F8796" s="42"/>
    </row>
    <row r="8797" spans="1:6">
      <c r="A8797" s="39">
        <f>A8796</f>
        <v>46048</v>
      </c>
      <c r="B8797" s="40"/>
      <c r="C8797" s="40"/>
      <c r="D8797" s="41"/>
      <c r="E8797" s="43">
        <f>C8797</f>
        <v>0</v>
      </c>
      <c r="F8797" s="42"/>
    </row>
    <row r="8798" spans="1:6">
      <c r="A8798" s="39">
        <f>A8797</f>
        <v>46048</v>
      </c>
      <c r="B8798" s="40"/>
      <c r="C8798" s="40"/>
      <c r="D8798" s="41"/>
      <c r="E8798" s="43">
        <f>C8798</f>
        <v>0</v>
      </c>
      <c r="F8798" s="42"/>
    </row>
    <row r="8799" spans="1:6">
      <c r="A8799" s="39">
        <f>A8798</f>
        <v>46048</v>
      </c>
      <c r="B8799" s="40"/>
      <c r="C8799" s="40"/>
      <c r="D8799" s="41"/>
      <c r="E8799" s="43">
        <f>C8799</f>
        <v>0</v>
      </c>
      <c r="F8799" s="42"/>
    </row>
    <row r="8800" spans="1:6">
      <c r="A8800" s="39">
        <f>A8799</f>
        <v>46048</v>
      </c>
      <c r="B8800" s="40"/>
      <c r="C8800" s="40"/>
      <c r="D8800" s="41"/>
      <c r="E8800" s="43">
        <f>C8800</f>
        <v>0</v>
      </c>
      <c r="F8800" s="42"/>
    </row>
    <row r="8801" spans="1:6">
      <c r="A8801" s="39">
        <f>A8800</f>
        <v>46048</v>
      </c>
      <c r="B8801" s="40"/>
      <c r="C8801" s="40"/>
      <c r="D8801" s="41"/>
      <c r="E8801" s="43">
        <f>C8801</f>
        <v>0</v>
      </c>
      <c r="F8801" s="42"/>
    </row>
    <row r="8802" spans="1:6">
      <c r="A8802" s="39">
        <f>A8801</f>
        <v>46048</v>
      </c>
      <c r="B8802" s="40"/>
      <c r="C8802" s="40"/>
      <c r="D8802" s="41"/>
      <c r="E8802" s="43">
        <f>C8802</f>
        <v>0</v>
      </c>
      <c r="F8802" s="42"/>
    </row>
    <row r="8803" spans="1:6">
      <c r="A8803" s="39">
        <f>A8802</f>
        <v>46048</v>
      </c>
      <c r="B8803" s="40"/>
      <c r="C8803" s="40"/>
      <c r="D8803" s="41"/>
      <c r="E8803" s="43">
        <f>C8803</f>
        <v>0</v>
      </c>
      <c r="F8803" s="42"/>
    </row>
    <row r="8804" spans="1:6">
      <c r="A8804" s="39">
        <f>A8803</f>
        <v>46048</v>
      </c>
      <c r="B8804" s="40"/>
      <c r="C8804" s="40"/>
      <c r="D8804" s="41"/>
      <c r="E8804" s="43">
        <f>C8804</f>
        <v>0</v>
      </c>
      <c r="F8804" s="42"/>
    </row>
    <row r="8805" spans="1:6">
      <c r="A8805" s="39">
        <f>A8804</f>
        <v>46048</v>
      </c>
      <c r="B8805" s="40"/>
      <c r="C8805" s="40"/>
      <c r="D8805" s="41"/>
      <c r="E8805" s="43">
        <f>C8805</f>
        <v>0</v>
      </c>
      <c r="F8805" s="42"/>
    </row>
    <row r="8806" spans="1:6">
      <c r="A8806" s="39">
        <f>A8805</f>
        <v>46048</v>
      </c>
      <c r="B8806" s="40"/>
      <c r="C8806" s="40"/>
      <c r="D8806" s="41"/>
      <c r="E8806" s="43">
        <f>C8806</f>
        <v>0</v>
      </c>
      <c r="F8806" s="42"/>
    </row>
    <row r="8807" spans="1:6">
      <c r="A8807" s="39">
        <f>A8806</f>
        <v>46048</v>
      </c>
      <c r="B8807" s="40"/>
      <c r="C8807" s="40"/>
      <c r="D8807" s="41"/>
      <c r="E8807" s="43">
        <f>C8807</f>
        <v>0</v>
      </c>
      <c r="F8807" s="42"/>
    </row>
    <row r="8808" spans="1:6">
      <c r="A8808" s="39">
        <f>A8807</f>
        <v>46048</v>
      </c>
      <c r="B8808" s="40"/>
      <c r="C8808" s="40"/>
      <c r="D8808" s="41"/>
      <c r="E8808" s="43">
        <f>C8808</f>
        <v>0</v>
      </c>
      <c r="F8808" s="42"/>
    </row>
    <row r="8809" spans="1:6">
      <c r="A8809" s="39">
        <f>A8808</f>
        <v>46048</v>
      </c>
      <c r="B8809" s="40"/>
      <c r="C8809" s="40"/>
      <c r="D8809" s="41"/>
      <c r="E8809" s="43">
        <f>C8809</f>
        <v>0</v>
      </c>
      <c r="F8809" s="42"/>
    </row>
    <row r="8810" spans="1:6">
      <c r="A8810" s="39">
        <f>A8809</f>
        <v>46048</v>
      </c>
      <c r="B8810" s="40"/>
      <c r="C8810" s="40"/>
      <c r="D8810" s="41"/>
      <c r="E8810" s="43">
        <f>C8810</f>
        <v>0</v>
      </c>
      <c r="F8810" s="42"/>
    </row>
    <row r="8811" spans="1:6">
      <c r="A8811" s="39">
        <f>A8810</f>
        <v>46048</v>
      </c>
      <c r="B8811" s="40"/>
      <c r="C8811" s="40"/>
      <c r="D8811" s="41"/>
      <c r="E8811" s="43">
        <f>C8811</f>
        <v>0</v>
      </c>
      <c r="F8811" s="42"/>
    </row>
    <row r="8812" spans="1:6">
      <c r="A8812" s="39">
        <f>A8811</f>
        <v>46048</v>
      </c>
      <c r="B8812" s="40"/>
      <c r="C8812" s="40"/>
      <c r="D8812" s="41"/>
      <c r="E8812" s="43">
        <f>C8812</f>
        <v>0</v>
      </c>
      <c r="F8812" s="42"/>
    </row>
    <row r="8813" spans="1:6">
      <c r="A8813" s="39">
        <f>A8812</f>
        <v>46048</v>
      </c>
      <c r="B8813" s="40"/>
      <c r="C8813" s="40"/>
      <c r="D8813" s="41"/>
      <c r="E8813" s="43">
        <f>C8813</f>
        <v>0</v>
      </c>
      <c r="F8813" s="42"/>
    </row>
    <row r="8814" spans="1:6">
      <c r="A8814" s="39">
        <f>A8813</f>
        <v>46048</v>
      </c>
      <c r="B8814" s="40"/>
      <c r="C8814" s="40"/>
      <c r="D8814" s="41"/>
      <c r="E8814" s="43">
        <f>C8814</f>
        <v>0</v>
      </c>
      <c r="F8814" s="42"/>
    </row>
    <row r="8815" spans="1:6">
      <c r="A8815" s="39">
        <f>A8814</f>
        <v>46048</v>
      </c>
      <c r="B8815" s="40"/>
      <c r="C8815" s="40"/>
      <c r="D8815" s="41"/>
      <c r="E8815" s="43">
        <f>C8815</f>
        <v>0</v>
      </c>
      <c r="F8815" s="42"/>
    </row>
    <row r="8816" spans="1:6">
      <c r="A8816" s="39">
        <f>A8815</f>
        <v>46048</v>
      </c>
      <c r="B8816" s="40"/>
      <c r="C8816" s="40"/>
      <c r="D8816" s="41"/>
      <c r="E8816" s="43">
        <f>C8816</f>
        <v>0</v>
      </c>
      <c r="F8816" s="42"/>
    </row>
    <row r="8817" spans="1:6">
      <c r="A8817" s="39">
        <f>A8816</f>
        <v>46048</v>
      </c>
      <c r="B8817" s="40"/>
      <c r="C8817" s="40"/>
      <c r="D8817" s="41"/>
      <c r="E8817" s="43">
        <f>C8817</f>
        <v>0</v>
      </c>
      <c r="F8817" s="42"/>
    </row>
    <row r="8818" spans="1:6">
      <c r="A8818" s="39">
        <f>A8817</f>
        <v>46048</v>
      </c>
      <c r="B8818" s="40"/>
      <c r="C8818" s="40"/>
      <c r="D8818" s="41"/>
      <c r="E8818" s="43">
        <f>C8818</f>
        <v>0</v>
      </c>
      <c r="F8818" s="42"/>
    </row>
    <row r="8819" spans="1:6">
      <c r="A8819" s="39">
        <f>A8818</f>
        <v>46048</v>
      </c>
      <c r="B8819" s="40"/>
      <c r="C8819" s="40"/>
      <c r="D8819" s="41"/>
      <c r="E8819" s="43">
        <f>C8819</f>
        <v>0</v>
      </c>
      <c r="F8819" s="42"/>
    </row>
    <row r="8820" spans="1:6">
      <c r="A8820" s="39">
        <f>A8819</f>
        <v>46048</v>
      </c>
      <c r="B8820" s="40"/>
      <c r="C8820" s="40"/>
      <c r="D8820" s="41"/>
      <c r="E8820" s="43">
        <f>C8820</f>
        <v>0</v>
      </c>
      <c r="F8820" s="42"/>
    </row>
    <row r="8821" spans="1:6">
      <c r="A8821" s="39">
        <f>A8820</f>
        <v>46048</v>
      </c>
      <c r="B8821" s="40"/>
      <c r="C8821" s="40"/>
      <c r="D8821" s="41"/>
      <c r="E8821" s="43">
        <f>C8821</f>
        <v>0</v>
      </c>
      <c r="F8821" s="42"/>
    </row>
    <row r="8822" spans="1:6">
      <c r="A8822" s="39">
        <f>A8821</f>
        <v>46048</v>
      </c>
      <c r="B8822" s="40"/>
      <c r="C8822" s="40"/>
      <c r="D8822" s="41"/>
      <c r="E8822" s="43">
        <f>C8822</f>
        <v>0</v>
      </c>
      <c r="F8822" s="42"/>
    </row>
    <row r="8823" spans="1:6">
      <c r="A8823" s="39">
        <f>A8822</f>
        <v>46048</v>
      </c>
      <c r="B8823" s="40"/>
      <c r="C8823" s="40"/>
      <c r="D8823" s="41"/>
      <c r="E8823" s="43">
        <f>C8823</f>
        <v>0</v>
      </c>
      <c r="F8823" s="42"/>
    </row>
    <row r="8824" spans="1:6">
      <c r="A8824" s="39">
        <f>A8823</f>
        <v>46048</v>
      </c>
      <c r="B8824" s="40"/>
      <c r="C8824" s="40"/>
      <c r="D8824" s="41"/>
      <c r="E8824" s="43">
        <f>C8824</f>
        <v>0</v>
      </c>
      <c r="F8824" s="42"/>
    </row>
    <row r="8825" spans="1:6">
      <c r="A8825" s="39">
        <f>A8824</f>
        <v>46048</v>
      </c>
      <c r="B8825" s="40"/>
      <c r="C8825" s="40"/>
      <c r="D8825" s="41"/>
      <c r="E8825" s="43">
        <f>C8825</f>
        <v>0</v>
      </c>
      <c r="F8825" s="42"/>
    </row>
    <row r="8826" spans="1:6">
      <c r="A8826" s="39">
        <f>A8825</f>
        <v>46048</v>
      </c>
      <c r="B8826" s="40"/>
      <c r="C8826" s="40"/>
      <c r="D8826" s="41"/>
      <c r="E8826" s="43">
        <f>C8826</f>
        <v>0</v>
      </c>
      <c r="F8826" s="42"/>
    </row>
    <row r="8827" spans="1:6">
      <c r="A8827" s="39">
        <f>A8826</f>
        <v>46048</v>
      </c>
      <c r="B8827" s="40"/>
      <c r="C8827" s="40"/>
      <c r="D8827" s="41"/>
      <c r="E8827" s="43">
        <f>C8827</f>
        <v>0</v>
      </c>
      <c r="F8827" s="42"/>
    </row>
    <row r="8828" spans="1:6">
      <c r="A8828" s="39">
        <f>A8827</f>
        <v>46048</v>
      </c>
      <c r="B8828" s="40"/>
      <c r="C8828" s="40"/>
      <c r="D8828" s="41"/>
      <c r="E8828" s="43">
        <f>C8828</f>
        <v>0</v>
      </c>
      <c r="F8828" s="42"/>
    </row>
    <row r="8829" spans="1:6">
      <c r="A8829" s="39">
        <f>A8828</f>
        <v>46048</v>
      </c>
      <c r="B8829" s="40"/>
      <c r="C8829" s="40"/>
      <c r="D8829" s="41"/>
      <c r="E8829" s="43">
        <f>C8829</f>
        <v>0</v>
      </c>
      <c r="F8829" s="42"/>
    </row>
    <row r="8830" spans="1:6">
      <c r="A8830" s="39">
        <f>A8829</f>
        <v>46048</v>
      </c>
      <c r="B8830" s="40"/>
      <c r="C8830" s="40"/>
      <c r="D8830" s="41"/>
      <c r="E8830" s="43">
        <f>C8830</f>
        <v>0</v>
      </c>
      <c r="F8830" s="42"/>
    </row>
    <row r="8831" spans="1:6">
      <c r="A8831" s="39">
        <f>A8830</f>
        <v>46048</v>
      </c>
      <c r="B8831" s="40"/>
      <c r="C8831" s="40"/>
      <c r="D8831" s="41"/>
      <c r="E8831" s="43">
        <f>C8831</f>
        <v>0</v>
      </c>
      <c r="F8831" s="42"/>
    </row>
    <row r="8832" spans="1:6">
      <c r="A8832" s="39">
        <f>A8831</f>
        <v>46048</v>
      </c>
      <c r="B8832" s="40"/>
      <c r="C8832" s="40"/>
      <c r="D8832" s="41"/>
      <c r="E8832" s="43">
        <f>C8832</f>
        <v>0</v>
      </c>
      <c r="F8832" s="42"/>
    </row>
    <row r="8833" spans="1:6">
      <c r="A8833" s="39">
        <f>A8832</f>
        <v>46048</v>
      </c>
      <c r="B8833" s="40"/>
      <c r="C8833" s="40"/>
      <c r="D8833" s="41"/>
      <c r="E8833" s="43">
        <f>C8833</f>
        <v>0</v>
      </c>
      <c r="F8833" s="42"/>
    </row>
    <row r="8834" spans="1:6">
      <c r="A8834" s="39">
        <f>A8833</f>
        <v>46048</v>
      </c>
      <c r="B8834" s="40"/>
      <c r="C8834" s="40"/>
      <c r="D8834" s="41"/>
      <c r="E8834" s="43">
        <f>C8834</f>
        <v>0</v>
      </c>
      <c r="F8834" s="42"/>
    </row>
    <row r="8835" spans="1:6">
      <c r="A8835" s="39">
        <f>A8834</f>
        <v>46048</v>
      </c>
      <c r="B8835" s="40"/>
      <c r="C8835" s="40"/>
      <c r="D8835" s="41"/>
      <c r="E8835" s="43">
        <f>C8835</f>
        <v>0</v>
      </c>
      <c r="F8835" s="42"/>
    </row>
    <row r="8836" spans="1:6">
      <c r="A8836" s="39">
        <f>A8835</f>
        <v>46048</v>
      </c>
      <c r="B8836" s="40"/>
      <c r="C8836" s="40"/>
      <c r="D8836" s="41"/>
      <c r="E8836" s="43">
        <f>C8836</f>
        <v>0</v>
      </c>
      <c r="F8836" s="42"/>
    </row>
    <row r="8837" spans="1:6">
      <c r="A8837" s="39">
        <f>A8836</f>
        <v>46048</v>
      </c>
      <c r="B8837" s="40"/>
      <c r="C8837" s="40"/>
      <c r="D8837" s="41"/>
      <c r="E8837" s="43">
        <f>C8837</f>
        <v>0</v>
      </c>
      <c r="F8837" s="42"/>
    </row>
    <row r="8838" spans="1:6">
      <c r="A8838" s="39">
        <f>A8837</f>
        <v>46048</v>
      </c>
      <c r="B8838" s="40"/>
      <c r="C8838" s="40"/>
      <c r="D8838" s="41"/>
      <c r="E8838" s="43">
        <f>C8838</f>
        <v>0</v>
      </c>
      <c r="F8838" s="42"/>
    </row>
    <row r="8839" spans="1:6">
      <c r="A8839" s="39">
        <f>A8838</f>
        <v>46048</v>
      </c>
      <c r="B8839" s="40"/>
      <c r="C8839" s="40"/>
      <c r="D8839" s="41"/>
      <c r="E8839" s="43">
        <f>C8839</f>
        <v>0</v>
      </c>
      <c r="F8839" s="42"/>
    </row>
    <row r="8840" spans="1:6">
      <c r="A8840" s="39">
        <f>A8839</f>
        <v>46048</v>
      </c>
      <c r="B8840" s="40"/>
      <c r="C8840" s="40"/>
      <c r="D8840" s="41"/>
      <c r="E8840" s="43">
        <f>C8840</f>
        <v>0</v>
      </c>
      <c r="F8840" s="42"/>
    </row>
    <row r="8841" spans="1:6">
      <c r="A8841" s="39">
        <f>A8840</f>
        <v>46048</v>
      </c>
      <c r="B8841" s="40"/>
      <c r="C8841" s="40"/>
      <c r="D8841" s="41"/>
      <c r="E8841" s="43">
        <f>C8841</f>
        <v>0</v>
      </c>
      <c r="F8841" s="42"/>
    </row>
    <row r="8842" spans="1:6">
      <c r="A8842" s="39">
        <f>A8841</f>
        <v>46048</v>
      </c>
      <c r="B8842" s="40"/>
      <c r="C8842" s="40"/>
      <c r="D8842" s="41"/>
      <c r="E8842" s="43">
        <f>C8842</f>
        <v>0</v>
      </c>
      <c r="F8842" s="42"/>
    </row>
    <row r="8843" spans="1:6">
      <c r="A8843" s="39">
        <f>A8842</f>
        <v>46048</v>
      </c>
      <c r="B8843" s="40"/>
      <c r="C8843" s="40"/>
      <c r="D8843" s="41"/>
      <c r="E8843" s="43">
        <f>C8843</f>
        <v>0</v>
      </c>
      <c r="F8843" s="42"/>
    </row>
    <row r="8844" spans="1:6">
      <c r="A8844" s="39">
        <f>A8843</f>
        <v>46048</v>
      </c>
      <c r="B8844" s="40"/>
      <c r="C8844" s="40"/>
      <c r="D8844" s="41"/>
      <c r="E8844" s="43">
        <f>C8844</f>
        <v>0</v>
      </c>
      <c r="F8844" s="42"/>
    </row>
    <row r="8845" spans="1:6">
      <c r="A8845" s="39">
        <f>A8844</f>
        <v>46048</v>
      </c>
      <c r="B8845" s="40"/>
      <c r="C8845" s="40"/>
      <c r="D8845" s="41"/>
      <c r="E8845" s="43">
        <f>C8845</f>
        <v>0</v>
      </c>
      <c r="F8845" s="42"/>
    </row>
    <row r="8846" spans="1:6">
      <c r="A8846" s="39">
        <f>A8845</f>
        <v>46048</v>
      </c>
      <c r="B8846" s="40"/>
      <c r="C8846" s="40"/>
      <c r="D8846" s="41"/>
      <c r="E8846" s="43">
        <f>C8846</f>
        <v>0</v>
      </c>
      <c r="F8846" s="42"/>
    </row>
    <row r="8847" spans="1:6">
      <c r="A8847" s="39">
        <f>A8846</f>
        <v>46048</v>
      </c>
      <c r="B8847" s="40"/>
      <c r="C8847" s="40"/>
      <c r="D8847" s="41"/>
      <c r="E8847" s="43">
        <f>C8847</f>
        <v>0</v>
      </c>
      <c r="F8847" s="42"/>
    </row>
    <row r="8848" spans="1:6">
      <c r="A8848" s="39">
        <f>A8847</f>
        <v>46048</v>
      </c>
      <c r="B8848" s="40"/>
      <c r="C8848" s="40"/>
      <c r="D8848" s="41"/>
      <c r="E8848" s="43">
        <f>C8848</f>
        <v>0</v>
      </c>
      <c r="F8848" s="42"/>
    </row>
    <row r="8849" spans="1:6">
      <c r="A8849" s="39">
        <f>A8848</f>
        <v>46048</v>
      </c>
      <c r="B8849" s="40"/>
      <c r="C8849" s="40"/>
      <c r="D8849" s="41"/>
      <c r="E8849" s="43">
        <f>C8849</f>
        <v>0</v>
      </c>
      <c r="F8849" s="42"/>
    </row>
    <row r="8850" spans="1:6">
      <c r="A8850" s="39">
        <f>A8849</f>
        <v>46048</v>
      </c>
      <c r="B8850" s="40"/>
      <c r="C8850" s="40"/>
      <c r="D8850" s="41"/>
      <c r="E8850" s="43">
        <f>C8850</f>
        <v>0</v>
      </c>
      <c r="F8850" s="42"/>
    </row>
    <row r="8851" spans="1:6">
      <c r="A8851" s="39">
        <f>A8850</f>
        <v>46048</v>
      </c>
      <c r="B8851" s="40"/>
      <c r="C8851" s="40"/>
      <c r="D8851" s="41"/>
      <c r="E8851" s="43">
        <f>C8851</f>
        <v>0</v>
      </c>
      <c r="F8851" s="42"/>
    </row>
    <row r="8852" spans="1:6">
      <c r="A8852" s="39">
        <f>A8851</f>
        <v>46048</v>
      </c>
      <c r="B8852" s="40"/>
      <c r="C8852" s="40"/>
      <c r="D8852" s="41"/>
      <c r="E8852" s="43">
        <f>C8852</f>
        <v>0</v>
      </c>
      <c r="F8852" s="42"/>
    </row>
    <row r="8853" spans="1:6">
      <c r="A8853" s="39">
        <f>A8852</f>
        <v>46048</v>
      </c>
      <c r="B8853" s="40"/>
      <c r="C8853" s="40"/>
      <c r="D8853" s="41"/>
      <c r="E8853" s="43">
        <f>C8853</f>
        <v>0</v>
      </c>
      <c r="F8853" s="42"/>
    </row>
    <row r="8854" spans="1:6">
      <c r="A8854" s="39">
        <f>A8853</f>
        <v>46048</v>
      </c>
      <c r="B8854" s="40"/>
      <c r="C8854" s="40"/>
      <c r="D8854" s="41"/>
      <c r="E8854" s="43">
        <f>C8854</f>
        <v>0</v>
      </c>
      <c r="F8854" s="42"/>
    </row>
    <row r="8855" spans="1:6">
      <c r="A8855" s="39">
        <f>A8854</f>
        <v>46048</v>
      </c>
      <c r="B8855" s="40"/>
      <c r="C8855" s="40"/>
      <c r="D8855" s="41"/>
      <c r="E8855" s="43">
        <f>C8855</f>
        <v>0</v>
      </c>
      <c r="F8855" s="42"/>
    </row>
    <row r="8856" spans="1:6">
      <c r="A8856" s="39">
        <f>A8855</f>
        <v>46048</v>
      </c>
      <c r="B8856" s="40"/>
      <c r="C8856" s="40"/>
      <c r="D8856" s="41"/>
      <c r="E8856" s="43">
        <f>C8856</f>
        <v>0</v>
      </c>
      <c r="F8856" s="42"/>
    </row>
    <row r="8857" spans="1:6">
      <c r="A8857" s="39">
        <f>A8856</f>
        <v>46048</v>
      </c>
      <c r="B8857" s="40"/>
      <c r="C8857" s="40"/>
      <c r="D8857" s="41"/>
      <c r="E8857" s="43">
        <f>C8857</f>
        <v>0</v>
      </c>
      <c r="F8857" s="42"/>
    </row>
    <row r="8858" spans="1:6">
      <c r="A8858" s="39">
        <f>A8857</f>
        <v>46048</v>
      </c>
      <c r="B8858" s="40"/>
      <c r="C8858" s="40"/>
      <c r="D8858" s="41"/>
      <c r="E8858" s="43">
        <f>C8858</f>
        <v>0</v>
      </c>
      <c r="F8858" s="42"/>
    </row>
    <row r="8859" spans="1:6">
      <c r="A8859" s="39">
        <f>A8858</f>
        <v>46048</v>
      </c>
      <c r="B8859" s="40"/>
      <c r="C8859" s="40"/>
      <c r="D8859" s="41"/>
      <c r="E8859" s="43">
        <f>C8859</f>
        <v>0</v>
      </c>
      <c r="F8859" s="42"/>
    </row>
    <row r="8860" spans="1:6">
      <c r="A8860" s="39">
        <f>A8859</f>
        <v>46048</v>
      </c>
      <c r="B8860" s="40"/>
      <c r="C8860" s="40"/>
      <c r="D8860" s="41"/>
      <c r="E8860" s="43">
        <f>C8860</f>
        <v>0</v>
      </c>
      <c r="F8860" s="42"/>
    </row>
    <row r="8861" spans="1:6">
      <c r="A8861" s="39">
        <f>A8860</f>
        <v>46048</v>
      </c>
      <c r="B8861" s="40"/>
      <c r="C8861" s="40"/>
      <c r="D8861" s="41"/>
      <c r="E8861" s="43">
        <f>C8861</f>
        <v>0</v>
      </c>
      <c r="F8861" s="42"/>
    </row>
    <row r="8862" spans="1:6">
      <c r="A8862" s="39">
        <f>A8861</f>
        <v>46048</v>
      </c>
      <c r="B8862" s="40"/>
      <c r="C8862" s="40"/>
      <c r="D8862" s="41"/>
      <c r="E8862" s="43">
        <f>C8862</f>
        <v>0</v>
      </c>
      <c r="F8862" s="42"/>
    </row>
    <row r="8863" spans="1:6">
      <c r="A8863" s="39">
        <f>A8862</f>
        <v>46048</v>
      </c>
      <c r="B8863" s="40"/>
      <c r="C8863" s="40"/>
      <c r="D8863" s="41"/>
      <c r="E8863" s="43">
        <f>C8863</f>
        <v>0</v>
      </c>
      <c r="F8863" s="42"/>
    </row>
    <row r="8864" spans="1:6">
      <c r="A8864" s="39">
        <f>A8863</f>
        <v>46048</v>
      </c>
      <c r="B8864" s="40"/>
      <c r="C8864" s="40"/>
      <c r="D8864" s="41"/>
      <c r="E8864" s="43">
        <f>C8864</f>
        <v>0</v>
      </c>
      <c r="F8864" s="42"/>
    </row>
    <row r="8865" spans="1:6">
      <c r="A8865" s="39">
        <f>A8864</f>
        <v>46048</v>
      </c>
      <c r="B8865" s="40"/>
      <c r="C8865" s="40"/>
      <c r="D8865" s="41"/>
      <c r="E8865" s="43">
        <f>C8865</f>
        <v>0</v>
      </c>
      <c r="F8865" s="42"/>
    </row>
    <row r="8866" spans="1:6">
      <c r="A8866" s="39">
        <f>A8865</f>
        <v>46048</v>
      </c>
      <c r="B8866" s="40"/>
      <c r="C8866" s="40"/>
      <c r="D8866" s="41"/>
      <c r="E8866" s="43">
        <f>C8866</f>
        <v>0</v>
      </c>
      <c r="F8866" s="42"/>
    </row>
    <row r="8867" spans="1:6">
      <c r="A8867" s="39">
        <f>A8866</f>
        <v>46048</v>
      </c>
      <c r="B8867" s="40"/>
      <c r="C8867" s="40"/>
      <c r="D8867" s="41"/>
      <c r="E8867" s="43">
        <f>C8867</f>
        <v>0</v>
      </c>
      <c r="F8867" s="42"/>
    </row>
    <row r="8868" spans="1:6">
      <c r="A8868" s="39">
        <f>A8867</f>
        <v>46048</v>
      </c>
      <c r="B8868" s="40"/>
      <c r="C8868" s="40"/>
      <c r="D8868" s="41"/>
      <c r="E8868" s="43">
        <f>C8868</f>
        <v>0</v>
      </c>
      <c r="F8868" s="42"/>
    </row>
    <row r="8869" spans="1:6">
      <c r="A8869" s="39">
        <f>A8868</f>
        <v>46048</v>
      </c>
      <c r="B8869" s="40"/>
      <c r="C8869" s="40"/>
      <c r="D8869" s="41"/>
      <c r="E8869" s="43">
        <f>C8869</f>
        <v>0</v>
      </c>
      <c r="F8869" s="42"/>
    </row>
    <row r="8870" spans="1:6">
      <c r="A8870" s="39">
        <f>A8869</f>
        <v>46048</v>
      </c>
      <c r="B8870" s="40"/>
      <c r="C8870" s="40"/>
      <c r="D8870" s="41"/>
      <c r="E8870" s="43">
        <f>C8870</f>
        <v>0</v>
      </c>
      <c r="F8870" s="42"/>
    </row>
    <row r="8871" spans="1:6">
      <c r="A8871" s="39">
        <f>A8870</f>
        <v>46048</v>
      </c>
      <c r="B8871" s="40"/>
      <c r="C8871" s="40"/>
      <c r="D8871" s="41"/>
      <c r="E8871" s="43">
        <f>C8871</f>
        <v>0</v>
      </c>
      <c r="F8871" s="42"/>
    </row>
    <row r="8872" spans="1:6">
      <c r="A8872" s="39">
        <f>A8871</f>
        <v>46048</v>
      </c>
      <c r="B8872" s="40"/>
      <c r="C8872" s="40"/>
      <c r="D8872" s="41"/>
      <c r="E8872" s="43">
        <f>C8872</f>
        <v>0</v>
      </c>
      <c r="F8872" s="42"/>
    </row>
    <row r="8873" spans="1:6">
      <c r="A8873" s="39">
        <f>A8872</f>
        <v>46048</v>
      </c>
      <c r="B8873" s="40"/>
      <c r="C8873" s="40"/>
      <c r="D8873" s="41"/>
      <c r="E8873" s="43">
        <f>C8873</f>
        <v>0</v>
      </c>
      <c r="F8873" s="42"/>
    </row>
    <row r="8874" spans="1:6">
      <c r="A8874" s="39">
        <f>A8873</f>
        <v>46048</v>
      </c>
      <c r="B8874" s="40"/>
      <c r="C8874" s="40"/>
      <c r="D8874" s="41"/>
      <c r="E8874" s="43">
        <f>C8874</f>
        <v>0</v>
      </c>
      <c r="F8874" s="42"/>
    </row>
    <row r="8875" spans="1:6">
      <c r="A8875" s="39">
        <f>A8874</f>
        <v>46048</v>
      </c>
      <c r="B8875" s="40"/>
      <c r="C8875" s="40"/>
      <c r="D8875" s="41"/>
      <c r="E8875" s="43">
        <f>C8875</f>
        <v>0</v>
      </c>
      <c r="F8875" s="42"/>
    </row>
    <row r="8876" spans="1:6">
      <c r="A8876" s="39">
        <f>A8875</f>
        <v>46048</v>
      </c>
      <c r="B8876" s="40"/>
      <c r="C8876" s="40"/>
      <c r="D8876" s="41"/>
      <c r="E8876" s="43">
        <f>C8876</f>
        <v>0</v>
      </c>
      <c r="F8876" s="42"/>
    </row>
    <row r="8877" spans="1:6">
      <c r="A8877" s="39">
        <f>A8876</f>
        <v>46048</v>
      </c>
      <c r="B8877" s="40"/>
      <c r="C8877" s="40"/>
      <c r="D8877" s="41"/>
      <c r="E8877" s="43">
        <f>C8877</f>
        <v>0</v>
      </c>
      <c r="F8877" s="42"/>
    </row>
    <row r="8878" spans="1:6">
      <c r="A8878" s="39">
        <f>A8877</f>
        <v>46048</v>
      </c>
      <c r="B8878" s="40"/>
      <c r="C8878" s="40"/>
      <c r="D8878" s="41"/>
      <c r="E8878" s="43">
        <f>C8878</f>
        <v>0</v>
      </c>
      <c r="F8878" s="42"/>
    </row>
    <row r="8879" spans="1:6">
      <c r="A8879" s="39">
        <f>A8878</f>
        <v>46048</v>
      </c>
      <c r="B8879" s="40"/>
      <c r="C8879" s="40"/>
      <c r="D8879" s="41"/>
      <c r="E8879" s="43">
        <f>C8879</f>
        <v>0</v>
      </c>
      <c r="F8879" s="42"/>
    </row>
    <row r="8880" spans="1:6">
      <c r="A8880" s="39">
        <f>A8879</f>
        <v>46048</v>
      </c>
      <c r="B8880" s="40"/>
      <c r="C8880" s="40"/>
      <c r="D8880" s="41"/>
      <c r="E8880" s="43">
        <f>C8880</f>
        <v>0</v>
      </c>
      <c r="F8880" s="42"/>
    </row>
    <row r="8881" spans="1:6">
      <c r="A8881" s="39">
        <f>A8880</f>
        <v>46048</v>
      </c>
      <c r="B8881" s="40"/>
      <c r="C8881" s="40"/>
      <c r="D8881" s="41"/>
      <c r="E8881" s="43">
        <f>C8881</f>
        <v>0</v>
      </c>
      <c r="F8881" s="42"/>
    </row>
    <row r="8882" spans="1:6">
      <c r="A8882" s="39">
        <f>A8881</f>
        <v>46048</v>
      </c>
      <c r="B8882" s="40"/>
      <c r="C8882" s="40"/>
      <c r="D8882" s="41"/>
      <c r="E8882" s="43">
        <f>C8882</f>
        <v>0</v>
      </c>
      <c r="F8882" s="42"/>
    </row>
    <row r="8883" spans="1:6">
      <c r="A8883" s="39">
        <f>A8882</f>
        <v>46048</v>
      </c>
      <c r="B8883" s="40"/>
      <c r="C8883" s="40"/>
      <c r="D8883" s="41"/>
      <c r="E8883" s="43">
        <f>C8883</f>
        <v>0</v>
      </c>
      <c r="F8883" s="42"/>
    </row>
    <row r="8884" spans="1:6">
      <c r="A8884" s="39">
        <f>A8883</f>
        <v>46048</v>
      </c>
      <c r="B8884" s="40"/>
      <c r="C8884" s="40"/>
      <c r="D8884" s="41"/>
      <c r="E8884" s="43">
        <f>C8884</f>
        <v>0</v>
      </c>
      <c r="F8884" s="42"/>
    </row>
    <row r="8885" spans="1:6">
      <c r="A8885" s="39">
        <f>A8884</f>
        <v>46048</v>
      </c>
      <c r="B8885" s="40"/>
      <c r="C8885" s="40"/>
      <c r="D8885" s="41"/>
      <c r="E8885" s="43">
        <f>C8885</f>
        <v>0</v>
      </c>
      <c r="F8885" s="42"/>
    </row>
    <row r="8886" spans="1:6">
      <c r="A8886" s="39">
        <f>A8885</f>
        <v>46048</v>
      </c>
      <c r="B8886" s="40"/>
      <c r="C8886" s="40"/>
      <c r="D8886" s="41"/>
      <c r="E8886" s="43">
        <f>C8886</f>
        <v>0</v>
      </c>
      <c r="F8886" s="42"/>
    </row>
    <row r="8887" spans="1:6">
      <c r="A8887" s="39">
        <f>A8886</f>
        <v>46048</v>
      </c>
      <c r="B8887" s="40"/>
      <c r="C8887" s="40"/>
      <c r="D8887" s="41"/>
      <c r="E8887" s="43">
        <f>C8887</f>
        <v>0</v>
      </c>
      <c r="F8887" s="42"/>
    </row>
    <row r="8888" spans="1:6">
      <c r="A8888" s="39">
        <f>A8887</f>
        <v>46048</v>
      </c>
      <c r="B8888" s="40"/>
      <c r="C8888" s="40"/>
      <c r="D8888" s="41"/>
      <c r="E8888" s="43">
        <f>C8888</f>
        <v>0</v>
      </c>
      <c r="F8888" s="42"/>
    </row>
    <row r="8889" spans="1:6">
      <c r="A8889" s="39">
        <f>A8888</f>
        <v>46048</v>
      </c>
      <c r="B8889" s="40"/>
      <c r="C8889" s="40"/>
      <c r="D8889" s="41"/>
      <c r="E8889" s="43">
        <f>C8889</f>
        <v>0</v>
      </c>
      <c r="F8889" s="42"/>
    </row>
    <row r="8890" spans="1:6">
      <c r="A8890" s="39">
        <f>A8889</f>
        <v>46048</v>
      </c>
      <c r="B8890" s="40"/>
      <c r="C8890" s="40"/>
      <c r="D8890" s="41"/>
      <c r="E8890" s="43">
        <f>C8890</f>
        <v>0</v>
      </c>
      <c r="F8890" s="42"/>
    </row>
    <row r="8891" spans="1:6">
      <c r="A8891" s="39">
        <f>A8890</f>
        <v>46048</v>
      </c>
      <c r="B8891" s="40"/>
      <c r="C8891" s="40"/>
      <c r="D8891" s="41"/>
      <c r="E8891" s="43">
        <f>C8891</f>
        <v>0</v>
      </c>
      <c r="F8891" s="42"/>
    </row>
    <row r="8892" spans="1:6">
      <c r="A8892" s="39">
        <f>A8891</f>
        <v>46048</v>
      </c>
      <c r="B8892" s="40"/>
      <c r="C8892" s="40"/>
      <c r="D8892" s="41"/>
      <c r="E8892" s="43">
        <f>C8892</f>
        <v>0</v>
      </c>
      <c r="F8892" s="42"/>
    </row>
    <row r="8893" spans="1:6">
      <c r="A8893" s="39">
        <f>A8892</f>
        <v>46048</v>
      </c>
      <c r="B8893" s="40"/>
      <c r="C8893" s="40"/>
      <c r="D8893" s="41"/>
      <c r="E8893" s="43">
        <f>C8893</f>
        <v>0</v>
      </c>
      <c r="F8893" s="42"/>
    </row>
    <row r="8894" spans="1:6">
      <c r="A8894" s="39">
        <f>A8893</f>
        <v>46048</v>
      </c>
      <c r="B8894" s="40"/>
      <c r="C8894" s="40"/>
      <c r="D8894" s="41"/>
      <c r="E8894" s="43">
        <f>C8894</f>
        <v>0</v>
      </c>
      <c r="F8894" s="42"/>
    </row>
    <row r="8895" spans="1:6">
      <c r="A8895" s="39">
        <f>A8894</f>
        <v>46048</v>
      </c>
      <c r="B8895" s="40"/>
      <c r="C8895" s="40"/>
      <c r="D8895" s="41"/>
      <c r="E8895" s="43">
        <f>C8895</f>
        <v>0</v>
      </c>
      <c r="F8895" s="42"/>
    </row>
    <row r="8896" spans="1:6">
      <c r="A8896" s="39">
        <f>A8895</f>
        <v>46048</v>
      </c>
      <c r="B8896" s="40"/>
      <c r="C8896" s="40"/>
      <c r="D8896" s="41"/>
      <c r="E8896" s="43">
        <f>C8896</f>
        <v>0</v>
      </c>
      <c r="F8896" s="42"/>
    </row>
    <row r="8897" spans="1:6">
      <c r="A8897" s="39">
        <f>A8896</f>
        <v>46048</v>
      </c>
      <c r="B8897" s="40"/>
      <c r="C8897" s="40"/>
      <c r="D8897" s="41"/>
      <c r="E8897" s="43">
        <f>C8897</f>
        <v>0</v>
      </c>
      <c r="F8897" s="42"/>
    </row>
    <row r="8898" spans="1:6">
      <c r="A8898" s="39">
        <f>A8897</f>
        <v>46048</v>
      </c>
      <c r="B8898" s="40"/>
      <c r="C8898" s="40"/>
      <c r="D8898" s="41"/>
      <c r="E8898" s="43">
        <f>C8898</f>
        <v>0</v>
      </c>
      <c r="F8898" s="42"/>
    </row>
    <row r="8899" spans="1:6">
      <c r="A8899" s="39">
        <f>A8898</f>
        <v>46048</v>
      </c>
      <c r="B8899" s="40"/>
      <c r="C8899" s="40"/>
      <c r="D8899" s="41"/>
      <c r="E8899" s="43">
        <f>C8899</f>
        <v>0</v>
      </c>
      <c r="F8899" s="42"/>
    </row>
    <row r="8900" spans="1:6">
      <c r="A8900" s="39">
        <f>A8899</f>
        <v>46048</v>
      </c>
      <c r="B8900" s="40"/>
      <c r="C8900" s="40"/>
      <c r="D8900" s="41"/>
      <c r="E8900" s="43">
        <f>C8900</f>
        <v>0</v>
      </c>
      <c r="F8900" s="42"/>
    </row>
    <row r="8901" spans="1:6">
      <c r="A8901" s="39">
        <f>A8900</f>
        <v>46048</v>
      </c>
      <c r="B8901" s="40"/>
      <c r="C8901" s="40"/>
      <c r="D8901" s="41"/>
      <c r="E8901" s="43">
        <f>C8901</f>
        <v>0</v>
      </c>
      <c r="F8901" s="42"/>
    </row>
    <row r="8902" spans="1:6">
      <c r="A8902" s="39">
        <f>A8901</f>
        <v>46048</v>
      </c>
      <c r="B8902" s="40"/>
      <c r="C8902" s="40"/>
      <c r="D8902" s="41"/>
      <c r="E8902" s="43">
        <f>C8902</f>
        <v>0</v>
      </c>
      <c r="F8902" s="42"/>
    </row>
    <row r="8903" spans="1:6">
      <c r="A8903" s="39">
        <f>A8902</f>
        <v>46048</v>
      </c>
      <c r="B8903" s="40"/>
      <c r="C8903" s="40"/>
      <c r="D8903" s="41"/>
      <c r="E8903" s="43">
        <f>C8903</f>
        <v>0</v>
      </c>
      <c r="F8903" s="42"/>
    </row>
    <row r="8904" spans="1:6">
      <c r="A8904" s="39">
        <f>A8903</f>
        <v>46048</v>
      </c>
      <c r="B8904" s="40"/>
      <c r="C8904" s="40"/>
      <c r="D8904" s="41"/>
      <c r="E8904" s="43">
        <f>C8904</f>
        <v>0</v>
      </c>
      <c r="F8904" s="42"/>
    </row>
    <row r="8905" spans="1:6">
      <c r="A8905" s="39">
        <f>A8904</f>
        <v>46048</v>
      </c>
      <c r="B8905" s="40"/>
      <c r="C8905" s="40"/>
      <c r="D8905" s="41"/>
      <c r="E8905" s="43">
        <f>C8905</f>
        <v>0</v>
      </c>
      <c r="F8905" s="42"/>
    </row>
    <row r="8906" spans="1:6">
      <c r="A8906" s="39">
        <f>A8905</f>
        <v>46048</v>
      </c>
      <c r="B8906" s="40"/>
      <c r="C8906" s="40"/>
      <c r="D8906" s="41"/>
      <c r="E8906" s="43">
        <f>C8906</f>
        <v>0</v>
      </c>
      <c r="F8906" s="42"/>
    </row>
    <row r="8907" spans="1:6">
      <c r="A8907" s="39">
        <f>A8906</f>
        <v>46048</v>
      </c>
      <c r="B8907" s="40"/>
      <c r="C8907" s="40"/>
      <c r="D8907" s="41"/>
      <c r="E8907" s="43">
        <f>C8907</f>
        <v>0</v>
      </c>
      <c r="F8907" s="42"/>
    </row>
    <row r="8908" spans="1:6">
      <c r="A8908" s="39">
        <f>A8907</f>
        <v>46048</v>
      </c>
      <c r="B8908" s="40"/>
      <c r="C8908" s="40"/>
      <c r="D8908" s="41"/>
      <c r="E8908" s="43">
        <f>C8908</f>
        <v>0</v>
      </c>
      <c r="F8908" s="42"/>
    </row>
    <row r="8909" spans="1:6">
      <c r="A8909" s="39">
        <f>A8908</f>
        <v>46048</v>
      </c>
      <c r="B8909" s="40"/>
      <c r="C8909" s="40"/>
      <c r="D8909" s="41"/>
      <c r="E8909" s="43">
        <f>C8909</f>
        <v>0</v>
      </c>
      <c r="F8909" s="42"/>
    </row>
    <row r="8910" spans="1:6">
      <c r="A8910" s="39">
        <f>A8909</f>
        <v>46048</v>
      </c>
      <c r="B8910" s="40"/>
      <c r="C8910" s="40"/>
      <c r="D8910" s="41"/>
      <c r="E8910" s="43">
        <f>C8910</f>
        <v>0</v>
      </c>
      <c r="F8910" s="42"/>
    </row>
    <row r="8911" spans="1:6">
      <c r="A8911" s="39">
        <f>A8910</f>
        <v>46048</v>
      </c>
      <c r="B8911" s="40"/>
      <c r="C8911" s="40"/>
      <c r="D8911" s="41"/>
      <c r="E8911" s="43">
        <f>C8911</f>
        <v>0</v>
      </c>
      <c r="F8911" s="42"/>
    </row>
    <row r="8912" spans="1:6">
      <c r="A8912" s="39">
        <f>A8911</f>
        <v>46048</v>
      </c>
      <c r="B8912" s="40"/>
      <c r="C8912" s="40"/>
      <c r="D8912" s="41"/>
      <c r="E8912" s="43">
        <f>C8912</f>
        <v>0</v>
      </c>
      <c r="F8912" s="42"/>
    </row>
    <row r="8913" spans="1:6">
      <c r="A8913" s="39">
        <f>A8912</f>
        <v>46048</v>
      </c>
      <c r="B8913" s="40"/>
      <c r="C8913" s="40"/>
      <c r="D8913" s="41"/>
      <c r="E8913" s="43">
        <f>C8913</f>
        <v>0</v>
      </c>
      <c r="F8913" s="42"/>
    </row>
    <row r="8914" spans="1:6">
      <c r="A8914" s="39">
        <f>A8913</f>
        <v>46048</v>
      </c>
      <c r="B8914" s="40"/>
      <c r="C8914" s="40"/>
      <c r="D8914" s="41"/>
      <c r="E8914" s="43">
        <f>C8914</f>
        <v>0</v>
      </c>
      <c r="F8914" s="42"/>
    </row>
    <row r="8915" spans="1:6">
      <c r="A8915" s="39">
        <f>A8914</f>
        <v>46048</v>
      </c>
      <c r="B8915" s="40"/>
      <c r="C8915" s="40"/>
      <c r="D8915" s="41"/>
      <c r="E8915" s="43">
        <f>C8915</f>
        <v>0</v>
      </c>
      <c r="F8915" s="42"/>
    </row>
    <row r="8916" spans="1:6">
      <c r="A8916" s="39">
        <f>A8915</f>
        <v>46048</v>
      </c>
      <c r="B8916" s="40"/>
      <c r="C8916" s="40"/>
      <c r="D8916" s="41"/>
      <c r="E8916" s="43">
        <f>C8916</f>
        <v>0</v>
      </c>
      <c r="F8916" s="42"/>
    </row>
    <row r="8917" spans="1:6">
      <c r="A8917" s="39">
        <f>A8916</f>
        <v>46048</v>
      </c>
      <c r="B8917" s="40"/>
      <c r="C8917" s="40"/>
      <c r="D8917" s="41"/>
      <c r="E8917" s="43">
        <f>C8917</f>
        <v>0</v>
      </c>
      <c r="F8917" s="42"/>
    </row>
    <row r="8918" spans="1:6">
      <c r="A8918" s="39">
        <f>A8917</f>
        <v>46048</v>
      </c>
      <c r="B8918" s="40"/>
      <c r="C8918" s="40"/>
      <c r="D8918" s="41"/>
      <c r="E8918" s="43">
        <f>C8918</f>
        <v>0</v>
      </c>
      <c r="F8918" s="42"/>
    </row>
    <row r="8919" spans="1:6">
      <c r="A8919" s="39">
        <f>A8918</f>
        <v>46048</v>
      </c>
      <c r="B8919" s="40"/>
      <c r="C8919" s="40"/>
      <c r="D8919" s="41"/>
      <c r="E8919" s="43">
        <f>C8919</f>
        <v>0</v>
      </c>
      <c r="F8919" s="42"/>
    </row>
    <row r="8920" spans="1:6">
      <c r="A8920" s="39">
        <f>A8919</f>
        <v>46048</v>
      </c>
      <c r="B8920" s="40"/>
      <c r="C8920" s="40"/>
      <c r="D8920" s="41"/>
      <c r="E8920" s="43">
        <f>C8920</f>
        <v>0</v>
      </c>
      <c r="F8920" s="42"/>
    </row>
    <row r="8921" spans="1:6">
      <c r="A8921" s="39">
        <f>A8920</f>
        <v>46048</v>
      </c>
      <c r="B8921" s="40"/>
      <c r="C8921" s="40"/>
      <c r="D8921" s="41"/>
      <c r="E8921" s="43">
        <f>C8921</f>
        <v>0</v>
      </c>
      <c r="F8921" s="42"/>
    </row>
    <row r="8922" spans="1:6">
      <c r="A8922" s="39">
        <f>A8921</f>
        <v>46048</v>
      </c>
      <c r="B8922" s="40"/>
      <c r="C8922" s="40"/>
      <c r="D8922" s="41"/>
      <c r="E8922" s="43">
        <f>C8922</f>
        <v>0</v>
      </c>
      <c r="F8922" s="42"/>
    </row>
    <row r="8923" spans="1:6">
      <c r="A8923" s="39">
        <f>A8922</f>
        <v>46048</v>
      </c>
      <c r="B8923" s="40"/>
      <c r="C8923" s="40"/>
      <c r="D8923" s="41"/>
      <c r="E8923" s="43">
        <f>C8923</f>
        <v>0</v>
      </c>
      <c r="F8923" s="42"/>
    </row>
    <row r="8924" spans="1:6">
      <c r="A8924" s="39">
        <f>A8923</f>
        <v>46048</v>
      </c>
      <c r="B8924" s="40"/>
      <c r="C8924" s="40"/>
      <c r="D8924" s="41"/>
      <c r="E8924" s="43">
        <f>C8924</f>
        <v>0</v>
      </c>
      <c r="F8924" s="42"/>
    </row>
    <row r="8925" spans="1:6">
      <c r="A8925" s="39">
        <f>A8924</f>
        <v>46048</v>
      </c>
      <c r="B8925" s="40"/>
      <c r="C8925" s="40"/>
      <c r="D8925" s="41"/>
      <c r="E8925" s="43">
        <f>C8925</f>
        <v>0</v>
      </c>
      <c r="F8925" s="42"/>
    </row>
    <row r="8926" spans="1:6">
      <c r="A8926" s="39">
        <f>A8925</f>
        <v>46048</v>
      </c>
      <c r="B8926" s="40"/>
      <c r="C8926" s="40"/>
      <c r="D8926" s="41"/>
      <c r="E8926" s="43">
        <f>C8926</f>
        <v>0</v>
      </c>
      <c r="F8926" s="42"/>
    </row>
    <row r="8927" spans="1:6">
      <c r="A8927" s="39">
        <f>A8926</f>
        <v>46048</v>
      </c>
      <c r="B8927" s="40"/>
      <c r="C8927" s="40"/>
      <c r="D8927" s="41"/>
      <c r="E8927" s="43">
        <f>C8927</f>
        <v>0</v>
      </c>
      <c r="F8927" s="42"/>
    </row>
    <row r="8928" spans="1:6">
      <c r="A8928" s="39">
        <f>A8927</f>
        <v>46048</v>
      </c>
      <c r="B8928" s="40"/>
      <c r="C8928" s="40"/>
      <c r="D8928" s="41"/>
      <c r="E8928" s="43">
        <f>C8928</f>
        <v>0</v>
      </c>
      <c r="F8928" s="42"/>
    </row>
    <row r="8929" spans="1:6">
      <c r="A8929" s="39">
        <f>A8928</f>
        <v>46048</v>
      </c>
      <c r="B8929" s="40"/>
      <c r="C8929" s="40"/>
      <c r="D8929" s="41"/>
      <c r="E8929" s="43">
        <f>C8929</f>
        <v>0</v>
      </c>
      <c r="F8929" s="42"/>
    </row>
    <row r="8930" spans="1:6">
      <c r="A8930" s="39">
        <f>A8929</f>
        <v>46048</v>
      </c>
      <c r="B8930" s="40"/>
      <c r="C8930" s="40"/>
      <c r="D8930" s="41"/>
      <c r="E8930" s="43">
        <f>C8930</f>
        <v>0</v>
      </c>
      <c r="F8930" s="42"/>
    </row>
    <row r="8931" spans="1:6">
      <c r="A8931" s="39">
        <f>A8930</f>
        <v>46048</v>
      </c>
      <c r="B8931" s="40"/>
      <c r="C8931" s="40"/>
      <c r="D8931" s="41"/>
      <c r="E8931" s="43">
        <f>C8931</f>
        <v>0</v>
      </c>
      <c r="F8931" s="42"/>
    </row>
    <row r="8932" spans="1:6">
      <c r="A8932" s="39">
        <f>A8931</f>
        <v>46048</v>
      </c>
      <c r="B8932" s="40"/>
      <c r="C8932" s="40"/>
      <c r="D8932" s="41"/>
      <c r="E8932" s="43">
        <f>C8932</f>
        <v>0</v>
      </c>
      <c r="F8932" s="42"/>
    </row>
    <row r="8933" spans="1:6">
      <c r="A8933" s="39">
        <f>A8932</f>
        <v>46048</v>
      </c>
      <c r="B8933" s="40"/>
      <c r="C8933" s="40"/>
      <c r="D8933" s="41"/>
      <c r="E8933" s="43">
        <f>C8933</f>
        <v>0</v>
      </c>
      <c r="F8933" s="42"/>
    </row>
    <row r="8934" spans="1:6">
      <c r="A8934" s="39">
        <f>A8933</f>
        <v>46048</v>
      </c>
      <c r="B8934" s="40"/>
      <c r="C8934" s="40"/>
      <c r="D8934" s="41"/>
      <c r="E8934" s="43">
        <f>C8934</f>
        <v>0</v>
      </c>
      <c r="F8934" s="42"/>
    </row>
    <row r="8935" spans="1:6">
      <c r="A8935" s="39">
        <f>A8934</f>
        <v>46048</v>
      </c>
      <c r="B8935" s="40"/>
      <c r="C8935" s="40"/>
      <c r="D8935" s="41"/>
      <c r="E8935" s="43">
        <f>C8935</f>
        <v>0</v>
      </c>
      <c r="F8935" s="42"/>
    </row>
    <row r="8936" spans="1:6">
      <c r="A8936" s="39">
        <f>A8935</f>
        <v>46048</v>
      </c>
      <c r="B8936" s="40"/>
      <c r="C8936" s="40"/>
      <c r="D8936" s="41"/>
      <c r="E8936" s="43">
        <f>C8936</f>
        <v>0</v>
      </c>
      <c r="F8936" s="42"/>
    </row>
    <row r="8937" spans="1:6">
      <c r="A8937" s="39">
        <f>A8936</f>
        <v>46048</v>
      </c>
      <c r="B8937" s="40"/>
      <c r="C8937" s="40"/>
      <c r="D8937" s="41"/>
      <c r="E8937" s="43">
        <f>C8937</f>
        <v>0</v>
      </c>
      <c r="F8937" s="42"/>
    </row>
    <row r="8938" spans="1:6">
      <c r="A8938" s="39">
        <f>A8937</f>
        <v>46048</v>
      </c>
      <c r="B8938" s="40"/>
      <c r="C8938" s="40"/>
      <c r="D8938" s="41"/>
      <c r="E8938" s="43">
        <f>C8938</f>
        <v>0</v>
      </c>
      <c r="F8938" s="42"/>
    </row>
    <row r="8939" spans="1:6">
      <c r="A8939" s="39">
        <f>A8938</f>
        <v>46048</v>
      </c>
      <c r="B8939" s="40"/>
      <c r="C8939" s="40"/>
      <c r="D8939" s="41"/>
      <c r="E8939" s="43">
        <f>C8939</f>
        <v>0</v>
      </c>
      <c r="F8939" s="42"/>
    </row>
    <row r="8940" spans="1:6">
      <c r="A8940" s="39">
        <f>A8939</f>
        <v>46048</v>
      </c>
      <c r="B8940" s="40"/>
      <c r="C8940" s="40"/>
      <c r="D8940" s="41"/>
      <c r="E8940" s="43">
        <f>C8940</f>
        <v>0</v>
      </c>
      <c r="F8940" s="42"/>
    </row>
    <row r="8941" spans="1:6">
      <c r="A8941" s="39">
        <f>A8940</f>
        <v>46048</v>
      </c>
      <c r="B8941" s="40"/>
      <c r="C8941" s="40"/>
      <c r="D8941" s="41"/>
      <c r="E8941" s="43">
        <f>C8941</f>
        <v>0</v>
      </c>
      <c r="F8941" s="42"/>
    </row>
    <row r="8942" spans="1:6">
      <c r="A8942" s="39">
        <f>A8941</f>
        <v>46048</v>
      </c>
      <c r="B8942" s="40"/>
      <c r="C8942" s="40"/>
      <c r="D8942" s="41"/>
      <c r="E8942" s="43">
        <f>C8942</f>
        <v>0</v>
      </c>
      <c r="F8942" s="42"/>
    </row>
    <row r="8943" spans="1:6">
      <c r="A8943" s="39">
        <f>A8942</f>
        <v>46048</v>
      </c>
      <c r="B8943" s="40"/>
      <c r="C8943" s="40"/>
      <c r="D8943" s="41"/>
      <c r="E8943" s="43">
        <f>C8943</f>
        <v>0</v>
      </c>
      <c r="F8943" s="42"/>
    </row>
    <row r="8944" spans="1:6">
      <c r="A8944" s="39">
        <f>A8943</f>
        <v>46048</v>
      </c>
      <c r="B8944" s="40"/>
      <c r="C8944" s="40"/>
      <c r="D8944" s="41"/>
      <c r="E8944" s="43">
        <f>C8944</f>
        <v>0</v>
      </c>
      <c r="F8944" s="42"/>
    </row>
    <row r="8945" spans="1:6">
      <c r="A8945" s="39">
        <f>A8944</f>
        <v>46048</v>
      </c>
      <c r="B8945" s="40"/>
      <c r="C8945" s="40"/>
      <c r="D8945" s="41"/>
      <c r="E8945" s="43">
        <f>C8945</f>
        <v>0</v>
      </c>
      <c r="F8945" s="42"/>
    </row>
    <row r="8946" spans="1:6">
      <c r="A8946" s="39">
        <f>A8945</f>
        <v>46048</v>
      </c>
      <c r="B8946" s="40"/>
      <c r="C8946" s="40"/>
      <c r="D8946" s="41"/>
      <c r="E8946" s="43">
        <f>C8946</f>
        <v>0</v>
      </c>
      <c r="F8946" s="42"/>
    </row>
    <row r="8947" spans="1:6">
      <c r="A8947" s="39">
        <f>A8946</f>
        <v>46048</v>
      </c>
      <c r="B8947" s="40"/>
      <c r="C8947" s="40"/>
      <c r="D8947" s="41"/>
      <c r="E8947" s="43">
        <f>C8947</f>
        <v>0</v>
      </c>
      <c r="F8947" s="42"/>
    </row>
    <row r="8948" spans="1:6">
      <c r="A8948" s="39">
        <f>A8947</f>
        <v>46048</v>
      </c>
      <c r="B8948" s="40"/>
      <c r="C8948" s="40"/>
      <c r="D8948" s="41"/>
      <c r="E8948" s="43">
        <f>C8948</f>
        <v>0</v>
      </c>
      <c r="F8948" s="42"/>
    </row>
    <row r="8949" spans="1:6">
      <c r="A8949" s="39">
        <f>A8948</f>
        <v>46048</v>
      </c>
      <c r="B8949" s="40"/>
      <c r="C8949" s="40"/>
      <c r="D8949" s="41"/>
      <c r="E8949" s="43">
        <f>C8949</f>
        <v>0</v>
      </c>
      <c r="F8949" s="42"/>
    </row>
    <row r="8950" spans="1:6">
      <c r="A8950" s="39">
        <f>A8949</f>
        <v>46048</v>
      </c>
      <c r="B8950" s="40"/>
      <c r="C8950" s="40"/>
      <c r="D8950" s="41"/>
      <c r="E8950" s="43">
        <f>C8950</f>
        <v>0</v>
      </c>
      <c r="F8950" s="42"/>
    </row>
    <row r="8951" spans="1:6">
      <c r="A8951" s="39">
        <f>A8950</f>
        <v>46048</v>
      </c>
      <c r="B8951" s="40"/>
      <c r="C8951" s="40"/>
      <c r="D8951" s="41"/>
      <c r="E8951" s="43">
        <f>C8951</f>
        <v>0</v>
      </c>
      <c r="F8951" s="42"/>
    </row>
    <row r="8952" spans="1:6">
      <c r="A8952" s="39">
        <f>A8951</f>
        <v>46048</v>
      </c>
      <c r="B8952" s="40"/>
      <c r="C8952" s="40"/>
      <c r="D8952" s="41"/>
      <c r="E8952" s="43">
        <f>C8952</f>
        <v>0</v>
      </c>
      <c r="F8952" s="42"/>
    </row>
    <row r="8953" spans="1:6">
      <c r="A8953" s="39">
        <f>A8952</f>
        <v>46048</v>
      </c>
      <c r="B8953" s="40"/>
      <c r="C8953" s="40"/>
      <c r="D8953" s="41"/>
      <c r="E8953" s="43">
        <f>C8953</f>
        <v>0</v>
      </c>
      <c r="F8953" s="42"/>
    </row>
    <row r="8954" spans="1:6">
      <c r="A8954" s="39">
        <f>A8953</f>
        <v>46048</v>
      </c>
      <c r="B8954" s="40"/>
      <c r="C8954" s="40"/>
      <c r="D8954" s="41"/>
      <c r="E8954" s="43">
        <f>C8954</f>
        <v>0</v>
      </c>
      <c r="F8954" s="42"/>
    </row>
    <row r="8955" spans="1:6">
      <c r="A8955" s="39">
        <f>A8954</f>
        <v>46048</v>
      </c>
      <c r="B8955" s="40"/>
      <c r="C8955" s="40"/>
      <c r="D8955" s="41"/>
      <c r="E8955" s="43">
        <f>C8955</f>
        <v>0</v>
      </c>
      <c r="F8955" s="42"/>
    </row>
    <row r="8956" spans="1:6">
      <c r="A8956" s="39">
        <f>A8955</f>
        <v>46048</v>
      </c>
      <c r="B8956" s="40"/>
      <c r="C8956" s="40"/>
      <c r="D8956" s="41"/>
      <c r="E8956" s="43">
        <f>C8956</f>
        <v>0</v>
      </c>
      <c r="F8956" s="42"/>
    </row>
    <row r="8957" spans="1:6">
      <c r="A8957" s="39">
        <f>A8956</f>
        <v>46048</v>
      </c>
      <c r="B8957" s="40"/>
      <c r="C8957" s="40"/>
      <c r="D8957" s="41"/>
      <c r="E8957" s="43">
        <f>C8957</f>
        <v>0</v>
      </c>
      <c r="F8957" s="42"/>
    </row>
    <row r="8958" spans="1:6">
      <c r="A8958" s="39">
        <f>A8957</f>
        <v>46048</v>
      </c>
      <c r="B8958" s="40"/>
      <c r="C8958" s="40"/>
      <c r="D8958" s="41"/>
      <c r="E8958" s="43">
        <f>C8958</f>
        <v>0</v>
      </c>
      <c r="F8958" s="42"/>
    </row>
    <row r="8959" spans="1:6">
      <c r="A8959" s="39">
        <f>A8958</f>
        <v>46048</v>
      </c>
      <c r="B8959" s="40"/>
      <c r="C8959" s="40"/>
      <c r="D8959" s="41"/>
      <c r="E8959" s="43">
        <f>C8959</f>
        <v>0</v>
      </c>
      <c r="F8959" s="42"/>
    </row>
    <row r="8960" spans="1:6">
      <c r="A8960" s="39">
        <f>A8959</f>
        <v>46048</v>
      </c>
      <c r="B8960" s="40"/>
      <c r="C8960" s="40"/>
      <c r="D8960" s="41"/>
      <c r="E8960" s="43">
        <f>C8960</f>
        <v>0</v>
      </c>
      <c r="F8960" s="42"/>
    </row>
    <row r="8961" spans="1:6">
      <c r="A8961" s="39">
        <f>A8960</f>
        <v>46048</v>
      </c>
      <c r="B8961" s="40"/>
      <c r="C8961" s="40"/>
      <c r="D8961" s="41"/>
      <c r="E8961" s="43">
        <f>C8961</f>
        <v>0</v>
      </c>
      <c r="F8961" s="42"/>
    </row>
    <row r="8962" spans="1:6">
      <c r="A8962" s="39">
        <f>A8961</f>
        <v>46048</v>
      </c>
      <c r="B8962" s="40"/>
      <c r="C8962" s="40"/>
      <c r="D8962" s="41"/>
      <c r="E8962" s="43">
        <f>C8962</f>
        <v>0</v>
      </c>
      <c r="F8962" s="42"/>
    </row>
    <row r="8963" spans="1:6">
      <c r="A8963" s="39">
        <f>A8962</f>
        <v>46048</v>
      </c>
      <c r="B8963" s="40"/>
      <c r="C8963" s="40"/>
      <c r="D8963" s="41"/>
      <c r="E8963" s="43">
        <f>C8963</f>
        <v>0</v>
      </c>
      <c r="F8963" s="42"/>
    </row>
    <row r="8964" spans="1:6">
      <c r="A8964" s="39">
        <f>A8963</f>
        <v>46048</v>
      </c>
      <c r="B8964" s="40"/>
      <c r="C8964" s="40"/>
      <c r="D8964" s="41"/>
      <c r="E8964" s="43">
        <f>C8964</f>
        <v>0</v>
      </c>
      <c r="F8964" s="42"/>
    </row>
    <row r="8965" spans="1:6">
      <c r="A8965" s="39">
        <f>A8964</f>
        <v>46048</v>
      </c>
      <c r="B8965" s="40"/>
      <c r="C8965" s="40"/>
      <c r="D8965" s="41"/>
      <c r="E8965" s="43">
        <f>C8965</f>
        <v>0</v>
      </c>
      <c r="F8965" s="42"/>
    </row>
    <row r="8966" spans="1:6">
      <c r="A8966" s="39">
        <f>A8965</f>
        <v>46048</v>
      </c>
      <c r="B8966" s="40"/>
      <c r="C8966" s="40"/>
      <c r="D8966" s="41"/>
      <c r="E8966" s="43">
        <f>C8966</f>
        <v>0</v>
      </c>
      <c r="F8966" s="42"/>
    </row>
    <row r="8967" spans="1:6">
      <c r="A8967" s="39">
        <f>A8966</f>
        <v>46048</v>
      </c>
      <c r="B8967" s="40"/>
      <c r="C8967" s="40"/>
      <c r="D8967" s="41"/>
      <c r="E8967" s="43">
        <f>C8967</f>
        <v>0</v>
      </c>
      <c r="F8967" s="42"/>
    </row>
    <row r="8968" spans="1:6">
      <c r="A8968" s="39">
        <f>A8967</f>
        <v>46048</v>
      </c>
      <c r="B8968" s="40"/>
      <c r="C8968" s="40"/>
      <c r="D8968" s="41"/>
      <c r="E8968" s="43">
        <f>C8968</f>
        <v>0</v>
      </c>
      <c r="F8968" s="42"/>
    </row>
    <row r="8969" spans="1:6">
      <c r="A8969" s="39">
        <f>A8968</f>
        <v>46048</v>
      </c>
      <c r="B8969" s="40"/>
      <c r="C8969" s="40"/>
      <c r="D8969" s="41"/>
      <c r="E8969" s="43">
        <f>C8969</f>
        <v>0</v>
      </c>
      <c r="F8969" s="42"/>
    </row>
    <row r="8970" spans="1:6">
      <c r="A8970" s="39">
        <f>A8969</f>
        <v>46048</v>
      </c>
      <c r="B8970" s="40"/>
      <c r="C8970" s="40"/>
      <c r="D8970" s="41"/>
      <c r="E8970" s="43">
        <f>C8970</f>
        <v>0</v>
      </c>
      <c r="F8970" s="42"/>
    </row>
    <row r="8971" spans="1:6">
      <c r="A8971" s="39">
        <f>A8970</f>
        <v>46048</v>
      </c>
      <c r="B8971" s="40"/>
      <c r="C8971" s="40"/>
      <c r="D8971" s="41"/>
      <c r="E8971" s="43">
        <f>C8971</f>
        <v>0</v>
      </c>
      <c r="F8971" s="42"/>
    </row>
    <row r="8972" spans="1:6">
      <c r="A8972" s="39">
        <f>A8971</f>
        <v>46048</v>
      </c>
      <c r="B8972" s="40"/>
      <c r="C8972" s="40"/>
      <c r="D8972" s="41"/>
      <c r="E8972" s="43">
        <f>C8972</f>
        <v>0</v>
      </c>
      <c r="F8972" s="42"/>
    </row>
    <row r="8973" spans="1:6">
      <c r="A8973" s="39">
        <f>A8972</f>
        <v>46048</v>
      </c>
      <c r="B8973" s="40"/>
      <c r="C8973" s="40"/>
      <c r="D8973" s="41"/>
      <c r="E8973" s="43">
        <f>C8973</f>
        <v>0</v>
      </c>
      <c r="F8973" s="42"/>
    </row>
    <row r="8974" spans="1:6">
      <c r="A8974" s="39">
        <f>A8973</f>
        <v>46048</v>
      </c>
      <c r="B8974" s="40"/>
      <c r="C8974" s="40"/>
      <c r="D8974" s="41"/>
      <c r="E8974" s="43">
        <f>C8974</f>
        <v>0</v>
      </c>
      <c r="F8974" s="42"/>
    </row>
    <row r="8975" spans="1:6">
      <c r="A8975" s="39">
        <f>A8974</f>
        <v>46048</v>
      </c>
      <c r="B8975" s="40"/>
      <c r="C8975" s="40"/>
      <c r="D8975" s="41"/>
      <c r="E8975" s="43">
        <f>C8975</f>
        <v>0</v>
      </c>
      <c r="F8975" s="42"/>
    </row>
    <row r="8976" spans="1:6">
      <c r="A8976" s="39">
        <f>A8975</f>
        <v>46048</v>
      </c>
      <c r="B8976" s="40"/>
      <c r="C8976" s="40"/>
      <c r="D8976" s="41"/>
      <c r="E8976" s="43">
        <f>C8976</f>
        <v>0</v>
      </c>
      <c r="F8976" s="42"/>
    </row>
    <row r="8977" spans="1:6">
      <c r="A8977" s="39">
        <f>A8976</f>
        <v>46048</v>
      </c>
      <c r="B8977" s="40"/>
      <c r="C8977" s="40"/>
      <c r="D8977" s="41"/>
      <c r="E8977" s="43">
        <f>C8977</f>
        <v>0</v>
      </c>
      <c r="F8977" s="42"/>
    </row>
    <row r="8978" spans="1:6">
      <c r="A8978" s="39">
        <f>A8977</f>
        <v>46048</v>
      </c>
      <c r="B8978" s="40"/>
      <c r="C8978" s="40"/>
      <c r="D8978" s="41"/>
      <c r="E8978" s="43">
        <f>C8978</f>
        <v>0</v>
      </c>
      <c r="F8978" s="42"/>
    </row>
    <row r="8979" spans="1:6">
      <c r="A8979" s="39">
        <f>A8978</f>
        <v>46048</v>
      </c>
      <c r="B8979" s="40"/>
      <c r="C8979" s="40"/>
      <c r="D8979" s="41"/>
      <c r="E8979" s="43">
        <f>C8979</f>
        <v>0</v>
      </c>
      <c r="F8979" s="42"/>
    </row>
    <row r="8980" spans="1:6">
      <c r="A8980" s="39">
        <f>A8979</f>
        <v>46048</v>
      </c>
      <c r="B8980" s="40"/>
      <c r="C8980" s="40"/>
      <c r="D8980" s="41"/>
      <c r="E8980" s="43">
        <f>C8980</f>
        <v>0</v>
      </c>
      <c r="F8980" s="42"/>
    </row>
    <row r="8981" spans="1:6">
      <c r="A8981" s="39">
        <f>A8980</f>
        <v>46048</v>
      </c>
      <c r="B8981" s="40"/>
      <c r="C8981" s="40"/>
      <c r="D8981" s="41"/>
      <c r="E8981" s="43">
        <f>C8981</f>
        <v>0</v>
      </c>
      <c r="F8981" s="42"/>
    </row>
    <row r="8982" spans="1:6">
      <c r="A8982" s="39">
        <f>A8981</f>
        <v>46048</v>
      </c>
      <c r="B8982" s="40"/>
      <c r="C8982" s="40"/>
      <c r="D8982" s="41"/>
      <c r="E8982" s="43">
        <f>C8982</f>
        <v>0</v>
      </c>
      <c r="F8982" s="42"/>
    </row>
    <row r="8983" spans="1:6">
      <c r="A8983" s="39">
        <f>A8982</f>
        <v>46048</v>
      </c>
      <c r="B8983" s="40"/>
      <c r="C8983" s="40"/>
      <c r="D8983" s="41"/>
      <c r="E8983" s="43">
        <f>C8983</f>
        <v>0</v>
      </c>
      <c r="F8983" s="42"/>
    </row>
    <row r="8984" spans="1:6">
      <c r="A8984" s="39">
        <f>A8983</f>
        <v>46048</v>
      </c>
      <c r="B8984" s="40"/>
      <c r="C8984" s="40"/>
      <c r="D8984" s="41"/>
      <c r="E8984" s="43">
        <f>C8984</f>
        <v>0</v>
      </c>
      <c r="F8984" s="42"/>
    </row>
    <row r="8985" spans="1:6">
      <c r="A8985" s="39">
        <f>A8984</f>
        <v>46048</v>
      </c>
      <c r="B8985" s="40"/>
      <c r="C8985" s="40"/>
      <c r="D8985" s="41"/>
      <c r="E8985" s="43">
        <f>C8985</f>
        <v>0</v>
      </c>
      <c r="F8985" s="42"/>
    </row>
    <row r="8986" spans="1:6">
      <c r="A8986" s="39">
        <f>A8985</f>
        <v>46048</v>
      </c>
      <c r="B8986" s="40"/>
      <c r="C8986" s="40"/>
      <c r="D8986" s="41"/>
      <c r="E8986" s="43">
        <f>C8986</f>
        <v>0</v>
      </c>
      <c r="F8986" s="42"/>
    </row>
    <row r="8987" spans="1:6">
      <c r="A8987" s="39">
        <f>A8986</f>
        <v>46048</v>
      </c>
      <c r="B8987" s="40"/>
      <c r="C8987" s="40"/>
      <c r="D8987" s="41"/>
      <c r="E8987" s="43">
        <f>C8987</f>
        <v>0</v>
      </c>
      <c r="F8987" s="42"/>
    </row>
    <row r="8988" spans="1:6">
      <c r="A8988" s="39">
        <f>A8987</f>
        <v>46048</v>
      </c>
      <c r="B8988" s="40"/>
      <c r="C8988" s="40"/>
      <c r="D8988" s="41"/>
      <c r="E8988" s="43">
        <f>C8988</f>
        <v>0</v>
      </c>
      <c r="F8988" s="42"/>
    </row>
    <row r="8989" spans="1:6">
      <c r="A8989" s="39">
        <f>A8988</f>
        <v>46048</v>
      </c>
      <c r="B8989" s="40"/>
      <c r="C8989" s="40"/>
      <c r="D8989" s="41"/>
      <c r="E8989" s="43">
        <f>C8989</f>
        <v>0</v>
      </c>
      <c r="F8989" s="42"/>
    </row>
    <row r="8990" spans="1:6">
      <c r="A8990" s="39">
        <f>A8989</f>
        <v>46048</v>
      </c>
      <c r="B8990" s="40"/>
      <c r="C8990" s="40"/>
      <c r="D8990" s="41"/>
      <c r="E8990" s="43">
        <f>C8990</f>
        <v>0</v>
      </c>
      <c r="F8990" s="42"/>
    </row>
    <row r="8991" spans="1:6">
      <c r="A8991" s="39">
        <f>A8990</f>
        <v>46048</v>
      </c>
      <c r="B8991" s="40"/>
      <c r="C8991" s="40"/>
      <c r="D8991" s="41"/>
      <c r="E8991" s="43">
        <f>C8991</f>
        <v>0</v>
      </c>
      <c r="F8991" s="42"/>
    </row>
    <row r="8992" spans="1:6">
      <c r="A8992" s="39">
        <f>A8991</f>
        <v>46048</v>
      </c>
      <c r="B8992" s="40"/>
      <c r="C8992" s="40"/>
      <c r="D8992" s="41"/>
      <c r="E8992" s="43">
        <f>C8992</f>
        <v>0</v>
      </c>
      <c r="F8992" s="42"/>
    </row>
    <row r="8993" spans="1:6">
      <c r="A8993" s="39">
        <f>A8992</f>
        <v>46048</v>
      </c>
      <c r="B8993" s="40"/>
      <c r="C8993" s="40"/>
      <c r="D8993" s="41"/>
      <c r="E8993" s="43">
        <f>C8993</f>
        <v>0</v>
      </c>
      <c r="F8993" s="42"/>
    </row>
    <row r="8994" spans="1:6">
      <c r="A8994" s="39">
        <f>A8993</f>
        <v>46048</v>
      </c>
      <c r="B8994" s="40"/>
      <c r="C8994" s="40"/>
      <c r="D8994" s="41"/>
      <c r="E8994" s="43">
        <f>C8994</f>
        <v>0</v>
      </c>
      <c r="F8994" s="42"/>
    </row>
    <row r="8995" spans="1:6">
      <c r="A8995" s="39">
        <f>A8994</f>
        <v>46048</v>
      </c>
      <c r="B8995" s="40"/>
      <c r="C8995" s="40"/>
      <c r="D8995" s="41"/>
      <c r="E8995" s="43">
        <f>C8995</f>
        <v>0</v>
      </c>
      <c r="F8995" s="42"/>
    </row>
    <row r="8996" spans="1:6">
      <c r="A8996" s="39">
        <f>A8995</f>
        <v>46048</v>
      </c>
      <c r="B8996" s="40"/>
      <c r="C8996" s="40"/>
      <c r="D8996" s="41"/>
      <c r="E8996" s="43">
        <f>C8996</f>
        <v>0</v>
      </c>
      <c r="F8996" s="42"/>
    </row>
    <row r="8997" spans="1:6">
      <c r="A8997" s="39">
        <f>A8996</f>
        <v>46048</v>
      </c>
      <c r="B8997" s="40"/>
      <c r="C8997" s="40"/>
      <c r="D8997" s="41"/>
      <c r="E8997" s="43">
        <f>C8997</f>
        <v>0</v>
      </c>
      <c r="F8997" s="42"/>
    </row>
    <row r="8998" spans="1:6">
      <c r="A8998" s="39">
        <f>A8997</f>
        <v>46048</v>
      </c>
      <c r="B8998" s="40"/>
      <c r="C8998" s="40"/>
      <c r="D8998" s="41"/>
      <c r="E8998" s="43">
        <f>C8998</f>
        <v>0</v>
      </c>
      <c r="F8998" s="42"/>
    </row>
    <row r="8999" spans="1:6">
      <c r="A8999" s="39">
        <f>A8998</f>
        <v>46048</v>
      </c>
      <c r="B8999" s="40"/>
      <c r="C8999" s="40"/>
      <c r="D8999" s="41"/>
      <c r="E8999" s="43">
        <f>C8999</f>
        <v>0</v>
      </c>
      <c r="F8999" s="42"/>
    </row>
    <row r="9000" spans="1:6">
      <c r="A9000" s="39">
        <f>A8999</f>
        <v>46048</v>
      </c>
      <c r="B9000" s="40"/>
      <c r="C9000" s="40"/>
      <c r="D9000" s="41"/>
      <c r="E9000" s="43">
        <f>C9000</f>
        <v>0</v>
      </c>
      <c r="F9000" s="42"/>
    </row>
    <row r="9001" spans="1:6">
      <c r="A9001" s="39">
        <f>A9000</f>
        <v>46048</v>
      </c>
      <c r="B9001" s="40"/>
      <c r="C9001" s="40"/>
      <c r="D9001" s="41"/>
      <c r="E9001" s="43">
        <f>C9001</f>
        <v>0</v>
      </c>
      <c r="F9001" s="42"/>
    </row>
    <row r="9002" spans="1:6">
      <c r="A9002" s="39">
        <f>A9001</f>
        <v>46048</v>
      </c>
      <c r="B9002" s="40"/>
      <c r="C9002" s="40"/>
      <c r="D9002" s="41"/>
      <c r="E9002" s="43">
        <f>C9002</f>
        <v>0</v>
      </c>
      <c r="F9002" s="42"/>
    </row>
    <row r="9003" spans="1:6">
      <c r="A9003" s="39">
        <f>A9002</f>
        <v>46048</v>
      </c>
      <c r="B9003" s="40"/>
      <c r="C9003" s="40"/>
      <c r="D9003" s="41"/>
      <c r="E9003" s="43">
        <f>C9003</f>
        <v>0</v>
      </c>
      <c r="F9003" s="42"/>
    </row>
    <row r="9004" spans="1:6">
      <c r="A9004" s="39">
        <f>A9003</f>
        <v>46048</v>
      </c>
      <c r="B9004" s="40"/>
      <c r="C9004" s="40"/>
      <c r="D9004" s="41"/>
      <c r="E9004" s="43">
        <f>C9004</f>
        <v>0</v>
      </c>
      <c r="F9004" s="42"/>
    </row>
    <row r="9005" spans="1:6">
      <c r="A9005" s="39">
        <f>A9004</f>
        <v>46048</v>
      </c>
      <c r="B9005" s="40"/>
      <c r="C9005" s="40"/>
      <c r="D9005" s="41"/>
      <c r="E9005" s="43">
        <f>C9005</f>
        <v>0</v>
      </c>
      <c r="F9005" s="42"/>
    </row>
    <row r="9006" spans="1:6">
      <c r="A9006" s="39">
        <f>A9005</f>
        <v>46048</v>
      </c>
      <c r="B9006" s="40"/>
      <c r="C9006" s="40"/>
      <c r="D9006" s="41"/>
      <c r="E9006" s="43">
        <f>C9006</f>
        <v>0</v>
      </c>
      <c r="F9006" s="42"/>
    </row>
    <row r="9007" spans="1:6">
      <c r="A9007" s="39">
        <f>A9006</f>
        <v>46048</v>
      </c>
      <c r="B9007" s="40"/>
      <c r="C9007" s="40"/>
      <c r="D9007" s="41"/>
      <c r="E9007" s="43">
        <f>C9007</f>
        <v>0</v>
      </c>
      <c r="F9007" s="42"/>
    </row>
    <row r="9008" spans="1:6">
      <c r="A9008" s="39">
        <f>A9007</f>
        <v>46048</v>
      </c>
      <c r="B9008" s="40"/>
      <c r="C9008" s="40"/>
      <c r="D9008" s="41"/>
      <c r="E9008" s="43">
        <f>C9008</f>
        <v>0</v>
      </c>
      <c r="F9008" s="42"/>
    </row>
    <row r="9009" spans="1:6">
      <c r="A9009" s="39">
        <f>A9008</f>
        <v>46048</v>
      </c>
      <c r="B9009" s="40"/>
      <c r="C9009" s="40"/>
      <c r="D9009" s="41"/>
      <c r="E9009" s="43">
        <f>C9009</f>
        <v>0</v>
      </c>
      <c r="F9009" s="42"/>
    </row>
    <row r="9010" spans="1:6">
      <c r="A9010" s="39">
        <f>A9009</f>
        <v>46048</v>
      </c>
      <c r="B9010" s="40"/>
      <c r="C9010" s="40"/>
      <c r="D9010" s="41"/>
      <c r="E9010" s="43">
        <f>C9010</f>
        <v>0</v>
      </c>
      <c r="F9010" s="42"/>
    </row>
    <row r="9011" spans="1:6">
      <c r="A9011" s="39">
        <f>A9010</f>
        <v>46048</v>
      </c>
      <c r="B9011" s="40"/>
      <c r="C9011" s="40"/>
      <c r="D9011" s="41"/>
      <c r="E9011" s="43">
        <f>C9011</f>
        <v>0</v>
      </c>
      <c r="F9011" s="42"/>
    </row>
    <row r="9012" spans="1:6">
      <c r="A9012" s="39">
        <f>A9011</f>
        <v>46048</v>
      </c>
      <c r="B9012" s="40"/>
      <c r="C9012" s="40"/>
      <c r="D9012" s="41"/>
      <c r="E9012" s="43">
        <f>C9012</f>
        <v>0</v>
      </c>
      <c r="F9012" s="42"/>
    </row>
    <row r="9013" spans="1:6">
      <c r="A9013" s="39">
        <f>A9012</f>
        <v>46048</v>
      </c>
      <c r="B9013" s="40"/>
      <c r="C9013" s="40"/>
      <c r="D9013" s="41"/>
      <c r="E9013" s="43">
        <f>C9013</f>
        <v>0</v>
      </c>
      <c r="F9013" s="42"/>
    </row>
    <row r="9014" spans="1:6">
      <c r="A9014" s="39">
        <f>A9013</f>
        <v>46048</v>
      </c>
      <c r="B9014" s="40"/>
      <c r="C9014" s="40"/>
      <c r="D9014" s="41"/>
      <c r="E9014" s="43">
        <f>C9014</f>
        <v>0</v>
      </c>
      <c r="F9014" s="42"/>
    </row>
    <row r="9015" spans="1:6">
      <c r="A9015" s="39">
        <f>A9014</f>
        <v>46048</v>
      </c>
      <c r="B9015" s="40"/>
      <c r="C9015" s="40"/>
      <c r="D9015" s="41"/>
      <c r="E9015" s="43">
        <f>C9015</f>
        <v>0</v>
      </c>
      <c r="F9015" s="42"/>
    </row>
    <row r="9016" spans="1:6">
      <c r="A9016" s="39">
        <f>A9015</f>
        <v>46048</v>
      </c>
      <c r="B9016" s="40"/>
      <c r="C9016" s="40"/>
      <c r="D9016" s="41"/>
      <c r="E9016" s="43">
        <f>C9016</f>
        <v>0</v>
      </c>
      <c r="F9016" s="42"/>
    </row>
    <row r="9017" spans="1:6">
      <c r="A9017" s="39">
        <f>A9016</f>
        <v>46048</v>
      </c>
      <c r="B9017" s="40"/>
      <c r="C9017" s="40"/>
      <c r="D9017" s="41"/>
      <c r="E9017" s="43">
        <f>C9017</f>
        <v>0</v>
      </c>
      <c r="F9017" s="42"/>
    </row>
    <row r="9018" spans="1:6">
      <c r="A9018" s="39">
        <f>A9017</f>
        <v>46048</v>
      </c>
      <c r="B9018" s="40"/>
      <c r="C9018" s="40"/>
      <c r="D9018" s="41"/>
      <c r="E9018" s="43">
        <f>C9018</f>
        <v>0</v>
      </c>
      <c r="F9018" s="42"/>
    </row>
    <row r="9019" spans="1:6">
      <c r="A9019" s="39">
        <f>A9018</f>
        <v>46048</v>
      </c>
      <c r="B9019" s="40"/>
      <c r="C9019" s="40"/>
      <c r="D9019" s="41"/>
      <c r="E9019" s="43">
        <f>C9019</f>
        <v>0</v>
      </c>
      <c r="F9019" s="42"/>
    </row>
    <row r="9020" spans="1:6">
      <c r="A9020" s="39">
        <f>A9019</f>
        <v>46048</v>
      </c>
      <c r="B9020" s="40"/>
      <c r="C9020" s="40"/>
      <c r="D9020" s="41"/>
      <c r="E9020" s="43">
        <f>C9020</f>
        <v>0</v>
      </c>
      <c r="F9020" s="42"/>
    </row>
    <row r="9021" spans="1:6">
      <c r="A9021" s="39">
        <f>A9020</f>
        <v>46048</v>
      </c>
      <c r="B9021" s="40"/>
      <c r="C9021" s="40"/>
      <c r="D9021" s="41"/>
      <c r="E9021" s="43">
        <f>C9021</f>
        <v>0</v>
      </c>
      <c r="F9021" s="42"/>
    </row>
    <row r="9022" spans="1:6">
      <c r="A9022" s="39">
        <f>A9021</f>
        <v>46048</v>
      </c>
      <c r="B9022" s="40"/>
      <c r="C9022" s="40"/>
      <c r="D9022" s="41"/>
      <c r="E9022" s="43">
        <f>C9022</f>
        <v>0</v>
      </c>
      <c r="F9022" s="42"/>
    </row>
    <row r="9023" spans="1:6">
      <c r="A9023" s="39">
        <f>A9022</f>
        <v>46048</v>
      </c>
      <c r="B9023" s="40"/>
      <c r="C9023" s="40"/>
      <c r="D9023" s="41"/>
      <c r="E9023" s="43">
        <f>C9023</f>
        <v>0</v>
      </c>
      <c r="F9023" s="42"/>
    </row>
    <row r="9024" spans="1:6">
      <c r="A9024" s="39">
        <f>A9023</f>
        <v>46048</v>
      </c>
      <c r="B9024" s="40"/>
      <c r="C9024" s="40"/>
      <c r="D9024" s="41"/>
      <c r="E9024" s="43">
        <f>C9024</f>
        <v>0</v>
      </c>
      <c r="F9024" s="42"/>
    </row>
    <row r="9025" spans="1:6">
      <c r="A9025" s="39">
        <f>A9024</f>
        <v>46048</v>
      </c>
      <c r="B9025" s="40"/>
      <c r="C9025" s="40"/>
      <c r="D9025" s="41"/>
      <c r="E9025" s="43">
        <f>C9025</f>
        <v>0</v>
      </c>
      <c r="F9025" s="42"/>
    </row>
    <row r="9026" spans="1:6">
      <c r="A9026" s="39">
        <f>A9025</f>
        <v>46048</v>
      </c>
      <c r="B9026" s="40"/>
      <c r="C9026" s="40"/>
      <c r="D9026" s="41"/>
      <c r="E9026" s="43">
        <f>C9026</f>
        <v>0</v>
      </c>
      <c r="F9026" s="42"/>
    </row>
    <row r="9027" spans="1:6">
      <c r="A9027" s="39">
        <f>A9026</f>
        <v>46048</v>
      </c>
      <c r="B9027" s="40"/>
      <c r="C9027" s="40"/>
      <c r="D9027" s="41"/>
      <c r="E9027" s="43">
        <f>C9027</f>
        <v>0</v>
      </c>
      <c r="F9027" s="42"/>
    </row>
    <row r="9028" spans="1:6">
      <c r="A9028" s="39">
        <f>A9027</f>
        <v>46048</v>
      </c>
      <c r="B9028" s="40"/>
      <c r="C9028" s="40"/>
      <c r="D9028" s="41"/>
      <c r="E9028" s="43">
        <f>C9028</f>
        <v>0</v>
      </c>
      <c r="F9028" s="42"/>
    </row>
    <row r="9029" spans="1:6">
      <c r="A9029" s="39">
        <f>A9028</f>
        <v>46048</v>
      </c>
      <c r="B9029" s="40"/>
      <c r="C9029" s="40"/>
      <c r="D9029" s="41"/>
      <c r="E9029" s="43">
        <f>C9029</f>
        <v>0</v>
      </c>
      <c r="F9029" s="42"/>
    </row>
    <row r="9030" spans="1:6">
      <c r="A9030" s="39">
        <f>A9029</f>
        <v>46048</v>
      </c>
      <c r="B9030" s="40"/>
      <c r="C9030" s="40"/>
      <c r="D9030" s="41"/>
      <c r="E9030" s="43">
        <f>C9030</f>
        <v>0</v>
      </c>
      <c r="F9030" s="42"/>
    </row>
    <row r="9031" spans="1:6">
      <c r="A9031" s="39">
        <f>A9030</f>
        <v>46048</v>
      </c>
      <c r="B9031" s="40"/>
      <c r="C9031" s="40"/>
      <c r="D9031" s="41"/>
      <c r="E9031" s="43">
        <f>C9031</f>
        <v>0</v>
      </c>
      <c r="F9031" s="42"/>
    </row>
    <row r="9032" spans="1:6">
      <c r="A9032" s="39">
        <f>A9031</f>
        <v>46048</v>
      </c>
      <c r="B9032" s="40"/>
      <c r="C9032" s="40"/>
      <c r="D9032" s="41"/>
      <c r="E9032" s="43">
        <f>C9032</f>
        <v>0</v>
      </c>
      <c r="F9032" s="42"/>
    </row>
    <row r="9033" spans="1:6">
      <c r="A9033" s="39">
        <f>A9032</f>
        <v>46048</v>
      </c>
      <c r="B9033" s="40"/>
      <c r="C9033" s="40"/>
      <c r="D9033" s="41"/>
      <c r="E9033" s="43">
        <f>C9033</f>
        <v>0</v>
      </c>
      <c r="F9033" s="42"/>
    </row>
    <row r="9034" spans="1:6">
      <c r="A9034" s="39">
        <f>A9033</f>
        <v>46048</v>
      </c>
      <c r="B9034" s="40"/>
      <c r="C9034" s="40"/>
      <c r="D9034" s="41"/>
      <c r="E9034" s="43">
        <f>C9034</f>
        <v>0</v>
      </c>
      <c r="F9034" s="42"/>
    </row>
    <row r="9035" spans="1:6">
      <c r="A9035" s="39">
        <f>A9034</f>
        <v>46048</v>
      </c>
      <c r="B9035" s="40"/>
      <c r="C9035" s="40"/>
      <c r="D9035" s="41"/>
      <c r="E9035" s="43">
        <f>C9035</f>
        <v>0</v>
      </c>
      <c r="F9035" s="42"/>
    </row>
    <row r="9036" spans="1:6">
      <c r="A9036" s="39">
        <f>A9035</f>
        <v>46048</v>
      </c>
      <c r="B9036" s="40"/>
      <c r="C9036" s="40"/>
      <c r="D9036" s="41"/>
      <c r="E9036" s="43">
        <f>C9036</f>
        <v>0</v>
      </c>
      <c r="F9036" s="42"/>
    </row>
    <row r="9037" spans="1:6">
      <c r="A9037" s="39">
        <f>A9036</f>
        <v>46048</v>
      </c>
      <c r="B9037" s="40"/>
      <c r="C9037" s="40"/>
      <c r="D9037" s="41"/>
      <c r="E9037" s="43">
        <f>C9037</f>
        <v>0</v>
      </c>
      <c r="F9037" s="42"/>
    </row>
    <row r="9038" spans="1:6">
      <c r="A9038" s="39">
        <f>A9037</f>
        <v>46048</v>
      </c>
      <c r="B9038" s="40"/>
      <c r="C9038" s="40"/>
      <c r="D9038" s="41"/>
      <c r="E9038" s="43">
        <f>C9038</f>
        <v>0</v>
      </c>
      <c r="F9038" s="42"/>
    </row>
    <row r="9039" spans="1:6">
      <c r="A9039" s="39">
        <f>A9038</f>
        <v>46048</v>
      </c>
      <c r="B9039" s="40"/>
      <c r="C9039" s="40"/>
      <c r="D9039" s="41"/>
      <c r="E9039" s="43">
        <f>C9039</f>
        <v>0</v>
      </c>
      <c r="F9039" s="42"/>
    </row>
    <row r="9040" spans="1:6">
      <c r="A9040" s="39">
        <f>A9039</f>
        <v>46048</v>
      </c>
      <c r="B9040" s="40"/>
      <c r="C9040" s="40"/>
      <c r="D9040" s="41"/>
      <c r="E9040" s="43">
        <f>C9040</f>
        <v>0</v>
      </c>
      <c r="F9040" s="42"/>
    </row>
    <row r="9041" spans="1:6">
      <c r="A9041" s="39">
        <f>A9040</f>
        <v>46048</v>
      </c>
      <c r="B9041" s="40"/>
      <c r="C9041" s="40"/>
      <c r="D9041" s="41"/>
      <c r="E9041" s="43">
        <f>C9041</f>
        <v>0</v>
      </c>
      <c r="F9041" s="42"/>
    </row>
    <row r="9042" spans="1:6">
      <c r="A9042" s="39">
        <f>A9041</f>
        <v>46048</v>
      </c>
      <c r="B9042" s="40"/>
      <c r="C9042" s="40"/>
      <c r="D9042" s="41"/>
      <c r="E9042" s="43">
        <f>C9042</f>
        <v>0</v>
      </c>
      <c r="F9042" s="42"/>
    </row>
    <row r="9043" spans="1:6">
      <c r="A9043" s="39">
        <f>A9042</f>
        <v>46048</v>
      </c>
      <c r="B9043" s="40"/>
      <c r="C9043" s="40"/>
      <c r="D9043" s="41"/>
      <c r="E9043" s="43">
        <f>C9043</f>
        <v>0</v>
      </c>
      <c r="F9043" s="42"/>
    </row>
    <row r="9044" spans="1:6">
      <c r="A9044" s="39">
        <f>A9043</f>
        <v>46048</v>
      </c>
      <c r="B9044" s="40"/>
      <c r="C9044" s="40"/>
      <c r="D9044" s="41"/>
      <c r="E9044" s="43">
        <f>C9044</f>
        <v>0</v>
      </c>
      <c r="F9044" s="42"/>
    </row>
    <row r="9045" spans="1:6">
      <c r="A9045" s="39">
        <f>A9044</f>
        <v>46048</v>
      </c>
      <c r="B9045" s="40"/>
      <c r="C9045" s="40"/>
      <c r="D9045" s="41"/>
      <c r="E9045" s="43">
        <f>C9045</f>
        <v>0</v>
      </c>
      <c r="F9045" s="42"/>
    </row>
    <row r="9046" spans="1:6">
      <c r="A9046" s="39">
        <f>A9045</f>
        <v>46048</v>
      </c>
      <c r="B9046" s="40"/>
      <c r="C9046" s="40"/>
      <c r="D9046" s="41"/>
      <c r="E9046" s="43">
        <f>C9046</f>
        <v>0</v>
      </c>
      <c r="F9046" s="42"/>
    </row>
    <row r="9047" spans="1:6">
      <c r="A9047" s="39">
        <f>A9046</f>
        <v>46048</v>
      </c>
      <c r="B9047" s="40"/>
      <c r="C9047" s="40"/>
      <c r="D9047" s="41"/>
      <c r="E9047" s="43">
        <f>C9047</f>
        <v>0</v>
      </c>
      <c r="F9047" s="42"/>
    </row>
    <row r="9048" spans="1:6">
      <c r="A9048" s="39">
        <f>A9047</f>
        <v>46048</v>
      </c>
      <c r="B9048" s="40"/>
      <c r="C9048" s="40"/>
      <c r="D9048" s="41"/>
      <c r="E9048" s="43">
        <f>C9048</f>
        <v>0</v>
      </c>
      <c r="F9048" s="42"/>
    </row>
    <row r="9049" spans="1:6">
      <c r="A9049" s="39">
        <f>A9048</f>
        <v>46048</v>
      </c>
      <c r="B9049" s="40"/>
      <c r="C9049" s="40"/>
      <c r="D9049" s="41"/>
      <c r="E9049" s="43">
        <f>C9049</f>
        <v>0</v>
      </c>
      <c r="F9049" s="42"/>
    </row>
    <row r="9050" spans="1:6">
      <c r="A9050" s="39">
        <f>A9049</f>
        <v>46048</v>
      </c>
      <c r="B9050" s="40"/>
      <c r="C9050" s="40"/>
      <c r="D9050" s="41"/>
      <c r="E9050" s="43">
        <f>C9050</f>
        <v>0</v>
      </c>
      <c r="F9050" s="42"/>
    </row>
    <row r="9051" spans="1:6">
      <c r="A9051" s="39">
        <f>A9050</f>
        <v>46048</v>
      </c>
      <c r="B9051" s="40"/>
      <c r="C9051" s="40"/>
      <c r="D9051" s="41"/>
      <c r="E9051" s="43">
        <f>C9051</f>
        <v>0</v>
      </c>
      <c r="F9051" s="42"/>
    </row>
    <row r="9052" spans="1:6">
      <c r="A9052" s="39">
        <f>A9051</f>
        <v>46048</v>
      </c>
      <c r="B9052" s="40"/>
      <c r="C9052" s="40"/>
      <c r="D9052" s="41"/>
      <c r="E9052" s="43">
        <f>C9052</f>
        <v>0</v>
      </c>
      <c r="F9052" s="42"/>
    </row>
    <row r="9053" spans="1:6">
      <c r="A9053" s="39">
        <f>A9052</f>
        <v>46048</v>
      </c>
      <c r="B9053" s="40"/>
      <c r="C9053" s="40"/>
      <c r="D9053" s="41"/>
      <c r="E9053" s="43">
        <f>C9053</f>
        <v>0</v>
      </c>
      <c r="F9053" s="42"/>
    </row>
    <row r="9054" spans="1:6">
      <c r="A9054" s="39">
        <f>A9053</f>
        <v>46048</v>
      </c>
      <c r="B9054" s="40"/>
      <c r="C9054" s="40"/>
      <c r="D9054" s="41"/>
      <c r="E9054" s="43">
        <f>C9054</f>
        <v>0</v>
      </c>
      <c r="F9054" s="42"/>
    </row>
    <row r="9055" spans="1:6">
      <c r="A9055" s="39">
        <f>A9054</f>
        <v>46048</v>
      </c>
      <c r="B9055" s="40"/>
      <c r="C9055" s="40"/>
      <c r="D9055" s="41"/>
      <c r="E9055" s="43">
        <f>C9055</f>
        <v>0</v>
      </c>
      <c r="F9055" s="42"/>
    </row>
    <row r="9056" spans="1:6">
      <c r="A9056" s="39">
        <f>A9055</f>
        <v>46048</v>
      </c>
      <c r="B9056" s="40"/>
      <c r="C9056" s="40"/>
      <c r="D9056" s="41"/>
      <c r="E9056" s="43">
        <f>C9056</f>
        <v>0</v>
      </c>
      <c r="F9056" s="42"/>
    </row>
    <row r="9057" spans="1:6">
      <c r="A9057" s="39">
        <f>A9056</f>
        <v>46048</v>
      </c>
      <c r="B9057" s="40"/>
      <c r="C9057" s="40"/>
      <c r="D9057" s="41"/>
      <c r="E9057" s="43">
        <f>C9057</f>
        <v>0</v>
      </c>
      <c r="F9057" s="42"/>
    </row>
    <row r="9058" spans="1:6">
      <c r="A9058" s="39">
        <f>A9057</f>
        <v>46048</v>
      </c>
      <c r="B9058" s="40"/>
      <c r="C9058" s="40"/>
      <c r="D9058" s="41"/>
      <c r="E9058" s="43">
        <f>C9058</f>
        <v>0</v>
      </c>
      <c r="F9058" s="42"/>
    </row>
    <row r="9059" spans="1:6">
      <c r="A9059" s="39">
        <f>A9058</f>
        <v>46048</v>
      </c>
      <c r="B9059" s="40"/>
      <c r="C9059" s="40"/>
      <c r="D9059" s="41"/>
      <c r="E9059" s="43">
        <f>C9059</f>
        <v>0</v>
      </c>
      <c r="F9059" s="42"/>
    </row>
    <row r="9060" spans="1:6">
      <c r="A9060" s="39">
        <f>A9059</f>
        <v>46048</v>
      </c>
      <c r="B9060" s="40"/>
      <c r="C9060" s="40"/>
      <c r="D9060" s="41"/>
      <c r="E9060" s="43">
        <f>C9060</f>
        <v>0</v>
      </c>
      <c r="F9060" s="42"/>
    </row>
    <row r="9061" spans="1:6">
      <c r="A9061" s="39">
        <f>A9060</f>
        <v>46048</v>
      </c>
      <c r="B9061" s="40"/>
      <c r="C9061" s="40"/>
      <c r="D9061" s="41"/>
      <c r="E9061" s="43">
        <f>C9061</f>
        <v>0</v>
      </c>
      <c r="F9061" s="42"/>
    </row>
    <row r="9062" spans="1:6">
      <c r="A9062" s="39">
        <f>A9061</f>
        <v>46048</v>
      </c>
      <c r="B9062" s="40"/>
      <c r="C9062" s="40"/>
      <c r="D9062" s="41"/>
      <c r="E9062" s="43">
        <f>C9062</f>
        <v>0</v>
      </c>
      <c r="F9062" s="42"/>
    </row>
    <row r="9063" spans="1:6">
      <c r="A9063" s="39">
        <f>A9062</f>
        <v>46048</v>
      </c>
      <c r="B9063" s="40"/>
      <c r="C9063" s="40"/>
      <c r="D9063" s="41"/>
      <c r="E9063" s="43">
        <f>C9063</f>
        <v>0</v>
      </c>
      <c r="F9063" s="42"/>
    </row>
    <row r="9064" spans="1:6">
      <c r="A9064" s="39">
        <f>A9063</f>
        <v>46048</v>
      </c>
      <c r="B9064" s="40"/>
      <c r="C9064" s="40"/>
      <c r="D9064" s="41"/>
      <c r="E9064" s="43">
        <f>C9064</f>
        <v>0</v>
      </c>
      <c r="F9064" s="42"/>
    </row>
    <row r="9065" spans="1:6">
      <c r="A9065" s="39">
        <f>A9064</f>
        <v>46048</v>
      </c>
      <c r="B9065" s="40"/>
      <c r="C9065" s="40"/>
      <c r="D9065" s="41"/>
      <c r="E9065" s="43">
        <f>C9065</f>
        <v>0</v>
      </c>
      <c r="F9065" s="42"/>
    </row>
    <row r="9066" spans="1:6">
      <c r="A9066" s="39">
        <f>A9065</f>
        <v>46048</v>
      </c>
      <c r="B9066" s="40"/>
      <c r="C9066" s="40"/>
      <c r="D9066" s="41"/>
      <c r="E9066" s="43">
        <f>C9066</f>
        <v>0</v>
      </c>
      <c r="F9066" s="42"/>
    </row>
    <row r="9067" spans="1:6">
      <c r="A9067" s="39">
        <f>A9066</f>
        <v>46048</v>
      </c>
      <c r="B9067" s="40"/>
      <c r="C9067" s="40"/>
      <c r="D9067" s="41"/>
      <c r="E9067" s="43">
        <f>C9067</f>
        <v>0</v>
      </c>
      <c r="F9067" s="42"/>
    </row>
    <row r="9068" spans="1:6">
      <c r="A9068" s="39">
        <f>A9067</f>
        <v>46048</v>
      </c>
      <c r="B9068" s="40"/>
      <c r="C9068" s="40"/>
      <c r="D9068" s="41"/>
      <c r="E9068" s="43">
        <f>C9068</f>
        <v>0</v>
      </c>
      <c r="F9068" s="42"/>
    </row>
    <row r="9069" spans="1:6">
      <c r="A9069" s="39">
        <f>A9068</f>
        <v>46048</v>
      </c>
      <c r="B9069" s="40"/>
      <c r="C9069" s="40"/>
      <c r="D9069" s="41"/>
      <c r="E9069" s="43">
        <f>C9069</f>
        <v>0</v>
      </c>
      <c r="F9069" s="42"/>
    </row>
    <row r="9070" spans="1:6">
      <c r="A9070" s="39">
        <f>A9069</f>
        <v>46048</v>
      </c>
      <c r="B9070" s="40"/>
      <c r="C9070" s="40"/>
      <c r="D9070" s="41"/>
      <c r="E9070" s="43">
        <f>C9070</f>
        <v>0</v>
      </c>
      <c r="F9070" s="42"/>
    </row>
    <row r="9071" spans="1:6">
      <c r="A9071" s="39">
        <f>A9070</f>
        <v>46048</v>
      </c>
      <c r="B9071" s="40"/>
      <c r="C9071" s="40"/>
      <c r="D9071" s="41"/>
      <c r="E9071" s="43">
        <f>C9071</f>
        <v>0</v>
      </c>
      <c r="F9071" s="42"/>
    </row>
    <row r="9072" spans="1:6">
      <c r="A9072" s="39">
        <f>A9071</f>
        <v>46048</v>
      </c>
      <c r="B9072" s="40"/>
      <c r="C9072" s="40"/>
      <c r="D9072" s="41"/>
      <c r="E9072" s="43">
        <f>C9072</f>
        <v>0</v>
      </c>
      <c r="F9072" s="42"/>
    </row>
    <row r="9073" spans="1:6">
      <c r="A9073" s="39">
        <f>A9072</f>
        <v>46048</v>
      </c>
      <c r="B9073" s="40"/>
      <c r="C9073" s="40"/>
      <c r="D9073" s="41"/>
      <c r="E9073" s="43">
        <f>C9073</f>
        <v>0</v>
      </c>
      <c r="F9073" s="42"/>
    </row>
    <row r="9074" spans="1:6">
      <c r="A9074" s="39">
        <f>A9073</f>
        <v>46048</v>
      </c>
      <c r="B9074" s="40"/>
      <c r="C9074" s="40"/>
      <c r="D9074" s="41"/>
      <c r="E9074" s="43">
        <f>C9074</f>
        <v>0</v>
      </c>
      <c r="F9074" s="42"/>
    </row>
    <row r="9075" spans="1:6">
      <c r="A9075" s="39">
        <f>A9074</f>
        <v>46048</v>
      </c>
      <c r="B9075" s="40"/>
      <c r="C9075" s="40"/>
      <c r="D9075" s="41"/>
      <c r="E9075" s="43">
        <f>C9075</f>
        <v>0</v>
      </c>
      <c r="F9075" s="42"/>
    </row>
    <row r="9076" spans="1:6">
      <c r="A9076" s="39">
        <f>A9075</f>
        <v>46048</v>
      </c>
      <c r="B9076" s="40"/>
      <c r="C9076" s="40"/>
      <c r="D9076" s="41"/>
      <c r="E9076" s="43">
        <f>C9076</f>
        <v>0</v>
      </c>
      <c r="F9076" s="42"/>
    </row>
    <row r="9077" spans="1:6">
      <c r="A9077" s="39">
        <f>A9076</f>
        <v>46048</v>
      </c>
      <c r="B9077" s="40"/>
      <c r="C9077" s="40"/>
      <c r="D9077" s="41"/>
      <c r="E9077" s="43">
        <f>C9077</f>
        <v>0</v>
      </c>
      <c r="F9077" s="42"/>
    </row>
    <row r="9078" spans="1:6">
      <c r="A9078" s="39">
        <f>A9077</f>
        <v>46048</v>
      </c>
      <c r="B9078" s="40"/>
      <c r="C9078" s="40"/>
      <c r="D9078" s="41"/>
      <c r="E9078" s="43">
        <f>C9078</f>
        <v>0</v>
      </c>
      <c r="F9078" s="42"/>
    </row>
    <row r="9079" spans="1:6">
      <c r="A9079" s="39">
        <f>A9078</f>
        <v>46048</v>
      </c>
      <c r="B9079" s="40"/>
      <c r="C9079" s="40"/>
      <c r="D9079" s="41"/>
      <c r="E9079" s="43">
        <f>C9079</f>
        <v>0</v>
      </c>
      <c r="F9079" s="42"/>
    </row>
    <row r="9080" spans="1:6">
      <c r="A9080" s="39">
        <f>A9079</f>
        <v>46048</v>
      </c>
      <c r="B9080" s="40"/>
      <c r="C9080" s="40"/>
      <c r="D9080" s="41"/>
      <c r="E9080" s="43">
        <f>C9080</f>
        <v>0</v>
      </c>
      <c r="F9080" s="42"/>
    </row>
    <row r="9081" spans="1:6">
      <c r="A9081" s="39">
        <f>A9080</f>
        <v>46048</v>
      </c>
      <c r="B9081" s="40"/>
      <c r="C9081" s="40"/>
      <c r="D9081" s="41"/>
      <c r="E9081" s="43">
        <f>C9081</f>
        <v>0</v>
      </c>
      <c r="F9081" s="42"/>
    </row>
    <row r="9082" spans="1:6">
      <c r="A9082" s="39">
        <f>A9081</f>
        <v>46048</v>
      </c>
      <c r="B9082" s="40"/>
      <c r="C9082" s="40"/>
      <c r="D9082" s="41"/>
      <c r="E9082" s="43">
        <f>C9082</f>
        <v>0</v>
      </c>
      <c r="F9082" s="42"/>
    </row>
    <row r="9083" spans="1:6">
      <c r="A9083" s="39">
        <f>A9082</f>
        <v>46048</v>
      </c>
      <c r="B9083" s="40"/>
      <c r="C9083" s="40"/>
      <c r="D9083" s="41"/>
      <c r="E9083" s="43">
        <f>C9083</f>
        <v>0</v>
      </c>
      <c r="F9083" s="42"/>
    </row>
    <row r="9084" spans="1:6">
      <c r="A9084" s="39">
        <f>A9083</f>
        <v>46048</v>
      </c>
      <c r="B9084" s="40"/>
      <c r="C9084" s="40"/>
      <c r="D9084" s="41"/>
      <c r="E9084" s="43">
        <f>C9084</f>
        <v>0</v>
      </c>
      <c r="F9084" s="42"/>
    </row>
    <row r="9085" spans="1:6">
      <c r="A9085" s="39">
        <f>A9084</f>
        <v>46048</v>
      </c>
      <c r="B9085" s="40"/>
      <c r="C9085" s="40"/>
      <c r="D9085" s="41"/>
      <c r="E9085" s="43">
        <f>C9085</f>
        <v>0</v>
      </c>
      <c r="F9085" s="42"/>
    </row>
    <row r="9086" spans="1:6">
      <c r="A9086" s="39">
        <f>A9085</f>
        <v>46048</v>
      </c>
      <c r="B9086" s="40"/>
      <c r="C9086" s="40"/>
      <c r="D9086" s="41"/>
      <c r="E9086" s="43">
        <f>C9086</f>
        <v>0</v>
      </c>
      <c r="F9086" s="42"/>
    </row>
    <row r="9087" spans="1:6">
      <c r="A9087" s="39">
        <f>A9086</f>
        <v>46048</v>
      </c>
      <c r="B9087" s="40"/>
      <c r="C9087" s="40"/>
      <c r="D9087" s="41"/>
      <c r="E9087" s="43">
        <f>C9087</f>
        <v>0</v>
      </c>
      <c r="F9087" s="42"/>
    </row>
    <row r="9088" spans="1:6">
      <c r="A9088" s="39">
        <f>A9087</f>
        <v>46048</v>
      </c>
      <c r="B9088" s="40"/>
      <c r="C9088" s="40"/>
      <c r="D9088" s="41"/>
      <c r="E9088" s="43">
        <f>C9088</f>
        <v>0</v>
      </c>
      <c r="F9088" s="42"/>
    </row>
    <row r="9089" spans="1:6">
      <c r="A9089" s="39">
        <f>A9088</f>
        <v>46048</v>
      </c>
      <c r="B9089" s="40"/>
      <c r="C9089" s="40"/>
      <c r="D9089" s="41"/>
      <c r="E9089" s="43">
        <f>C9089</f>
        <v>0</v>
      </c>
      <c r="F9089" s="42"/>
    </row>
    <row r="9090" spans="1:6">
      <c r="A9090" s="39">
        <f>A9089</f>
        <v>46048</v>
      </c>
      <c r="B9090" s="40"/>
      <c r="C9090" s="40"/>
      <c r="D9090" s="41"/>
      <c r="E9090" s="43">
        <f>C9090</f>
        <v>0</v>
      </c>
      <c r="F9090" s="42"/>
    </row>
    <row r="9091" spans="1:6">
      <c r="A9091" s="39">
        <f>A9090</f>
        <v>46048</v>
      </c>
      <c r="B9091" s="40"/>
      <c r="C9091" s="40"/>
      <c r="D9091" s="41"/>
      <c r="E9091" s="43">
        <f>C9091</f>
        <v>0</v>
      </c>
      <c r="F9091" s="42"/>
    </row>
    <row r="9092" spans="1:6">
      <c r="A9092" s="39">
        <f>A9091</f>
        <v>46048</v>
      </c>
      <c r="B9092" s="40"/>
      <c r="C9092" s="40"/>
      <c r="D9092" s="41"/>
      <c r="E9092" s="43">
        <f>C9092</f>
        <v>0</v>
      </c>
      <c r="F9092" s="42"/>
    </row>
    <row r="9093" spans="1:6">
      <c r="A9093" s="39">
        <f>A9092</f>
        <v>46048</v>
      </c>
      <c r="B9093" s="40"/>
      <c r="C9093" s="40"/>
      <c r="D9093" s="41"/>
      <c r="E9093" s="43">
        <f>C9093</f>
        <v>0</v>
      </c>
      <c r="F9093" s="42"/>
    </row>
    <row r="9094" spans="1:6">
      <c r="A9094" s="39">
        <f>A9093</f>
        <v>46048</v>
      </c>
      <c r="B9094" s="40"/>
      <c r="C9094" s="40"/>
      <c r="D9094" s="41"/>
      <c r="E9094" s="43">
        <f>C9094</f>
        <v>0</v>
      </c>
      <c r="F9094" s="42"/>
    </row>
    <row r="9095" spans="1:6">
      <c r="A9095" s="39">
        <f>A9094</f>
        <v>46048</v>
      </c>
      <c r="B9095" s="40"/>
      <c r="C9095" s="40"/>
      <c r="D9095" s="41"/>
      <c r="E9095" s="43">
        <f>C9095</f>
        <v>0</v>
      </c>
      <c r="F9095" s="42"/>
    </row>
    <row r="9096" spans="1:6">
      <c r="A9096" s="39">
        <f>A9095</f>
        <v>46048</v>
      </c>
      <c r="B9096" s="40"/>
      <c r="C9096" s="40"/>
      <c r="D9096" s="41"/>
      <c r="E9096" s="43">
        <f>C9096</f>
        <v>0</v>
      </c>
      <c r="F9096" s="42"/>
    </row>
    <row r="9097" spans="1:6">
      <c r="A9097" s="39">
        <f>A9096</f>
        <v>46048</v>
      </c>
      <c r="B9097" s="40"/>
      <c r="C9097" s="40"/>
      <c r="D9097" s="41"/>
      <c r="E9097" s="43">
        <f>C9097</f>
        <v>0</v>
      </c>
      <c r="F9097" s="42"/>
    </row>
    <row r="9098" spans="1:6">
      <c r="A9098" s="39">
        <f>A9097</f>
        <v>46048</v>
      </c>
      <c r="B9098" s="40"/>
      <c r="C9098" s="40"/>
      <c r="D9098" s="41"/>
      <c r="E9098" s="43">
        <f>C9098</f>
        <v>0</v>
      </c>
      <c r="F9098" s="42"/>
    </row>
    <row r="9099" spans="1:6">
      <c r="A9099" s="39">
        <f>A9098</f>
        <v>46048</v>
      </c>
      <c r="B9099" s="40"/>
      <c r="C9099" s="40"/>
      <c r="D9099" s="41"/>
      <c r="E9099" s="43">
        <f>C9099</f>
        <v>0</v>
      </c>
      <c r="F9099" s="42"/>
    </row>
    <row r="9100" spans="1:6">
      <c r="A9100" s="39">
        <f>A9099</f>
        <v>46048</v>
      </c>
      <c r="B9100" s="40"/>
      <c r="C9100" s="40"/>
      <c r="D9100" s="41"/>
      <c r="E9100" s="43">
        <f>C9100</f>
        <v>0</v>
      </c>
      <c r="F9100" s="42"/>
    </row>
    <row r="9101" spans="1:6">
      <c r="A9101" s="39">
        <f>A9100</f>
        <v>46048</v>
      </c>
      <c r="B9101" s="40"/>
      <c r="C9101" s="40"/>
      <c r="D9101" s="41"/>
      <c r="E9101" s="43">
        <f>C9101</f>
        <v>0</v>
      </c>
      <c r="F9101" s="42"/>
    </row>
    <row r="9102" spans="1:6">
      <c r="A9102" s="39">
        <f>A9101</f>
        <v>46048</v>
      </c>
      <c r="B9102" s="40"/>
      <c r="C9102" s="40"/>
      <c r="D9102" s="41"/>
      <c r="E9102" s="43">
        <f>C9102</f>
        <v>0</v>
      </c>
      <c r="F9102" s="42"/>
    </row>
    <row r="9103" spans="1:6">
      <c r="A9103" s="39">
        <f>A9102</f>
        <v>46048</v>
      </c>
      <c r="B9103" s="40"/>
      <c r="C9103" s="40"/>
      <c r="D9103" s="41"/>
      <c r="E9103" s="43">
        <f>C9103</f>
        <v>0</v>
      </c>
      <c r="F9103" s="42"/>
    </row>
    <row r="9104" spans="1:6">
      <c r="A9104" s="39">
        <f>A9103</f>
        <v>46048</v>
      </c>
      <c r="B9104" s="40"/>
      <c r="C9104" s="40"/>
      <c r="D9104" s="41"/>
      <c r="E9104" s="43">
        <f>C9104</f>
        <v>0</v>
      </c>
      <c r="F9104" s="42"/>
    </row>
    <row r="9105" spans="1:6">
      <c r="A9105" s="39">
        <f>A9104</f>
        <v>46048</v>
      </c>
      <c r="B9105" s="40"/>
      <c r="C9105" s="40"/>
      <c r="D9105" s="41"/>
      <c r="E9105" s="43">
        <f>C9105</f>
        <v>0</v>
      </c>
      <c r="F9105" s="42"/>
    </row>
    <row r="9106" spans="1:6">
      <c r="A9106" s="39">
        <f>A9105</f>
        <v>46048</v>
      </c>
      <c r="B9106" s="40"/>
      <c r="C9106" s="40"/>
      <c r="D9106" s="41"/>
      <c r="E9106" s="43">
        <f>C9106</f>
        <v>0</v>
      </c>
      <c r="F9106" s="42"/>
    </row>
    <row r="9107" spans="1:6">
      <c r="A9107" s="39">
        <f>A9106</f>
        <v>46048</v>
      </c>
      <c r="B9107" s="40"/>
      <c r="C9107" s="40"/>
      <c r="D9107" s="41"/>
      <c r="E9107" s="43">
        <f>C9107</f>
        <v>0</v>
      </c>
      <c r="F9107" s="42"/>
    </row>
    <row r="9108" spans="1:6">
      <c r="A9108" s="39">
        <f>A9107</f>
        <v>46048</v>
      </c>
      <c r="B9108" s="40"/>
      <c r="C9108" s="40"/>
      <c r="D9108" s="41"/>
      <c r="E9108" s="43">
        <f>C9108</f>
        <v>0</v>
      </c>
      <c r="F9108" s="42"/>
    </row>
    <row r="9109" spans="1:6">
      <c r="A9109" s="39">
        <f>A9108</f>
        <v>46048</v>
      </c>
      <c r="B9109" s="40"/>
      <c r="C9109" s="40"/>
      <c r="D9109" s="41"/>
      <c r="E9109" s="43">
        <f>C9109</f>
        <v>0</v>
      </c>
      <c r="F9109" s="42"/>
    </row>
    <row r="9110" spans="1:6">
      <c r="A9110" s="39">
        <f>A9109</f>
        <v>46048</v>
      </c>
      <c r="B9110" s="40"/>
      <c r="C9110" s="40"/>
      <c r="D9110" s="41"/>
      <c r="E9110" s="43">
        <f>C9110</f>
        <v>0</v>
      </c>
      <c r="F9110" s="42"/>
    </row>
    <row r="9111" spans="1:6">
      <c r="A9111" s="39">
        <f>A9110</f>
        <v>46048</v>
      </c>
      <c r="B9111" s="40"/>
      <c r="C9111" s="40"/>
      <c r="D9111" s="41"/>
      <c r="E9111" s="43">
        <f>C9111</f>
        <v>0</v>
      </c>
      <c r="F9111" s="42"/>
    </row>
    <row r="9112" spans="1:6">
      <c r="A9112" s="39">
        <f>A9111</f>
        <v>46048</v>
      </c>
      <c r="B9112" s="40"/>
      <c r="C9112" s="40"/>
      <c r="D9112" s="41"/>
      <c r="E9112" s="43">
        <f>C9112</f>
        <v>0</v>
      </c>
      <c r="F9112" s="42"/>
    </row>
    <row r="9113" spans="1:6">
      <c r="A9113" s="39">
        <f>A9112</f>
        <v>46048</v>
      </c>
      <c r="B9113" s="40"/>
      <c r="C9113" s="40"/>
      <c r="D9113" s="41"/>
      <c r="E9113" s="43">
        <f>C9113</f>
        <v>0</v>
      </c>
      <c r="F9113" s="42"/>
    </row>
    <row r="9114" spans="1:6">
      <c r="A9114" s="39">
        <f>A9113</f>
        <v>46048</v>
      </c>
      <c r="B9114" s="40"/>
      <c r="C9114" s="40"/>
      <c r="D9114" s="41"/>
      <c r="E9114" s="43">
        <f>C9114</f>
        <v>0</v>
      </c>
      <c r="F9114" s="42"/>
    </row>
    <row r="9115" spans="1:6">
      <c r="A9115" s="39">
        <f>A9114</f>
        <v>46048</v>
      </c>
      <c r="B9115" s="40"/>
      <c r="C9115" s="40"/>
      <c r="D9115" s="41"/>
      <c r="E9115" s="43">
        <f>C9115</f>
        <v>0</v>
      </c>
      <c r="F9115" s="42"/>
    </row>
    <row r="9116" spans="1:6">
      <c r="A9116" s="39">
        <f>A9115</f>
        <v>46048</v>
      </c>
      <c r="B9116" s="40"/>
      <c r="C9116" s="40"/>
      <c r="D9116" s="41"/>
      <c r="E9116" s="43">
        <f>C9116</f>
        <v>0</v>
      </c>
      <c r="F9116" s="42"/>
    </row>
    <row r="9117" spans="1:6">
      <c r="A9117" s="39">
        <f>A9116</f>
        <v>46048</v>
      </c>
      <c r="B9117" s="40"/>
      <c r="C9117" s="40"/>
      <c r="D9117" s="41"/>
      <c r="E9117" s="43">
        <f>C9117</f>
        <v>0</v>
      </c>
      <c r="F9117" s="42"/>
    </row>
    <row r="9118" spans="1:6">
      <c r="A9118" s="39">
        <f>A9117</f>
        <v>46048</v>
      </c>
      <c r="B9118" s="40"/>
      <c r="C9118" s="40"/>
      <c r="D9118" s="41"/>
      <c r="E9118" s="43">
        <f>C9118</f>
        <v>0</v>
      </c>
      <c r="F9118" s="42"/>
    </row>
    <row r="9119" spans="1:6">
      <c r="A9119" s="39">
        <f>A9118</f>
        <v>46048</v>
      </c>
      <c r="B9119" s="40"/>
      <c r="C9119" s="40"/>
      <c r="D9119" s="41"/>
      <c r="E9119" s="43">
        <f>C9119</f>
        <v>0</v>
      </c>
      <c r="F9119" s="42"/>
    </row>
    <row r="9120" spans="1:6">
      <c r="A9120" s="39">
        <f>A9119</f>
        <v>46048</v>
      </c>
      <c r="B9120" s="40"/>
      <c r="C9120" s="40"/>
      <c r="D9120" s="41"/>
      <c r="E9120" s="43">
        <f>C9120</f>
        <v>0</v>
      </c>
      <c r="F9120" s="42"/>
    </row>
    <row r="9121" spans="1:6">
      <c r="A9121" s="39">
        <f>A9120</f>
        <v>46048</v>
      </c>
      <c r="B9121" s="40"/>
      <c r="C9121" s="40"/>
      <c r="D9121" s="41"/>
      <c r="E9121" s="43">
        <f>C9121</f>
        <v>0</v>
      </c>
      <c r="F9121" s="42"/>
    </row>
    <row r="9122" spans="1:6">
      <c r="A9122" s="39">
        <f>A9121</f>
        <v>46048</v>
      </c>
      <c r="B9122" s="40"/>
      <c r="C9122" s="40"/>
      <c r="D9122" s="41"/>
      <c r="E9122" s="43">
        <f>C9122</f>
        <v>0</v>
      </c>
      <c r="F9122" s="42"/>
    </row>
    <row r="9123" spans="1:6">
      <c r="A9123" s="39">
        <f>A9122</f>
        <v>46048</v>
      </c>
      <c r="B9123" s="40"/>
      <c r="C9123" s="40"/>
      <c r="D9123" s="41"/>
      <c r="E9123" s="43">
        <f>C9123</f>
        <v>0</v>
      </c>
      <c r="F9123" s="42"/>
    </row>
    <row r="9124" spans="1:6">
      <c r="A9124" s="39">
        <f>A9123</f>
        <v>46048</v>
      </c>
      <c r="B9124" s="40"/>
      <c r="C9124" s="40"/>
      <c r="D9124" s="41"/>
      <c r="E9124" s="43">
        <f>C9124</f>
        <v>0</v>
      </c>
      <c r="F9124" s="42"/>
    </row>
    <row r="9125" spans="1:6">
      <c r="A9125" s="39">
        <f>A9124</f>
        <v>46048</v>
      </c>
      <c r="B9125" s="40"/>
      <c r="C9125" s="40"/>
      <c r="D9125" s="41"/>
      <c r="E9125" s="43">
        <f>C9125</f>
        <v>0</v>
      </c>
      <c r="F9125" s="42"/>
    </row>
    <row r="9126" spans="1:6">
      <c r="A9126" s="39">
        <f>A9125</f>
        <v>46048</v>
      </c>
      <c r="B9126" s="40"/>
      <c r="C9126" s="40"/>
      <c r="D9126" s="41"/>
      <c r="E9126" s="43">
        <f>C9126</f>
        <v>0</v>
      </c>
      <c r="F9126" s="42"/>
    </row>
    <row r="9127" spans="1:6">
      <c r="A9127" s="39">
        <f>A9126</f>
        <v>46048</v>
      </c>
      <c r="B9127" s="40"/>
      <c r="C9127" s="40"/>
      <c r="D9127" s="41"/>
      <c r="E9127" s="43">
        <f>C9127</f>
        <v>0</v>
      </c>
      <c r="F9127" s="42"/>
    </row>
    <row r="9128" spans="1:6">
      <c r="A9128" s="39">
        <f>A9127</f>
        <v>46048</v>
      </c>
      <c r="B9128" s="40"/>
      <c r="C9128" s="40"/>
      <c r="D9128" s="41"/>
      <c r="E9128" s="43">
        <f>C9128</f>
        <v>0</v>
      </c>
      <c r="F9128" s="42"/>
    </row>
    <row r="9129" spans="1:6">
      <c r="A9129" s="39">
        <f>A9128</f>
        <v>46048</v>
      </c>
      <c r="B9129" s="40"/>
      <c r="C9129" s="40"/>
      <c r="D9129" s="41"/>
      <c r="E9129" s="43">
        <f>C9129</f>
        <v>0</v>
      </c>
      <c r="F9129" s="42"/>
    </row>
    <row r="9130" spans="1:6">
      <c r="A9130" s="39">
        <f>A9129</f>
        <v>46048</v>
      </c>
      <c r="B9130" s="40"/>
      <c r="C9130" s="40"/>
      <c r="D9130" s="41"/>
      <c r="E9130" s="43">
        <f>C9130</f>
        <v>0</v>
      </c>
      <c r="F9130" s="42"/>
    </row>
    <row r="9131" spans="1:6">
      <c r="A9131" s="39">
        <f>A9130</f>
        <v>46048</v>
      </c>
      <c r="B9131" s="40"/>
      <c r="C9131" s="40"/>
      <c r="D9131" s="41"/>
      <c r="E9131" s="43">
        <f>C9131</f>
        <v>0</v>
      </c>
      <c r="F9131" s="42"/>
    </row>
    <row r="9132" spans="1:6">
      <c r="A9132" s="39">
        <f>A9131</f>
        <v>46048</v>
      </c>
      <c r="B9132" s="40"/>
      <c r="C9132" s="40"/>
      <c r="D9132" s="41"/>
      <c r="E9132" s="43">
        <f>C9132</f>
        <v>0</v>
      </c>
      <c r="F9132" s="42"/>
    </row>
    <row r="9133" spans="1:6">
      <c r="A9133" s="39">
        <f>A9132</f>
        <v>46048</v>
      </c>
      <c r="B9133" s="40"/>
      <c r="C9133" s="40"/>
      <c r="D9133" s="41"/>
      <c r="E9133" s="43">
        <f>C9133</f>
        <v>0</v>
      </c>
      <c r="F9133" s="42"/>
    </row>
    <row r="9134" spans="1:6">
      <c r="A9134" s="39">
        <f>A9133</f>
        <v>46048</v>
      </c>
      <c r="B9134" s="40"/>
      <c r="C9134" s="40"/>
      <c r="D9134" s="41"/>
      <c r="E9134" s="43">
        <f>C9134</f>
        <v>0</v>
      </c>
      <c r="F9134" s="42"/>
    </row>
    <row r="9135" spans="1:6">
      <c r="A9135" s="39">
        <f>A9134</f>
        <v>46048</v>
      </c>
      <c r="B9135" s="40"/>
      <c r="C9135" s="40"/>
      <c r="D9135" s="41"/>
      <c r="E9135" s="43">
        <f>C9135</f>
        <v>0</v>
      </c>
      <c r="F9135" s="42"/>
    </row>
    <row r="9136" spans="1:6">
      <c r="A9136" s="39">
        <f>A9135</f>
        <v>46048</v>
      </c>
      <c r="B9136" s="40"/>
      <c r="C9136" s="40"/>
      <c r="D9136" s="41"/>
      <c r="E9136" s="43">
        <f>C9136</f>
        <v>0</v>
      </c>
      <c r="F9136" s="42"/>
    </row>
    <row r="9137" spans="1:6">
      <c r="A9137" s="39">
        <f>A9136</f>
        <v>46048</v>
      </c>
      <c r="B9137" s="40"/>
      <c r="C9137" s="40"/>
      <c r="D9137" s="41"/>
      <c r="E9137" s="43">
        <f>C9137</f>
        <v>0</v>
      </c>
      <c r="F9137" s="42"/>
    </row>
    <row r="9138" spans="1:6">
      <c r="A9138" s="39">
        <f>A9137</f>
        <v>46048</v>
      </c>
      <c r="B9138" s="40"/>
      <c r="C9138" s="40"/>
      <c r="D9138" s="41"/>
      <c r="E9138" s="43">
        <f>C9138</f>
        <v>0</v>
      </c>
      <c r="F9138" s="42"/>
    </row>
    <row r="9139" spans="1:6">
      <c r="A9139" s="39">
        <f>A9138</f>
        <v>46048</v>
      </c>
      <c r="B9139" s="40"/>
      <c r="C9139" s="40"/>
      <c r="D9139" s="41"/>
      <c r="E9139" s="43">
        <f>C9139</f>
        <v>0</v>
      </c>
      <c r="F9139" s="42"/>
    </row>
    <row r="9140" spans="1:6">
      <c r="A9140" s="39">
        <f>A9139</f>
        <v>46048</v>
      </c>
      <c r="B9140" s="40"/>
      <c r="C9140" s="40"/>
      <c r="D9140" s="41"/>
      <c r="E9140" s="43">
        <f>C9140</f>
        <v>0</v>
      </c>
      <c r="F9140" s="42"/>
    </row>
    <row r="9141" spans="1:6">
      <c r="A9141" s="39">
        <f>A9140</f>
        <v>46048</v>
      </c>
      <c r="B9141" s="40"/>
      <c r="C9141" s="40"/>
      <c r="D9141" s="41"/>
      <c r="E9141" s="43">
        <f>C9141</f>
        <v>0</v>
      </c>
      <c r="F9141" s="42"/>
    </row>
    <row r="9142" spans="1:6">
      <c r="A9142" s="39">
        <f>A9141</f>
        <v>46048</v>
      </c>
      <c r="B9142" s="40"/>
      <c r="C9142" s="40"/>
      <c r="D9142" s="41"/>
      <c r="E9142" s="43">
        <f>C9142</f>
        <v>0</v>
      </c>
      <c r="F9142" s="42"/>
    </row>
    <row r="9143" spans="1:6">
      <c r="A9143" s="39">
        <f>A9142</f>
        <v>46048</v>
      </c>
      <c r="B9143" s="40"/>
      <c r="C9143" s="40"/>
      <c r="D9143" s="41"/>
      <c r="E9143" s="43">
        <f>C9143</f>
        <v>0</v>
      </c>
      <c r="F9143" s="42"/>
    </row>
    <row r="9144" spans="1:6">
      <c r="A9144" s="39">
        <f>A9143</f>
        <v>46048</v>
      </c>
      <c r="B9144" s="40"/>
      <c r="C9144" s="40"/>
      <c r="D9144" s="41"/>
      <c r="E9144" s="43">
        <f>C9144</f>
        <v>0</v>
      </c>
      <c r="F9144" s="42"/>
    </row>
    <row r="9145" spans="1:6">
      <c r="A9145" s="39">
        <f>A9144</f>
        <v>46048</v>
      </c>
      <c r="B9145" s="40"/>
      <c r="C9145" s="40"/>
      <c r="D9145" s="41"/>
      <c r="E9145" s="43">
        <f>C9145</f>
        <v>0</v>
      </c>
      <c r="F9145" s="42"/>
    </row>
    <row r="9146" spans="1:6">
      <c r="A9146" s="39">
        <f>A9145</f>
        <v>46048</v>
      </c>
      <c r="B9146" s="40"/>
      <c r="C9146" s="40"/>
      <c r="D9146" s="41"/>
      <c r="E9146" s="43">
        <f>C9146</f>
        <v>0</v>
      </c>
      <c r="F9146" s="42"/>
    </row>
    <row r="9147" spans="1:6">
      <c r="A9147" s="39">
        <f>A9146</f>
        <v>46048</v>
      </c>
      <c r="B9147" s="40"/>
      <c r="C9147" s="40"/>
      <c r="D9147" s="41"/>
      <c r="E9147" s="43">
        <f>C9147</f>
        <v>0</v>
      </c>
      <c r="F9147" s="42"/>
    </row>
    <row r="9148" spans="1:6">
      <c r="A9148" s="39">
        <f>A9147</f>
        <v>46048</v>
      </c>
      <c r="B9148" s="40"/>
      <c r="C9148" s="40"/>
      <c r="D9148" s="41"/>
      <c r="E9148" s="43">
        <f>C9148</f>
        <v>0</v>
      </c>
      <c r="F9148" s="42"/>
    </row>
    <row r="9149" spans="1:6">
      <c r="A9149" s="39">
        <f>A9148</f>
        <v>46048</v>
      </c>
      <c r="B9149" s="40"/>
      <c r="C9149" s="40"/>
      <c r="D9149" s="41"/>
      <c r="E9149" s="43">
        <f>C9149</f>
        <v>0</v>
      </c>
      <c r="F9149" s="42"/>
    </row>
    <row r="9150" spans="1:6">
      <c r="A9150" s="39">
        <f>A9149</f>
        <v>46048</v>
      </c>
      <c r="B9150" s="40"/>
      <c r="C9150" s="40"/>
      <c r="D9150" s="41"/>
      <c r="E9150" s="43">
        <f>C9150</f>
        <v>0</v>
      </c>
      <c r="F9150" s="42"/>
    </row>
    <row r="9151" spans="1:6">
      <c r="A9151" s="39">
        <f>A9150</f>
        <v>46048</v>
      </c>
      <c r="B9151" s="40"/>
      <c r="C9151" s="40"/>
      <c r="D9151" s="41"/>
      <c r="E9151" s="43">
        <f>C9151</f>
        <v>0</v>
      </c>
      <c r="F9151" s="42"/>
    </row>
    <row r="9152" spans="1:6">
      <c r="A9152" s="39">
        <f>A9151</f>
        <v>46048</v>
      </c>
      <c r="B9152" s="40"/>
      <c r="C9152" s="40"/>
      <c r="D9152" s="41"/>
      <c r="E9152" s="43">
        <f>C9152</f>
        <v>0</v>
      </c>
      <c r="F9152" s="42"/>
    </row>
    <row r="9153" spans="1:6">
      <c r="A9153" s="39">
        <f>A9152</f>
        <v>46048</v>
      </c>
      <c r="B9153" s="40"/>
      <c r="C9153" s="40"/>
      <c r="D9153" s="41"/>
      <c r="E9153" s="43">
        <f>C9153</f>
        <v>0</v>
      </c>
      <c r="F9153" s="42"/>
    </row>
    <row r="9154" spans="1:6">
      <c r="A9154" s="39">
        <f>A9153</f>
        <v>46048</v>
      </c>
      <c r="B9154" s="40"/>
      <c r="C9154" s="40"/>
      <c r="D9154" s="41"/>
      <c r="E9154" s="43">
        <f>C9154</f>
        <v>0</v>
      </c>
      <c r="F9154" s="42"/>
    </row>
    <row r="9155" spans="1:6">
      <c r="A9155" s="39">
        <f>A9154</f>
        <v>46048</v>
      </c>
      <c r="B9155" s="40"/>
      <c r="C9155" s="40"/>
      <c r="D9155" s="41"/>
      <c r="E9155" s="43">
        <f>C9155</f>
        <v>0</v>
      </c>
      <c r="F9155" s="42"/>
    </row>
    <row r="9156" spans="1:6">
      <c r="A9156" s="39">
        <f>A9155</f>
        <v>46048</v>
      </c>
      <c r="B9156" s="40"/>
      <c r="C9156" s="40"/>
      <c r="D9156" s="41"/>
      <c r="E9156" s="43">
        <f>C9156</f>
        <v>0</v>
      </c>
      <c r="F9156" s="42"/>
    </row>
    <row r="9157" spans="1:6">
      <c r="A9157" s="39">
        <f>A9156</f>
        <v>46048</v>
      </c>
      <c r="B9157" s="40"/>
      <c r="C9157" s="40"/>
      <c r="D9157" s="41"/>
      <c r="E9157" s="43">
        <f>C9157</f>
        <v>0</v>
      </c>
      <c r="F9157" s="42"/>
    </row>
    <row r="9158" spans="1:6">
      <c r="A9158" s="39">
        <f>A9157</f>
        <v>46048</v>
      </c>
      <c r="B9158" s="40"/>
      <c r="C9158" s="40"/>
      <c r="D9158" s="41"/>
      <c r="E9158" s="43">
        <f>C9158</f>
        <v>0</v>
      </c>
      <c r="F9158" s="42"/>
    </row>
    <row r="9159" spans="1:6">
      <c r="A9159" s="39">
        <f>A9158</f>
        <v>46048</v>
      </c>
      <c r="B9159" s="40"/>
      <c r="C9159" s="40"/>
      <c r="D9159" s="41"/>
      <c r="E9159" s="43">
        <f>C9159</f>
        <v>0</v>
      </c>
      <c r="F9159" s="42"/>
    </row>
    <row r="9160" spans="1:6">
      <c r="A9160" s="39">
        <f>A9159</f>
        <v>46048</v>
      </c>
      <c r="B9160" s="40"/>
      <c r="C9160" s="40"/>
      <c r="D9160" s="41"/>
      <c r="E9160" s="43">
        <f>C9160</f>
        <v>0</v>
      </c>
      <c r="F9160" s="42"/>
    </row>
    <row r="9161" spans="1:6">
      <c r="A9161" s="39">
        <f>A9160</f>
        <v>46048</v>
      </c>
      <c r="B9161" s="40"/>
      <c r="C9161" s="40"/>
      <c r="D9161" s="41"/>
      <c r="E9161" s="43">
        <f>C9161</f>
        <v>0</v>
      </c>
      <c r="F9161" s="42"/>
    </row>
    <row r="9162" spans="1:6">
      <c r="A9162" s="39">
        <f>A9161</f>
        <v>46048</v>
      </c>
      <c r="B9162" s="40"/>
      <c r="C9162" s="40"/>
      <c r="D9162" s="41"/>
      <c r="E9162" s="43">
        <f>C9162</f>
        <v>0</v>
      </c>
      <c r="F9162" s="42"/>
    </row>
    <row r="9163" spans="1:6">
      <c r="A9163" s="39">
        <f>A9162</f>
        <v>46048</v>
      </c>
      <c r="B9163" s="40"/>
      <c r="C9163" s="40"/>
      <c r="D9163" s="41"/>
      <c r="E9163" s="43">
        <f>C9163</f>
        <v>0</v>
      </c>
      <c r="F9163" s="42"/>
    </row>
    <row r="9164" spans="1:6">
      <c r="A9164" s="39">
        <f>A9163</f>
        <v>46048</v>
      </c>
      <c r="B9164" s="40"/>
      <c r="C9164" s="40"/>
      <c r="D9164" s="41"/>
      <c r="E9164" s="43">
        <f>C9164</f>
        <v>0</v>
      </c>
      <c r="F9164" s="42"/>
    </row>
    <row r="9165" spans="1:6">
      <c r="A9165" s="39">
        <f>A9164</f>
        <v>46048</v>
      </c>
      <c r="B9165" s="40"/>
      <c r="C9165" s="40"/>
      <c r="D9165" s="41"/>
      <c r="E9165" s="43">
        <f>C9165</f>
        <v>0</v>
      </c>
      <c r="F9165" s="42"/>
    </row>
    <row r="9166" spans="1:6">
      <c r="A9166" s="39">
        <f>A9165</f>
        <v>46048</v>
      </c>
      <c r="B9166" s="40"/>
      <c r="C9166" s="40"/>
      <c r="D9166" s="41"/>
      <c r="E9166" s="43">
        <f>C9166</f>
        <v>0</v>
      </c>
      <c r="F9166" s="42"/>
    </row>
    <row r="9167" spans="1:6">
      <c r="A9167" s="39">
        <f>A9166</f>
        <v>46048</v>
      </c>
      <c r="B9167" s="40"/>
      <c r="C9167" s="40"/>
      <c r="D9167" s="41"/>
      <c r="E9167" s="43">
        <f>C9167</f>
        <v>0</v>
      </c>
      <c r="F9167" s="42"/>
    </row>
    <row r="9168" spans="1:6">
      <c r="A9168" s="39">
        <f>A9167</f>
        <v>46048</v>
      </c>
      <c r="B9168" s="40"/>
      <c r="C9168" s="40"/>
      <c r="D9168" s="41"/>
      <c r="E9168" s="43">
        <f>C9168</f>
        <v>0</v>
      </c>
      <c r="F9168" s="42"/>
    </row>
    <row r="9169" spans="1:6">
      <c r="A9169" s="39">
        <f>A9168</f>
        <v>46048</v>
      </c>
      <c r="B9169" s="40"/>
      <c r="C9169" s="40"/>
      <c r="D9169" s="41"/>
      <c r="E9169" s="43">
        <f>C9169</f>
        <v>0</v>
      </c>
      <c r="F9169" s="42"/>
    </row>
    <row r="9170" spans="1:6">
      <c r="A9170" s="39">
        <f>A9169</f>
        <v>46048</v>
      </c>
      <c r="B9170" s="40"/>
      <c r="C9170" s="40"/>
      <c r="D9170" s="41"/>
      <c r="E9170" s="43">
        <f>C9170</f>
        <v>0</v>
      </c>
      <c r="F9170" s="42"/>
    </row>
    <row r="9171" spans="1:6">
      <c r="A9171" s="39">
        <f>A9170</f>
        <v>46048</v>
      </c>
      <c r="B9171" s="40"/>
      <c r="C9171" s="40"/>
      <c r="D9171" s="41"/>
      <c r="E9171" s="43">
        <f>C9171</f>
        <v>0</v>
      </c>
      <c r="F9171" s="42"/>
    </row>
    <row r="9172" spans="1:6">
      <c r="A9172" s="39">
        <f>A9171</f>
        <v>46048</v>
      </c>
      <c r="B9172" s="40"/>
      <c r="C9172" s="40"/>
      <c r="D9172" s="41"/>
      <c r="E9172" s="43">
        <f>C9172</f>
        <v>0</v>
      </c>
      <c r="F9172" s="42"/>
    </row>
    <row r="9173" spans="1:6">
      <c r="A9173" s="39">
        <f>A9172</f>
        <v>46048</v>
      </c>
      <c r="B9173" s="40"/>
      <c r="C9173" s="40"/>
      <c r="D9173" s="41"/>
      <c r="E9173" s="43">
        <f>C9173</f>
        <v>0</v>
      </c>
      <c r="F9173" s="42"/>
    </row>
    <row r="9174" spans="1:6">
      <c r="A9174" s="39">
        <f>A9173</f>
        <v>46048</v>
      </c>
      <c r="B9174" s="40"/>
      <c r="C9174" s="40"/>
      <c r="D9174" s="41"/>
      <c r="E9174" s="43">
        <f>C9174</f>
        <v>0</v>
      </c>
      <c r="F9174" s="42"/>
    </row>
    <row r="9175" spans="1:6">
      <c r="A9175" s="39">
        <f>A9174</f>
        <v>46048</v>
      </c>
      <c r="B9175" s="40"/>
      <c r="C9175" s="40"/>
      <c r="D9175" s="41"/>
      <c r="E9175" s="43">
        <f>C9175</f>
        <v>0</v>
      </c>
      <c r="F9175" s="42"/>
    </row>
    <row r="9176" spans="1:6">
      <c r="A9176" s="39">
        <f>A9175</f>
        <v>46048</v>
      </c>
      <c r="B9176" s="40"/>
      <c r="C9176" s="40"/>
      <c r="D9176" s="41"/>
      <c r="E9176" s="43">
        <f>C9176</f>
        <v>0</v>
      </c>
      <c r="F9176" s="42"/>
    </row>
    <row r="9177" spans="1:6">
      <c r="A9177" s="39">
        <f>A9176</f>
        <v>46048</v>
      </c>
      <c r="B9177" s="40"/>
      <c r="C9177" s="40"/>
      <c r="D9177" s="41"/>
      <c r="E9177" s="43">
        <f>C9177</f>
        <v>0</v>
      </c>
      <c r="F9177" s="42"/>
    </row>
    <row r="9178" spans="1:6">
      <c r="A9178" s="39">
        <f>A9177</f>
        <v>46048</v>
      </c>
      <c r="B9178" s="40"/>
      <c r="C9178" s="40"/>
      <c r="D9178" s="41"/>
      <c r="E9178" s="43">
        <f>C9178</f>
        <v>0</v>
      </c>
      <c r="F9178" s="42"/>
    </row>
    <row r="9179" spans="1:6">
      <c r="A9179" s="39">
        <f>A9178</f>
        <v>46048</v>
      </c>
      <c r="B9179" s="40"/>
      <c r="C9179" s="40"/>
      <c r="D9179" s="41"/>
      <c r="E9179" s="43">
        <f>C9179</f>
        <v>0</v>
      </c>
      <c r="F9179" s="42"/>
    </row>
    <row r="9180" spans="1:6">
      <c r="A9180" s="39">
        <f>A9179</f>
        <v>46048</v>
      </c>
      <c r="B9180" s="40"/>
      <c r="C9180" s="40"/>
      <c r="D9180" s="41"/>
      <c r="E9180" s="43">
        <f>C9180</f>
        <v>0</v>
      </c>
      <c r="F9180" s="42"/>
    </row>
    <row r="9181" spans="1:6">
      <c r="A9181" s="39">
        <f>A9180</f>
        <v>46048</v>
      </c>
      <c r="B9181" s="40"/>
      <c r="C9181" s="40"/>
      <c r="D9181" s="41"/>
      <c r="E9181" s="43">
        <f>C9181</f>
        <v>0</v>
      </c>
      <c r="F9181" s="42"/>
    </row>
    <row r="9182" spans="1:6">
      <c r="A9182" s="39">
        <f>A9181</f>
        <v>46048</v>
      </c>
      <c r="B9182" s="40"/>
      <c r="C9182" s="40"/>
      <c r="D9182" s="41"/>
      <c r="E9182" s="43">
        <f>C9182</f>
        <v>0</v>
      </c>
      <c r="F9182" s="42"/>
    </row>
    <row r="9183" spans="1:6">
      <c r="A9183" s="39">
        <f>A9182</f>
        <v>46048</v>
      </c>
      <c r="B9183" s="40"/>
      <c r="C9183" s="40"/>
      <c r="D9183" s="41"/>
      <c r="E9183" s="43">
        <f>C9183</f>
        <v>0</v>
      </c>
      <c r="F9183" s="42"/>
    </row>
    <row r="9184" spans="1:6">
      <c r="A9184" s="39">
        <f>A9183</f>
        <v>46048</v>
      </c>
      <c r="B9184" s="40"/>
      <c r="C9184" s="40"/>
      <c r="D9184" s="41"/>
      <c r="E9184" s="43">
        <f>C9184</f>
        <v>0</v>
      </c>
      <c r="F9184" s="42"/>
    </row>
    <row r="9185" spans="1:6">
      <c r="A9185" s="39">
        <f>A9184</f>
        <v>46048</v>
      </c>
      <c r="B9185" s="40"/>
      <c r="C9185" s="40"/>
      <c r="D9185" s="41"/>
      <c r="E9185" s="43">
        <f>C9185</f>
        <v>0</v>
      </c>
      <c r="F9185" s="42"/>
    </row>
    <row r="9186" spans="1:6">
      <c r="A9186" s="39">
        <f>A9185</f>
        <v>46048</v>
      </c>
      <c r="B9186" s="40"/>
      <c r="C9186" s="40"/>
      <c r="D9186" s="41"/>
      <c r="E9186" s="43">
        <f>C9186</f>
        <v>0</v>
      </c>
      <c r="F9186" s="42"/>
    </row>
    <row r="9187" spans="1:6">
      <c r="A9187" s="39">
        <f>A9186</f>
        <v>46048</v>
      </c>
      <c r="B9187" s="40"/>
      <c r="C9187" s="40"/>
      <c r="D9187" s="41"/>
      <c r="E9187" s="43">
        <f>C9187</f>
        <v>0</v>
      </c>
      <c r="F9187" s="42"/>
    </row>
    <row r="9188" spans="1:6">
      <c r="A9188" s="39">
        <f>A9187</f>
        <v>46048</v>
      </c>
      <c r="B9188" s="40"/>
      <c r="C9188" s="40"/>
      <c r="D9188" s="41"/>
      <c r="E9188" s="43">
        <f>C9188</f>
        <v>0</v>
      </c>
      <c r="F9188" s="42"/>
    </row>
    <row r="9189" spans="1:6">
      <c r="A9189" s="39">
        <f>A9188</f>
        <v>46048</v>
      </c>
      <c r="B9189" s="40"/>
      <c r="C9189" s="40"/>
      <c r="D9189" s="41"/>
      <c r="E9189" s="43">
        <f>C9189</f>
        <v>0</v>
      </c>
      <c r="F9189" s="42"/>
    </row>
    <row r="9190" spans="1:6">
      <c r="A9190" s="39">
        <f>A9189</f>
        <v>46048</v>
      </c>
      <c r="B9190" s="40"/>
      <c r="C9190" s="40"/>
      <c r="D9190" s="41"/>
      <c r="E9190" s="43">
        <f>C9190</f>
        <v>0</v>
      </c>
      <c r="F9190" s="42"/>
    </row>
    <row r="9191" spans="1:6">
      <c r="A9191" s="39">
        <f>A9190</f>
        <v>46048</v>
      </c>
      <c r="B9191" s="40"/>
      <c r="C9191" s="40"/>
      <c r="D9191" s="41"/>
      <c r="E9191" s="43">
        <f>C9191</f>
        <v>0</v>
      </c>
      <c r="F9191" s="42"/>
    </row>
    <row r="9192" spans="1:6">
      <c r="A9192" s="39">
        <f>A9191</f>
        <v>46048</v>
      </c>
      <c r="B9192" s="40"/>
      <c r="C9192" s="40"/>
      <c r="D9192" s="41"/>
      <c r="E9192" s="43">
        <f>C9192</f>
        <v>0</v>
      </c>
      <c r="F9192" s="42"/>
    </row>
    <row r="9193" spans="1:6">
      <c r="A9193" s="39">
        <f>A9192</f>
        <v>46048</v>
      </c>
      <c r="B9193" s="40"/>
      <c r="C9193" s="40"/>
      <c r="D9193" s="41"/>
      <c r="E9193" s="43">
        <f>C9193</f>
        <v>0</v>
      </c>
      <c r="F9193" s="42"/>
    </row>
    <row r="9194" spans="1:6">
      <c r="A9194" s="39">
        <f>A9193</f>
        <v>46048</v>
      </c>
      <c r="B9194" s="40"/>
      <c r="C9194" s="40"/>
      <c r="D9194" s="41"/>
      <c r="E9194" s="43">
        <f>C9194</f>
        <v>0</v>
      </c>
      <c r="F9194" s="42"/>
    </row>
    <row r="9195" spans="1:6">
      <c r="A9195" s="39">
        <f>A9194</f>
        <v>46048</v>
      </c>
      <c r="B9195" s="40"/>
      <c r="C9195" s="40"/>
      <c r="D9195" s="41"/>
      <c r="E9195" s="43">
        <f>C9195</f>
        <v>0</v>
      </c>
      <c r="F9195" s="42"/>
    </row>
    <row r="9196" spans="1:6">
      <c r="A9196" s="39">
        <f>A9195</f>
        <v>46048</v>
      </c>
      <c r="B9196" s="40"/>
      <c r="C9196" s="40"/>
      <c r="D9196" s="41"/>
      <c r="E9196" s="43">
        <f>C9196</f>
        <v>0</v>
      </c>
      <c r="F9196" s="42"/>
    </row>
    <row r="9197" spans="1:6">
      <c r="A9197" s="39">
        <f>A9196</f>
        <v>46048</v>
      </c>
      <c r="B9197" s="40"/>
      <c r="C9197" s="40"/>
      <c r="D9197" s="41"/>
      <c r="E9197" s="43">
        <f>C9197</f>
        <v>0</v>
      </c>
      <c r="F9197" s="42"/>
    </row>
    <row r="9198" spans="1:6">
      <c r="A9198" s="39">
        <f>A9197</f>
        <v>46048</v>
      </c>
      <c r="B9198" s="40"/>
      <c r="C9198" s="40"/>
      <c r="D9198" s="41"/>
      <c r="E9198" s="43">
        <f>C9198</f>
        <v>0</v>
      </c>
      <c r="F9198" s="42"/>
    </row>
    <row r="9199" spans="1:6">
      <c r="A9199" s="39">
        <f>A9198</f>
        <v>46048</v>
      </c>
      <c r="B9199" s="40"/>
      <c r="C9199" s="40"/>
      <c r="D9199" s="41"/>
      <c r="E9199" s="43">
        <f>C9199</f>
        <v>0</v>
      </c>
      <c r="F9199" s="42"/>
    </row>
    <row r="9200" spans="1:6">
      <c r="A9200" s="39">
        <f>A9199</f>
        <v>46048</v>
      </c>
      <c r="B9200" s="40"/>
      <c r="C9200" s="40"/>
      <c r="D9200" s="41"/>
      <c r="E9200" s="43">
        <f>C9200</f>
        <v>0</v>
      </c>
      <c r="F9200" s="42"/>
    </row>
    <row r="9201" spans="1:6">
      <c r="A9201" s="39">
        <f>A9200</f>
        <v>46048</v>
      </c>
      <c r="B9201" s="40"/>
      <c r="C9201" s="40"/>
      <c r="D9201" s="41"/>
      <c r="E9201" s="43">
        <f>C9201</f>
        <v>0</v>
      </c>
      <c r="F9201" s="42"/>
    </row>
    <row r="9202" spans="1:6">
      <c r="A9202" s="39">
        <f>A9201</f>
        <v>46048</v>
      </c>
      <c r="B9202" s="40"/>
      <c r="C9202" s="40"/>
      <c r="D9202" s="41"/>
      <c r="E9202" s="43">
        <f>C9202</f>
        <v>0</v>
      </c>
      <c r="F9202" s="42"/>
    </row>
    <row r="9203" spans="1:6">
      <c r="A9203" s="39">
        <f>A9202</f>
        <v>46048</v>
      </c>
      <c r="B9203" s="40"/>
      <c r="C9203" s="40"/>
      <c r="D9203" s="41"/>
      <c r="E9203" s="43">
        <f>C9203</f>
        <v>0</v>
      </c>
      <c r="F9203" s="42"/>
    </row>
    <row r="9204" spans="1:6">
      <c r="A9204" s="39">
        <f>A9203</f>
        <v>46048</v>
      </c>
      <c r="B9204" s="40"/>
      <c r="C9204" s="40"/>
      <c r="D9204" s="41"/>
      <c r="E9204" s="43">
        <f>C9204</f>
        <v>0</v>
      </c>
      <c r="F9204" s="42"/>
    </row>
    <row r="9205" spans="1:6">
      <c r="A9205" s="39">
        <f>A9204</f>
        <v>46048</v>
      </c>
      <c r="B9205" s="40"/>
      <c r="C9205" s="40"/>
      <c r="D9205" s="41"/>
      <c r="E9205" s="43">
        <f>C9205</f>
        <v>0</v>
      </c>
      <c r="F9205" s="42"/>
    </row>
    <row r="9206" spans="1:6">
      <c r="A9206" s="39">
        <f>A9205</f>
        <v>46048</v>
      </c>
      <c r="B9206" s="40"/>
      <c r="C9206" s="40"/>
      <c r="D9206" s="41"/>
      <c r="E9206" s="43">
        <f>C9206</f>
        <v>0</v>
      </c>
      <c r="F9206" s="42"/>
    </row>
    <row r="9207" spans="1:6">
      <c r="A9207" s="39">
        <f>A9206</f>
        <v>46048</v>
      </c>
      <c r="B9207" s="40"/>
      <c r="C9207" s="40"/>
      <c r="D9207" s="41"/>
      <c r="E9207" s="43">
        <f>C9207</f>
        <v>0</v>
      </c>
      <c r="F9207" s="42"/>
    </row>
    <row r="9208" spans="1:6">
      <c r="A9208" s="39">
        <f>A9207</f>
        <v>46048</v>
      </c>
      <c r="B9208" s="40"/>
      <c r="C9208" s="40"/>
      <c r="D9208" s="41"/>
      <c r="E9208" s="43">
        <f>C9208</f>
        <v>0</v>
      </c>
      <c r="F9208" s="42"/>
    </row>
    <row r="9209" spans="1:6">
      <c r="A9209" s="39">
        <f>A9208</f>
        <v>46048</v>
      </c>
      <c r="B9209" s="40"/>
      <c r="C9209" s="40"/>
      <c r="D9209" s="41"/>
      <c r="E9209" s="43">
        <f>C9209</f>
        <v>0</v>
      </c>
      <c r="F9209" s="42"/>
    </row>
    <row r="9210" spans="1:6">
      <c r="A9210" s="39">
        <f>A9209</f>
        <v>46048</v>
      </c>
      <c r="B9210" s="40"/>
      <c r="C9210" s="40"/>
      <c r="D9210" s="41"/>
      <c r="E9210" s="43">
        <f>C9210</f>
        <v>0</v>
      </c>
      <c r="F9210" s="42"/>
    </row>
    <row r="9211" spans="1:6">
      <c r="A9211" s="39">
        <f>A9210</f>
        <v>46048</v>
      </c>
      <c r="B9211" s="40"/>
      <c r="C9211" s="40"/>
      <c r="D9211" s="41"/>
      <c r="E9211" s="43">
        <f>C9211</f>
        <v>0</v>
      </c>
      <c r="F9211" s="42"/>
    </row>
    <row r="9212" spans="1:6">
      <c r="A9212" s="39">
        <f>A9211</f>
        <v>46048</v>
      </c>
      <c r="B9212" s="40"/>
      <c r="C9212" s="40"/>
      <c r="D9212" s="41"/>
      <c r="E9212" s="43">
        <f>C9212</f>
        <v>0</v>
      </c>
      <c r="F9212" s="42"/>
    </row>
    <row r="9213" spans="1:6">
      <c r="A9213" s="39">
        <f>A9212</f>
        <v>46048</v>
      </c>
      <c r="B9213" s="40"/>
      <c r="C9213" s="40"/>
      <c r="D9213" s="41"/>
      <c r="E9213" s="43">
        <f>C9213</f>
        <v>0</v>
      </c>
      <c r="F9213" s="42"/>
    </row>
    <row r="9214" spans="1:6">
      <c r="A9214" s="39">
        <f>A9213</f>
        <v>46048</v>
      </c>
      <c r="B9214" s="40"/>
      <c r="C9214" s="40"/>
      <c r="D9214" s="41"/>
      <c r="E9214" s="43">
        <f>C9214</f>
        <v>0</v>
      </c>
      <c r="F9214" s="42"/>
    </row>
    <row r="9215" spans="1:6">
      <c r="A9215" s="39">
        <f>A9214</f>
        <v>46048</v>
      </c>
      <c r="B9215" s="40"/>
      <c r="C9215" s="40"/>
      <c r="D9215" s="41"/>
      <c r="E9215" s="43">
        <f>C9215</f>
        <v>0</v>
      </c>
      <c r="F9215" s="42"/>
    </row>
    <row r="9216" spans="1:6">
      <c r="A9216" s="39">
        <f>A9215</f>
        <v>46048</v>
      </c>
      <c r="B9216" s="40"/>
      <c r="C9216" s="40"/>
      <c r="D9216" s="41"/>
      <c r="E9216" s="43">
        <f>C9216</f>
        <v>0</v>
      </c>
      <c r="F9216" s="42"/>
    </row>
    <row r="9217" spans="1:6">
      <c r="A9217" s="39">
        <f>A9216</f>
        <v>46048</v>
      </c>
      <c r="B9217" s="40"/>
      <c r="C9217" s="40"/>
      <c r="D9217" s="41"/>
      <c r="E9217" s="43">
        <f>C9217</f>
        <v>0</v>
      </c>
      <c r="F9217" s="42"/>
    </row>
    <row r="9218" spans="1:6">
      <c r="A9218" s="39">
        <f>A9217</f>
        <v>46048</v>
      </c>
      <c r="B9218" s="40"/>
      <c r="C9218" s="40"/>
      <c r="D9218" s="41"/>
      <c r="E9218" s="43">
        <f>C9218</f>
        <v>0</v>
      </c>
      <c r="F9218" s="42"/>
    </row>
    <row r="9219" spans="1:6">
      <c r="A9219" s="39">
        <f>A9218</f>
        <v>46048</v>
      </c>
      <c r="B9219" s="40"/>
      <c r="C9219" s="40"/>
      <c r="D9219" s="41"/>
      <c r="E9219" s="43">
        <f>C9219</f>
        <v>0</v>
      </c>
      <c r="F9219" s="42"/>
    </row>
    <row r="9220" spans="1:6">
      <c r="A9220" s="39">
        <f>A9219</f>
        <v>46048</v>
      </c>
      <c r="B9220" s="40"/>
      <c r="C9220" s="40"/>
      <c r="D9220" s="41"/>
      <c r="E9220" s="43">
        <f>C9220</f>
        <v>0</v>
      </c>
      <c r="F9220" s="42"/>
    </row>
    <row r="9221" spans="1:6">
      <c r="A9221" s="39">
        <f>A9220</f>
        <v>46048</v>
      </c>
      <c r="B9221" s="40"/>
      <c r="C9221" s="40"/>
      <c r="D9221" s="41"/>
      <c r="E9221" s="43">
        <f>C9221</f>
        <v>0</v>
      </c>
      <c r="F9221" s="42"/>
    </row>
    <row r="9222" spans="1:6">
      <c r="A9222" s="39">
        <f>A9221</f>
        <v>46048</v>
      </c>
      <c r="B9222" s="40"/>
      <c r="C9222" s="40"/>
      <c r="D9222" s="41"/>
      <c r="E9222" s="43">
        <f>C9222</f>
        <v>0</v>
      </c>
      <c r="F9222" s="42"/>
    </row>
    <row r="9223" spans="1:6">
      <c r="A9223" s="39">
        <f>A9222</f>
        <v>46048</v>
      </c>
      <c r="B9223" s="40"/>
      <c r="C9223" s="40"/>
      <c r="D9223" s="41"/>
      <c r="E9223" s="43">
        <f>C9223</f>
        <v>0</v>
      </c>
      <c r="F9223" s="42"/>
    </row>
    <row r="9224" spans="1:6">
      <c r="A9224" s="39">
        <f>A9223</f>
        <v>46048</v>
      </c>
      <c r="B9224" s="40"/>
      <c r="C9224" s="40"/>
      <c r="D9224" s="41"/>
      <c r="E9224" s="43">
        <f>C9224</f>
        <v>0</v>
      </c>
      <c r="F9224" s="42"/>
    </row>
    <row r="9225" spans="1:6">
      <c r="A9225" s="39">
        <f>A9224</f>
        <v>46048</v>
      </c>
      <c r="B9225" s="40"/>
      <c r="C9225" s="40"/>
      <c r="D9225" s="41"/>
      <c r="E9225" s="43">
        <f>C9225</f>
        <v>0</v>
      </c>
      <c r="F9225" s="42"/>
    </row>
    <row r="9226" spans="1:6">
      <c r="A9226" s="39">
        <f>A9225</f>
        <v>46048</v>
      </c>
      <c r="B9226" s="40"/>
      <c r="C9226" s="40"/>
      <c r="D9226" s="41"/>
      <c r="E9226" s="43">
        <f>C9226</f>
        <v>0</v>
      </c>
      <c r="F9226" s="42"/>
    </row>
    <row r="9227" spans="1:6">
      <c r="A9227" s="39">
        <f>A9226</f>
        <v>46048</v>
      </c>
      <c r="B9227" s="40"/>
      <c r="C9227" s="40"/>
      <c r="D9227" s="41"/>
      <c r="E9227" s="43">
        <f>C9227</f>
        <v>0</v>
      </c>
      <c r="F9227" s="42"/>
    </row>
    <row r="9228" spans="1:6">
      <c r="A9228" s="39">
        <f>A9227</f>
        <v>46048</v>
      </c>
      <c r="B9228" s="40"/>
      <c r="C9228" s="40"/>
      <c r="D9228" s="41"/>
      <c r="E9228" s="43">
        <f>C9228</f>
        <v>0</v>
      </c>
      <c r="F9228" s="42"/>
    </row>
    <row r="9229" spans="1:6">
      <c r="A9229" s="39">
        <f>A9228</f>
        <v>46048</v>
      </c>
      <c r="B9229" s="40"/>
      <c r="C9229" s="40"/>
      <c r="D9229" s="41"/>
      <c r="E9229" s="43">
        <f>C9229</f>
        <v>0</v>
      </c>
      <c r="F9229" s="42"/>
    </row>
    <row r="9230" spans="1:6">
      <c r="A9230" s="39">
        <f>A9229</f>
        <v>46048</v>
      </c>
      <c r="B9230" s="40"/>
      <c r="C9230" s="40"/>
      <c r="D9230" s="41"/>
      <c r="E9230" s="43">
        <f>C9230</f>
        <v>0</v>
      </c>
      <c r="F9230" s="42"/>
    </row>
    <row r="9231" spans="1:6">
      <c r="A9231" s="39">
        <f>A9230</f>
        <v>46048</v>
      </c>
      <c r="B9231" s="40"/>
      <c r="C9231" s="40"/>
      <c r="D9231" s="41"/>
      <c r="E9231" s="43">
        <f>C9231</f>
        <v>0</v>
      </c>
      <c r="F9231" s="42"/>
    </row>
    <row r="9232" spans="1:6">
      <c r="A9232" s="39">
        <f>A9231</f>
        <v>46048</v>
      </c>
      <c r="B9232" s="40"/>
      <c r="C9232" s="40"/>
      <c r="D9232" s="41"/>
      <c r="E9232" s="43">
        <f>C9232</f>
        <v>0</v>
      </c>
      <c r="F9232" s="42"/>
    </row>
    <row r="9233" spans="1:6">
      <c r="A9233" s="39">
        <f>A9232</f>
        <v>46048</v>
      </c>
      <c r="B9233" s="40"/>
      <c r="C9233" s="40"/>
      <c r="D9233" s="41"/>
      <c r="E9233" s="43">
        <f>C9233</f>
        <v>0</v>
      </c>
      <c r="F9233" s="42"/>
    </row>
    <row r="9234" spans="1:6">
      <c r="A9234" s="39">
        <f>A9233</f>
        <v>46048</v>
      </c>
      <c r="B9234" s="40"/>
      <c r="C9234" s="40"/>
      <c r="D9234" s="41"/>
      <c r="E9234" s="43">
        <f>C9234</f>
        <v>0</v>
      </c>
      <c r="F9234" s="42"/>
    </row>
    <row r="9235" spans="1:6">
      <c r="A9235" s="39">
        <f>A9234</f>
        <v>46048</v>
      </c>
      <c r="B9235" s="40"/>
      <c r="C9235" s="40"/>
      <c r="D9235" s="41"/>
      <c r="E9235" s="43">
        <f>C9235</f>
        <v>0</v>
      </c>
      <c r="F9235" s="42"/>
    </row>
    <row r="9236" spans="1:6">
      <c r="A9236" s="39">
        <f>A9235</f>
        <v>46048</v>
      </c>
      <c r="B9236" s="40"/>
      <c r="C9236" s="40"/>
      <c r="D9236" s="41"/>
      <c r="E9236" s="43">
        <f>C9236</f>
        <v>0</v>
      </c>
      <c r="F9236" s="42"/>
    </row>
    <row r="9237" spans="1:6">
      <c r="A9237" s="39">
        <f>A9236</f>
        <v>46048</v>
      </c>
      <c r="B9237" s="40"/>
      <c r="C9237" s="40"/>
      <c r="D9237" s="41"/>
      <c r="E9237" s="43">
        <f>C9237</f>
        <v>0</v>
      </c>
      <c r="F9237" s="42"/>
    </row>
    <row r="9238" spans="1:6">
      <c r="A9238" s="39">
        <f>A9237</f>
        <v>46048</v>
      </c>
      <c r="B9238" s="40"/>
      <c r="C9238" s="40"/>
      <c r="D9238" s="41"/>
      <c r="E9238" s="43">
        <f>C9238</f>
        <v>0</v>
      </c>
      <c r="F9238" s="42"/>
    </row>
    <row r="9239" spans="1:6">
      <c r="A9239" s="39">
        <f>A9238</f>
        <v>46048</v>
      </c>
      <c r="B9239" s="40"/>
      <c r="C9239" s="40"/>
      <c r="D9239" s="41"/>
      <c r="E9239" s="43">
        <f>C9239</f>
        <v>0</v>
      </c>
      <c r="F9239" s="42"/>
    </row>
    <row r="9240" spans="1:6">
      <c r="A9240" s="39">
        <f>A9239</f>
        <v>46048</v>
      </c>
      <c r="B9240" s="40"/>
      <c r="C9240" s="40"/>
      <c r="D9240" s="41"/>
      <c r="E9240" s="43">
        <f>C9240</f>
        <v>0</v>
      </c>
      <c r="F9240" s="42"/>
    </row>
    <row r="9241" spans="1:6">
      <c r="A9241" s="39">
        <f>A9240</f>
        <v>46048</v>
      </c>
      <c r="B9241" s="40"/>
      <c r="C9241" s="40"/>
      <c r="D9241" s="41"/>
      <c r="E9241" s="43">
        <f>C9241</f>
        <v>0</v>
      </c>
      <c r="F9241" s="42"/>
    </row>
    <row r="9242" spans="1:6">
      <c r="A9242" s="39">
        <f>A9241</f>
        <v>46048</v>
      </c>
      <c r="B9242" s="40"/>
      <c r="C9242" s="40"/>
      <c r="D9242" s="41"/>
      <c r="E9242" s="43">
        <f>C9242</f>
        <v>0</v>
      </c>
      <c r="F9242" s="42"/>
    </row>
    <row r="9243" spans="1:6">
      <c r="A9243" s="39">
        <f>A9242</f>
        <v>46048</v>
      </c>
      <c r="B9243" s="40"/>
      <c r="C9243" s="40"/>
      <c r="D9243" s="41"/>
      <c r="E9243" s="43">
        <f>C9243</f>
        <v>0</v>
      </c>
      <c r="F9243" s="42"/>
    </row>
    <row r="9244" spans="1:6">
      <c r="A9244" s="39">
        <f>A9243</f>
        <v>46048</v>
      </c>
      <c r="B9244" s="40"/>
      <c r="C9244" s="40"/>
      <c r="D9244" s="41"/>
      <c r="E9244" s="43">
        <f>C9244</f>
        <v>0</v>
      </c>
      <c r="F9244" s="42"/>
    </row>
    <row r="9245" spans="1:6">
      <c r="A9245" s="39">
        <f>A9244</f>
        <v>46048</v>
      </c>
      <c r="B9245" s="40"/>
      <c r="C9245" s="40"/>
      <c r="D9245" s="41"/>
      <c r="E9245" s="43">
        <f>C9245</f>
        <v>0</v>
      </c>
      <c r="F9245" s="42"/>
    </row>
    <row r="9246" spans="1:6">
      <c r="A9246" s="39">
        <f>A9245</f>
        <v>46048</v>
      </c>
      <c r="B9246" s="40"/>
      <c r="C9246" s="40"/>
      <c r="D9246" s="41"/>
      <c r="E9246" s="43">
        <f>C9246</f>
        <v>0</v>
      </c>
      <c r="F9246" s="42"/>
    </row>
    <row r="9247" spans="1:6">
      <c r="A9247" s="39">
        <f>A9246</f>
        <v>46048</v>
      </c>
      <c r="B9247" s="40"/>
      <c r="C9247" s="40"/>
      <c r="D9247" s="41"/>
      <c r="E9247" s="43">
        <f>C9247</f>
        <v>0</v>
      </c>
      <c r="F9247" s="42"/>
    </row>
    <row r="9248" spans="1:6">
      <c r="A9248" s="39">
        <f>A9247</f>
        <v>46048</v>
      </c>
      <c r="B9248" s="40"/>
      <c r="C9248" s="40"/>
      <c r="D9248" s="41"/>
      <c r="E9248" s="43">
        <f>C9248</f>
        <v>0</v>
      </c>
      <c r="F9248" s="42"/>
    </row>
    <row r="9249" spans="1:6">
      <c r="A9249" s="39">
        <f>A9248</f>
        <v>46048</v>
      </c>
      <c r="B9249" s="40"/>
      <c r="C9249" s="40"/>
      <c r="D9249" s="41"/>
      <c r="E9249" s="43">
        <f>C9249</f>
        <v>0</v>
      </c>
      <c r="F9249" s="42"/>
    </row>
    <row r="9250" spans="1:6">
      <c r="A9250" s="39">
        <f>A9249</f>
        <v>46048</v>
      </c>
      <c r="B9250" s="40"/>
      <c r="C9250" s="40"/>
      <c r="D9250" s="41"/>
      <c r="E9250" s="43">
        <f>C9250</f>
        <v>0</v>
      </c>
      <c r="F9250" s="42"/>
    </row>
    <row r="9251" spans="1:6">
      <c r="A9251" s="39">
        <f>A9250</f>
        <v>46048</v>
      </c>
      <c r="B9251" s="40"/>
      <c r="C9251" s="40"/>
      <c r="D9251" s="41"/>
      <c r="E9251" s="43">
        <f>C9251</f>
        <v>0</v>
      </c>
      <c r="F9251" s="42"/>
    </row>
    <row r="9252" spans="1:6">
      <c r="A9252" s="39">
        <f>A9251</f>
        <v>46048</v>
      </c>
      <c r="B9252" s="40"/>
      <c r="C9252" s="40"/>
      <c r="D9252" s="41"/>
      <c r="E9252" s="43">
        <f>C9252</f>
        <v>0</v>
      </c>
      <c r="F9252" s="42"/>
    </row>
    <row r="9253" spans="1:6">
      <c r="A9253" s="39">
        <f>A9252</f>
        <v>46048</v>
      </c>
      <c r="B9253" s="40"/>
      <c r="C9253" s="40"/>
      <c r="D9253" s="41"/>
      <c r="E9253" s="43">
        <f>C9253</f>
        <v>0</v>
      </c>
      <c r="F9253" s="42"/>
    </row>
    <row r="9254" spans="1:6">
      <c r="A9254" s="39">
        <f>A9253</f>
        <v>46048</v>
      </c>
      <c r="B9254" s="40"/>
      <c r="C9254" s="40"/>
      <c r="D9254" s="41"/>
      <c r="E9254" s="43">
        <f>C9254</f>
        <v>0</v>
      </c>
      <c r="F9254" s="42"/>
    </row>
    <row r="9255" spans="1:6">
      <c r="A9255" s="39">
        <f>A9254</f>
        <v>46048</v>
      </c>
      <c r="B9255" s="40"/>
      <c r="C9255" s="40"/>
      <c r="D9255" s="41"/>
      <c r="E9255" s="43">
        <f>C9255</f>
        <v>0</v>
      </c>
      <c r="F9255" s="42"/>
    </row>
    <row r="9256" spans="1:6">
      <c r="A9256" s="39">
        <f>A9255</f>
        <v>46048</v>
      </c>
      <c r="B9256" s="40"/>
      <c r="C9256" s="40"/>
      <c r="D9256" s="41"/>
      <c r="E9256" s="43">
        <f>C9256</f>
        <v>0</v>
      </c>
      <c r="F9256" s="42"/>
    </row>
    <row r="9257" spans="1:6">
      <c r="A9257" s="39">
        <f>A9256</f>
        <v>46048</v>
      </c>
      <c r="B9257" s="40"/>
      <c r="C9257" s="40"/>
      <c r="D9257" s="41"/>
      <c r="E9257" s="43">
        <f>C9257</f>
        <v>0</v>
      </c>
      <c r="F9257" s="42"/>
    </row>
    <row r="9258" spans="1:6">
      <c r="A9258" s="39">
        <f>A9257</f>
        <v>46048</v>
      </c>
      <c r="B9258" s="40"/>
      <c r="C9258" s="40"/>
      <c r="D9258" s="41"/>
      <c r="E9258" s="43">
        <f>C9258</f>
        <v>0</v>
      </c>
      <c r="F9258" s="42"/>
    </row>
    <row r="9259" spans="1:6">
      <c r="A9259" s="39">
        <f>A9258</f>
        <v>46048</v>
      </c>
      <c r="B9259" s="40"/>
      <c r="C9259" s="40"/>
      <c r="D9259" s="41"/>
      <c r="E9259" s="43">
        <f>C9259</f>
        <v>0</v>
      </c>
      <c r="F9259" s="42"/>
    </row>
    <row r="9260" spans="1:6">
      <c r="A9260" s="39">
        <f>A9259</f>
        <v>46048</v>
      </c>
      <c r="B9260" s="40"/>
      <c r="C9260" s="40"/>
      <c r="D9260" s="41"/>
      <c r="E9260" s="43">
        <f>C9260</f>
        <v>0</v>
      </c>
      <c r="F9260" s="42"/>
    </row>
    <row r="9261" spans="1:6">
      <c r="A9261" s="39">
        <f>A9260</f>
        <v>46048</v>
      </c>
      <c r="B9261" s="40"/>
      <c r="C9261" s="40"/>
      <c r="D9261" s="41"/>
      <c r="E9261" s="43">
        <f>C9261</f>
        <v>0</v>
      </c>
      <c r="F9261" s="42"/>
    </row>
    <row r="9262" spans="1:6">
      <c r="A9262" s="39">
        <f>A9261</f>
        <v>46048</v>
      </c>
      <c r="B9262" s="40"/>
      <c r="C9262" s="40"/>
      <c r="D9262" s="41"/>
      <c r="E9262" s="43">
        <f>C9262</f>
        <v>0</v>
      </c>
      <c r="F9262" s="42"/>
    </row>
    <row r="9263" spans="1:6">
      <c r="A9263" s="39">
        <f>A9262</f>
        <v>46048</v>
      </c>
      <c r="B9263" s="40"/>
      <c r="C9263" s="40"/>
      <c r="D9263" s="41"/>
      <c r="E9263" s="43">
        <f>C9263</f>
        <v>0</v>
      </c>
      <c r="F9263" s="42"/>
    </row>
    <row r="9264" spans="1:6">
      <c r="A9264" s="39">
        <f>A9263</f>
        <v>46048</v>
      </c>
      <c r="B9264" s="40"/>
      <c r="C9264" s="40"/>
      <c r="D9264" s="41"/>
      <c r="E9264" s="43">
        <f>C9264</f>
        <v>0</v>
      </c>
      <c r="F9264" s="42"/>
    </row>
    <row r="9265" spans="1:6">
      <c r="A9265" s="39">
        <f>A9264</f>
        <v>46048</v>
      </c>
      <c r="B9265" s="40"/>
      <c r="C9265" s="40"/>
      <c r="D9265" s="41"/>
      <c r="E9265" s="43">
        <f>C9265</f>
        <v>0</v>
      </c>
      <c r="F9265" s="42"/>
    </row>
    <row r="9266" spans="1:6">
      <c r="A9266" s="39">
        <f>A9265</f>
        <v>46048</v>
      </c>
      <c r="B9266" s="40"/>
      <c r="C9266" s="40"/>
      <c r="D9266" s="41"/>
      <c r="E9266" s="43">
        <f>C9266</f>
        <v>0</v>
      </c>
      <c r="F9266" s="42"/>
    </row>
    <row r="9267" spans="1:6">
      <c r="A9267" s="39">
        <f>A9266</f>
        <v>46048</v>
      </c>
      <c r="B9267" s="40"/>
      <c r="C9267" s="40"/>
      <c r="D9267" s="41"/>
      <c r="E9267" s="43">
        <f>C9267</f>
        <v>0</v>
      </c>
      <c r="F9267" s="42"/>
    </row>
    <row r="9268" spans="1:6">
      <c r="A9268" s="39">
        <f>A9267</f>
        <v>46048</v>
      </c>
      <c r="B9268" s="40"/>
      <c r="C9268" s="40"/>
      <c r="D9268" s="41"/>
      <c r="E9268" s="43">
        <f>C9268</f>
        <v>0</v>
      </c>
      <c r="F9268" s="42"/>
    </row>
    <row r="9269" spans="1:6">
      <c r="A9269" s="39">
        <f>A9268</f>
        <v>46048</v>
      </c>
      <c r="B9269" s="40"/>
      <c r="C9269" s="40"/>
      <c r="D9269" s="41"/>
      <c r="E9269" s="43">
        <f>C9269</f>
        <v>0</v>
      </c>
      <c r="F9269" s="42"/>
    </row>
    <row r="9270" spans="1:6">
      <c r="A9270" s="39">
        <f>A9269</f>
        <v>46048</v>
      </c>
      <c r="B9270" s="40"/>
      <c r="C9270" s="40"/>
      <c r="D9270" s="41"/>
      <c r="E9270" s="43">
        <f>C9270</f>
        <v>0</v>
      </c>
      <c r="F9270" s="42"/>
    </row>
    <row r="9271" spans="1:6">
      <c r="A9271" s="39">
        <f>A9270</f>
        <v>46048</v>
      </c>
      <c r="B9271" s="40"/>
      <c r="C9271" s="40"/>
      <c r="D9271" s="41"/>
      <c r="E9271" s="43">
        <f>C9271</f>
        <v>0</v>
      </c>
      <c r="F9271" s="42"/>
    </row>
    <row r="9272" spans="1:6">
      <c r="A9272" s="39">
        <f>A9271</f>
        <v>46048</v>
      </c>
      <c r="B9272" s="40"/>
      <c r="C9272" s="40"/>
      <c r="D9272" s="41"/>
      <c r="E9272" s="43">
        <f>C9272</f>
        <v>0</v>
      </c>
      <c r="F9272" s="42"/>
    </row>
    <row r="9273" spans="1:6">
      <c r="A9273" s="39">
        <f>A9272</f>
        <v>46048</v>
      </c>
      <c r="B9273" s="40"/>
      <c r="C9273" s="40"/>
      <c r="D9273" s="41"/>
      <c r="E9273" s="43">
        <f>C9273</f>
        <v>0</v>
      </c>
      <c r="F9273" s="42"/>
    </row>
    <row r="9274" spans="1:6">
      <c r="A9274" s="39">
        <f>A9273</f>
        <v>46048</v>
      </c>
      <c r="B9274" s="40"/>
      <c r="C9274" s="40"/>
      <c r="D9274" s="41"/>
      <c r="E9274" s="43">
        <f>C9274</f>
        <v>0</v>
      </c>
      <c r="F9274" s="42"/>
    </row>
    <row r="9275" spans="1:6">
      <c r="A9275" s="39">
        <f>A9274</f>
        <v>46048</v>
      </c>
      <c r="B9275" s="40"/>
      <c r="C9275" s="40"/>
      <c r="D9275" s="41"/>
      <c r="E9275" s="43">
        <f>C9275</f>
        <v>0</v>
      </c>
      <c r="F9275" s="42"/>
    </row>
    <row r="9276" spans="1:6">
      <c r="A9276" s="39">
        <f>A9275</f>
        <v>46048</v>
      </c>
      <c r="B9276" s="40"/>
      <c r="C9276" s="40"/>
      <c r="D9276" s="41"/>
      <c r="E9276" s="43">
        <f>C9276</f>
        <v>0</v>
      </c>
      <c r="F9276" s="42"/>
    </row>
    <row r="9277" spans="1:6">
      <c r="A9277" s="39">
        <f>A9276</f>
        <v>46048</v>
      </c>
      <c r="B9277" s="40"/>
      <c r="C9277" s="40"/>
      <c r="D9277" s="41"/>
      <c r="E9277" s="43">
        <f>C9277</f>
        <v>0</v>
      </c>
      <c r="F9277" s="42"/>
    </row>
    <row r="9278" spans="1:6">
      <c r="A9278" s="39">
        <f>A9277</f>
        <v>46048</v>
      </c>
      <c r="B9278" s="40"/>
      <c r="C9278" s="40"/>
      <c r="D9278" s="41"/>
      <c r="E9278" s="43">
        <f>C9278</f>
        <v>0</v>
      </c>
      <c r="F9278" s="42"/>
    </row>
    <row r="9279" spans="1:6">
      <c r="A9279" s="39">
        <f>A9278</f>
        <v>46048</v>
      </c>
      <c r="B9279" s="40"/>
      <c r="C9279" s="40"/>
      <c r="D9279" s="41"/>
      <c r="E9279" s="43">
        <f>C9279</f>
        <v>0</v>
      </c>
      <c r="F9279" s="42"/>
    </row>
    <row r="9280" spans="1:6">
      <c r="A9280" s="39">
        <f>A9279</f>
        <v>46048</v>
      </c>
      <c r="B9280" s="40"/>
      <c r="C9280" s="40"/>
      <c r="D9280" s="41"/>
      <c r="E9280" s="43">
        <f>C9280</f>
        <v>0</v>
      </c>
      <c r="F9280" s="42"/>
    </row>
    <row r="9281" spans="1:6">
      <c r="A9281" s="39">
        <f>A9280</f>
        <v>46048</v>
      </c>
      <c r="B9281" s="40"/>
      <c r="C9281" s="40"/>
      <c r="D9281" s="41"/>
      <c r="E9281" s="43">
        <f>C9281</f>
        <v>0</v>
      </c>
      <c r="F9281" s="42"/>
    </row>
    <row r="9282" spans="1:6">
      <c r="A9282" s="39">
        <f>A9281</f>
        <v>46048</v>
      </c>
      <c r="B9282" s="40"/>
      <c r="C9282" s="40"/>
      <c r="D9282" s="41"/>
      <c r="E9282" s="43">
        <f>C9282</f>
        <v>0</v>
      </c>
      <c r="F9282" s="42"/>
    </row>
    <row r="9283" spans="1:6">
      <c r="A9283" s="39">
        <f>A9282</f>
        <v>46048</v>
      </c>
      <c r="B9283" s="40"/>
      <c r="C9283" s="40"/>
      <c r="D9283" s="41"/>
      <c r="E9283" s="43">
        <f>C9283</f>
        <v>0</v>
      </c>
      <c r="F9283" s="42"/>
    </row>
    <row r="9284" spans="1:6">
      <c r="A9284" s="39">
        <f>A9283</f>
        <v>46048</v>
      </c>
      <c r="B9284" s="40"/>
      <c r="C9284" s="40"/>
      <c r="D9284" s="41"/>
      <c r="E9284" s="43">
        <f>C9284</f>
        <v>0</v>
      </c>
      <c r="F9284" s="42"/>
    </row>
    <row r="9285" spans="1:6">
      <c r="A9285" s="39">
        <f>A9284</f>
        <v>46048</v>
      </c>
      <c r="B9285" s="40"/>
      <c r="C9285" s="40"/>
      <c r="D9285" s="41"/>
      <c r="E9285" s="43">
        <f>C9285</f>
        <v>0</v>
      </c>
      <c r="F9285" s="42"/>
    </row>
    <row r="9286" spans="1:6">
      <c r="A9286" s="39">
        <f>A9285</f>
        <v>46048</v>
      </c>
      <c r="B9286" s="40"/>
      <c r="C9286" s="40"/>
      <c r="D9286" s="41"/>
      <c r="E9286" s="43">
        <f>C9286</f>
        <v>0</v>
      </c>
      <c r="F9286" s="42"/>
    </row>
    <row r="9287" spans="1:6">
      <c r="A9287" s="39">
        <f>A9286</f>
        <v>46048</v>
      </c>
      <c r="B9287" s="40"/>
      <c r="C9287" s="40"/>
      <c r="D9287" s="41"/>
      <c r="E9287" s="43">
        <f>C9287</f>
        <v>0</v>
      </c>
      <c r="F9287" s="42"/>
    </row>
    <row r="9288" spans="1:6">
      <c r="A9288" s="39">
        <f>A9287</f>
        <v>46048</v>
      </c>
      <c r="B9288" s="40"/>
      <c r="C9288" s="40"/>
      <c r="D9288" s="41"/>
      <c r="E9288" s="43">
        <f>C9288</f>
        <v>0</v>
      </c>
      <c r="F9288" s="42"/>
    </row>
    <row r="9289" spans="1:6">
      <c r="A9289" s="39">
        <f>A9288</f>
        <v>46048</v>
      </c>
      <c r="B9289" s="40"/>
      <c r="C9289" s="40"/>
      <c r="D9289" s="41"/>
      <c r="E9289" s="43">
        <f>C9289</f>
        <v>0</v>
      </c>
      <c r="F9289" s="42"/>
    </row>
    <row r="9290" spans="1:6">
      <c r="A9290" s="39">
        <f>A9289</f>
        <v>46048</v>
      </c>
      <c r="B9290" s="40"/>
      <c r="C9290" s="40"/>
      <c r="D9290" s="41"/>
      <c r="E9290" s="43">
        <f>C9290</f>
        <v>0</v>
      </c>
      <c r="F9290" s="42"/>
    </row>
    <row r="9291" spans="1:6">
      <c r="A9291" s="39">
        <f>A9290</f>
        <v>46048</v>
      </c>
      <c r="B9291" s="40"/>
      <c r="C9291" s="40"/>
      <c r="D9291" s="41"/>
      <c r="E9291" s="43">
        <f>C9291</f>
        <v>0</v>
      </c>
      <c r="F9291" s="42"/>
    </row>
    <row r="9292" spans="1:6">
      <c r="A9292" s="39">
        <f>A9291</f>
        <v>46048</v>
      </c>
      <c r="B9292" s="40"/>
      <c r="C9292" s="40"/>
      <c r="D9292" s="41"/>
      <c r="E9292" s="43">
        <f>C9292</f>
        <v>0</v>
      </c>
      <c r="F9292" s="42"/>
    </row>
    <row r="9293" spans="1:6">
      <c r="A9293" s="39">
        <f>A9292</f>
        <v>46048</v>
      </c>
      <c r="B9293" s="40"/>
      <c r="C9293" s="40"/>
      <c r="D9293" s="41"/>
      <c r="E9293" s="43">
        <f>C9293</f>
        <v>0</v>
      </c>
      <c r="F9293" s="42"/>
    </row>
    <row r="9294" spans="1:6">
      <c r="A9294" s="39">
        <f>A9293</f>
        <v>46048</v>
      </c>
      <c r="B9294" s="40"/>
      <c r="C9294" s="40"/>
      <c r="D9294" s="41"/>
      <c r="E9294" s="43">
        <f>C9294</f>
        <v>0</v>
      </c>
      <c r="F9294" s="42"/>
    </row>
    <row r="9295" spans="1:6">
      <c r="A9295" s="39">
        <f>A9294</f>
        <v>46048</v>
      </c>
      <c r="B9295" s="40"/>
      <c r="C9295" s="40"/>
      <c r="D9295" s="41"/>
      <c r="E9295" s="43">
        <f>C9295</f>
        <v>0</v>
      </c>
      <c r="F9295" s="42"/>
    </row>
    <row r="9296" spans="1:6">
      <c r="A9296" s="39">
        <f>A9295</f>
        <v>46048</v>
      </c>
      <c r="B9296" s="40"/>
      <c r="C9296" s="40"/>
      <c r="D9296" s="41"/>
      <c r="E9296" s="43">
        <f>C9296</f>
        <v>0</v>
      </c>
      <c r="F9296" s="42"/>
    </row>
    <row r="9297" spans="1:6">
      <c r="A9297" s="39">
        <f>A9296</f>
        <v>46048</v>
      </c>
      <c r="B9297" s="40"/>
      <c r="C9297" s="40"/>
      <c r="D9297" s="41"/>
      <c r="E9297" s="43">
        <f>C9297</f>
        <v>0</v>
      </c>
      <c r="F9297" s="42"/>
    </row>
    <row r="9298" spans="1:6">
      <c r="A9298" s="39">
        <f>A9297</f>
        <v>46048</v>
      </c>
      <c r="B9298" s="40"/>
      <c r="C9298" s="40"/>
      <c r="D9298" s="41"/>
      <c r="E9298" s="43">
        <f>C9298</f>
        <v>0</v>
      </c>
      <c r="F9298" s="42"/>
    </row>
    <row r="9299" spans="1:6">
      <c r="A9299" s="39">
        <f>A9298</f>
        <v>46048</v>
      </c>
      <c r="B9299" s="40"/>
      <c r="C9299" s="40"/>
      <c r="D9299" s="41"/>
      <c r="E9299" s="43">
        <f>C9299</f>
        <v>0</v>
      </c>
      <c r="F9299" s="42"/>
    </row>
    <row r="9300" spans="1:6">
      <c r="A9300" s="39">
        <f>A9299</f>
        <v>46048</v>
      </c>
      <c r="B9300" s="40"/>
      <c r="C9300" s="40"/>
      <c r="D9300" s="41"/>
      <c r="E9300" s="43">
        <f>C9300</f>
        <v>0</v>
      </c>
      <c r="F9300" s="42"/>
    </row>
    <row r="9301" spans="1:6">
      <c r="A9301" s="39">
        <f>A9300</f>
        <v>46048</v>
      </c>
      <c r="B9301" s="40"/>
      <c r="C9301" s="40"/>
      <c r="D9301" s="41"/>
      <c r="E9301" s="43">
        <f>C9301</f>
        <v>0</v>
      </c>
      <c r="F9301" s="42"/>
    </row>
    <row r="9302" spans="1:6">
      <c r="A9302" s="39">
        <f>A9301</f>
        <v>46048</v>
      </c>
      <c r="B9302" s="40"/>
      <c r="C9302" s="40"/>
      <c r="D9302" s="41"/>
      <c r="E9302" s="43">
        <f>C9302</f>
        <v>0</v>
      </c>
      <c r="F9302" s="42"/>
    </row>
    <row r="9303" spans="1:6">
      <c r="A9303" s="39">
        <f>A9302</f>
        <v>46048</v>
      </c>
      <c r="B9303" s="40"/>
      <c r="C9303" s="40"/>
      <c r="D9303" s="41"/>
      <c r="E9303" s="43">
        <f>C9303</f>
        <v>0</v>
      </c>
      <c r="F9303" s="42"/>
    </row>
    <row r="9304" spans="1:6">
      <c r="A9304" s="39">
        <f>A9303</f>
        <v>46048</v>
      </c>
      <c r="B9304" s="40"/>
      <c r="C9304" s="40"/>
      <c r="D9304" s="41"/>
      <c r="E9304" s="43">
        <f>C9304</f>
        <v>0</v>
      </c>
      <c r="F9304" s="42"/>
    </row>
    <row r="9305" spans="1:6">
      <c r="A9305" s="39">
        <f>A9304</f>
        <v>46048</v>
      </c>
      <c r="B9305" s="40"/>
      <c r="C9305" s="40"/>
      <c r="D9305" s="41"/>
      <c r="E9305" s="43">
        <f>C9305</f>
        <v>0</v>
      </c>
      <c r="F9305" s="42"/>
    </row>
    <row r="9306" spans="1:6">
      <c r="A9306" s="39">
        <f>A9305</f>
        <v>46048</v>
      </c>
      <c r="B9306" s="40"/>
      <c r="C9306" s="40"/>
      <c r="D9306" s="41"/>
      <c r="E9306" s="43">
        <f>C9306</f>
        <v>0</v>
      </c>
      <c r="F9306" s="42"/>
    </row>
    <row r="9307" spans="1:6">
      <c r="A9307" s="39">
        <f>A9306</f>
        <v>46048</v>
      </c>
      <c r="B9307" s="40"/>
      <c r="C9307" s="40"/>
      <c r="D9307" s="41"/>
      <c r="E9307" s="43">
        <f>C9307</f>
        <v>0</v>
      </c>
      <c r="F9307" s="42"/>
    </row>
    <row r="9308" spans="1:6">
      <c r="A9308" s="39">
        <f>A9307</f>
        <v>46048</v>
      </c>
      <c r="B9308" s="40"/>
      <c r="C9308" s="40"/>
      <c r="D9308" s="41"/>
      <c r="E9308" s="43">
        <f>C9308</f>
        <v>0</v>
      </c>
      <c r="F9308" s="42"/>
    </row>
    <row r="9309" spans="1:6">
      <c r="A9309" s="39">
        <f>A9308</f>
        <v>46048</v>
      </c>
      <c r="B9309" s="40"/>
      <c r="C9309" s="40"/>
      <c r="D9309" s="41"/>
      <c r="E9309" s="43">
        <f>C9309</f>
        <v>0</v>
      </c>
      <c r="F9309" s="42"/>
    </row>
    <row r="9310" spans="1:6">
      <c r="A9310" s="39">
        <f>A9309</f>
        <v>46048</v>
      </c>
      <c r="B9310" s="40"/>
      <c r="C9310" s="40"/>
      <c r="D9310" s="41"/>
      <c r="E9310" s="43">
        <f>C9310</f>
        <v>0</v>
      </c>
      <c r="F9310" s="42"/>
    </row>
    <row r="9311" spans="1:6">
      <c r="A9311" s="39">
        <f>A9310</f>
        <v>46048</v>
      </c>
      <c r="B9311" s="40"/>
      <c r="C9311" s="40"/>
      <c r="D9311" s="41"/>
      <c r="E9311" s="43">
        <f>C9311</f>
        <v>0</v>
      </c>
      <c r="F9311" s="42"/>
    </row>
    <row r="9312" spans="1:6">
      <c r="A9312" s="39">
        <f>A9311</f>
        <v>46048</v>
      </c>
      <c r="B9312" s="40"/>
      <c r="C9312" s="40"/>
      <c r="D9312" s="41"/>
      <c r="E9312" s="43">
        <f>C9312</f>
        <v>0</v>
      </c>
      <c r="F9312" s="42"/>
    </row>
    <row r="9313" spans="1:6">
      <c r="A9313" s="39">
        <f>A9312</f>
        <v>46048</v>
      </c>
      <c r="B9313" s="40"/>
      <c r="C9313" s="40"/>
      <c r="D9313" s="41"/>
      <c r="E9313" s="43">
        <f>C9313</f>
        <v>0</v>
      </c>
      <c r="F9313" s="42"/>
    </row>
    <row r="9314" spans="1:6">
      <c r="A9314" s="39">
        <f>A9313</f>
        <v>46048</v>
      </c>
      <c r="B9314" s="40"/>
      <c r="C9314" s="40"/>
      <c r="D9314" s="41"/>
      <c r="E9314" s="43">
        <f>C9314</f>
        <v>0</v>
      </c>
      <c r="F9314" s="42"/>
    </row>
    <row r="9315" spans="1:6">
      <c r="A9315" s="39">
        <f>A9314</f>
        <v>46048</v>
      </c>
      <c r="B9315" s="40"/>
      <c r="C9315" s="40"/>
      <c r="D9315" s="41"/>
      <c r="E9315" s="43">
        <f>C9315</f>
        <v>0</v>
      </c>
      <c r="F9315" s="42"/>
    </row>
    <row r="9316" spans="1:6">
      <c r="A9316" s="39">
        <f>A9315</f>
        <v>46048</v>
      </c>
      <c r="B9316" s="40"/>
      <c r="C9316" s="40"/>
      <c r="D9316" s="41"/>
      <c r="E9316" s="43">
        <f>C9316</f>
        <v>0</v>
      </c>
      <c r="F9316" s="42"/>
    </row>
    <row r="9317" spans="1:6">
      <c r="A9317" s="39">
        <f>A9316</f>
        <v>46048</v>
      </c>
      <c r="B9317" s="40"/>
      <c r="C9317" s="40"/>
      <c r="D9317" s="41"/>
      <c r="E9317" s="43">
        <f>C9317</f>
        <v>0</v>
      </c>
      <c r="F9317" s="42"/>
    </row>
    <row r="9318" spans="1:6">
      <c r="A9318" s="39">
        <f>A9317</f>
        <v>46048</v>
      </c>
      <c r="B9318" s="40"/>
      <c r="C9318" s="40"/>
      <c r="D9318" s="41"/>
      <c r="E9318" s="43">
        <f>C9318</f>
        <v>0</v>
      </c>
      <c r="F9318" s="42"/>
    </row>
    <row r="9319" spans="1:6">
      <c r="A9319" s="39">
        <f>A9318</f>
        <v>46048</v>
      </c>
      <c r="B9319" s="40"/>
      <c r="C9319" s="40"/>
      <c r="D9319" s="41"/>
      <c r="E9319" s="43">
        <f>C9319</f>
        <v>0</v>
      </c>
      <c r="F9319" s="42"/>
    </row>
    <row r="9320" spans="1:6">
      <c r="A9320" s="39">
        <f>A9319</f>
        <v>46048</v>
      </c>
      <c r="B9320" s="40"/>
      <c r="C9320" s="40"/>
      <c r="D9320" s="41"/>
      <c r="E9320" s="43">
        <f>C9320</f>
        <v>0</v>
      </c>
      <c r="F9320" s="42"/>
    </row>
    <row r="9321" spans="1:6">
      <c r="A9321" s="39">
        <f>A9320</f>
        <v>46048</v>
      </c>
      <c r="B9321" s="40"/>
      <c r="C9321" s="40"/>
      <c r="D9321" s="41"/>
      <c r="E9321" s="43">
        <f>C9321</f>
        <v>0</v>
      </c>
      <c r="F9321" s="42"/>
    </row>
    <row r="9322" spans="1:6">
      <c r="A9322" s="39">
        <f>A9321</f>
        <v>46048</v>
      </c>
      <c r="B9322" s="40"/>
      <c r="C9322" s="40"/>
      <c r="D9322" s="41"/>
      <c r="E9322" s="43">
        <f>C9322</f>
        <v>0</v>
      </c>
      <c r="F9322" s="42"/>
    </row>
    <row r="9323" spans="1:6">
      <c r="A9323" s="39">
        <f>A9322</f>
        <v>46048</v>
      </c>
      <c r="B9323" s="40"/>
      <c r="C9323" s="40"/>
      <c r="D9323" s="41"/>
      <c r="E9323" s="43">
        <f>C9323</f>
        <v>0</v>
      </c>
      <c r="F9323" s="42"/>
    </row>
    <row r="9324" spans="1:6">
      <c r="A9324" s="39">
        <f>A9323</f>
        <v>46048</v>
      </c>
      <c r="B9324" s="40"/>
      <c r="C9324" s="40"/>
      <c r="D9324" s="41"/>
      <c r="E9324" s="43">
        <f>C9324</f>
        <v>0</v>
      </c>
      <c r="F9324" s="42"/>
    </row>
    <row r="9325" spans="1:6">
      <c r="A9325" s="39">
        <f>A9324</f>
        <v>46048</v>
      </c>
      <c r="B9325" s="40"/>
      <c r="C9325" s="40"/>
      <c r="D9325" s="41"/>
      <c r="E9325" s="43">
        <f>C9325</f>
        <v>0</v>
      </c>
      <c r="F9325" s="42"/>
    </row>
    <row r="9326" spans="1:6">
      <c r="A9326" s="39">
        <f>A9325</f>
        <v>46048</v>
      </c>
      <c r="B9326" s="40"/>
      <c r="C9326" s="40"/>
      <c r="D9326" s="41"/>
      <c r="E9326" s="43">
        <f>C9326</f>
        <v>0</v>
      </c>
      <c r="F9326" s="42"/>
    </row>
    <row r="9327" spans="1:6">
      <c r="A9327" s="39">
        <f>A9326</f>
        <v>46048</v>
      </c>
      <c r="B9327" s="40"/>
      <c r="C9327" s="40"/>
      <c r="D9327" s="41"/>
      <c r="E9327" s="43">
        <f>C9327</f>
        <v>0</v>
      </c>
      <c r="F9327" s="42"/>
    </row>
    <row r="9328" spans="1:6">
      <c r="A9328" s="39">
        <f>A9327</f>
        <v>46048</v>
      </c>
      <c r="B9328" s="40"/>
      <c r="C9328" s="40"/>
      <c r="D9328" s="41"/>
      <c r="E9328" s="43">
        <f>C9328</f>
        <v>0</v>
      </c>
      <c r="F9328" s="42"/>
    </row>
    <row r="9329" spans="1:6">
      <c r="A9329" s="39">
        <f>A9328</f>
        <v>46048</v>
      </c>
      <c r="B9329" s="40"/>
      <c r="C9329" s="40"/>
      <c r="D9329" s="41"/>
      <c r="E9329" s="43">
        <f>C9329</f>
        <v>0</v>
      </c>
      <c r="F9329" s="42"/>
    </row>
    <row r="9330" spans="1:6">
      <c r="A9330" s="39">
        <f>A9329</f>
        <v>46048</v>
      </c>
      <c r="B9330" s="40"/>
      <c r="C9330" s="40"/>
      <c r="D9330" s="41"/>
      <c r="E9330" s="43">
        <f>C9330</f>
        <v>0</v>
      </c>
      <c r="F9330" s="42"/>
    </row>
    <row r="9331" spans="1:6">
      <c r="A9331" s="39">
        <f>A9330</f>
        <v>46048</v>
      </c>
      <c r="B9331" s="40"/>
      <c r="C9331" s="40"/>
      <c r="D9331" s="41"/>
      <c r="E9331" s="43">
        <f>C9331</f>
        <v>0</v>
      </c>
      <c r="F9331" s="42"/>
    </row>
    <row r="9332" spans="1:6">
      <c r="A9332" s="39">
        <f>A9331</f>
        <v>46048</v>
      </c>
      <c r="B9332" s="40"/>
      <c r="C9332" s="40"/>
      <c r="D9332" s="41"/>
      <c r="E9332" s="43">
        <f>C9332</f>
        <v>0</v>
      </c>
      <c r="F9332" s="42"/>
    </row>
    <row r="9333" spans="1:6">
      <c r="A9333" s="39">
        <f>A9332</f>
        <v>46048</v>
      </c>
      <c r="B9333" s="40"/>
      <c r="C9333" s="40"/>
      <c r="D9333" s="41"/>
      <c r="E9333" s="43">
        <f>C9333</f>
        <v>0</v>
      </c>
      <c r="F9333" s="42"/>
    </row>
    <row r="9334" spans="1:6">
      <c r="A9334" s="39">
        <f>A9333</f>
        <v>46048</v>
      </c>
      <c r="B9334" s="40"/>
      <c r="C9334" s="40"/>
      <c r="D9334" s="41"/>
      <c r="E9334" s="43">
        <f>C9334</f>
        <v>0</v>
      </c>
      <c r="F9334" s="42"/>
    </row>
    <row r="9335" spans="1:6">
      <c r="A9335" s="39">
        <f>A9334</f>
        <v>46048</v>
      </c>
      <c r="B9335" s="40"/>
      <c r="C9335" s="40"/>
      <c r="D9335" s="41"/>
      <c r="E9335" s="43">
        <f>C9335</f>
        <v>0</v>
      </c>
      <c r="F9335" s="42"/>
    </row>
    <row r="9336" spans="1:6">
      <c r="A9336" s="39">
        <f>A9335</f>
        <v>46048</v>
      </c>
      <c r="B9336" s="40"/>
      <c r="C9336" s="40"/>
      <c r="D9336" s="41"/>
      <c r="E9336" s="43">
        <f>C9336</f>
        <v>0</v>
      </c>
      <c r="F9336" s="42"/>
    </row>
    <row r="9337" spans="1:6">
      <c r="A9337" s="39">
        <f>A9336</f>
        <v>46048</v>
      </c>
      <c r="B9337" s="40"/>
      <c r="C9337" s="40"/>
      <c r="D9337" s="41"/>
      <c r="E9337" s="43">
        <f>C9337</f>
        <v>0</v>
      </c>
      <c r="F9337" s="42"/>
    </row>
    <row r="9338" spans="1:6">
      <c r="A9338" s="39">
        <f>A9337</f>
        <v>46048</v>
      </c>
      <c r="B9338" s="40"/>
      <c r="C9338" s="40"/>
      <c r="D9338" s="41"/>
      <c r="E9338" s="43">
        <f>C9338</f>
        <v>0</v>
      </c>
      <c r="F9338" s="42"/>
    </row>
    <row r="9339" spans="1:6">
      <c r="A9339" s="39">
        <f>A9338</f>
        <v>46048</v>
      </c>
      <c r="B9339" s="40"/>
      <c r="C9339" s="40"/>
      <c r="D9339" s="41"/>
      <c r="E9339" s="43">
        <f>C9339</f>
        <v>0</v>
      </c>
      <c r="F9339" s="42"/>
    </row>
    <row r="9340" spans="1:6">
      <c r="A9340" s="39">
        <f>A9339</f>
        <v>46048</v>
      </c>
      <c r="B9340" s="40"/>
      <c r="C9340" s="40"/>
      <c r="D9340" s="41"/>
      <c r="E9340" s="43">
        <f>C9340</f>
        <v>0</v>
      </c>
      <c r="F9340" s="42"/>
    </row>
    <row r="9341" spans="1:6">
      <c r="A9341" s="39">
        <f>A9340</f>
        <v>46048</v>
      </c>
      <c r="B9341" s="40"/>
      <c r="C9341" s="40"/>
      <c r="D9341" s="41"/>
      <c r="E9341" s="43">
        <f>C9341</f>
        <v>0</v>
      </c>
      <c r="F9341" s="42"/>
    </row>
    <row r="9342" spans="1:6">
      <c r="A9342" s="39">
        <f>A9341</f>
        <v>46048</v>
      </c>
      <c r="B9342" s="40"/>
      <c r="C9342" s="40"/>
      <c r="D9342" s="41"/>
      <c r="E9342" s="43">
        <f>C9342</f>
        <v>0</v>
      </c>
      <c r="F9342" s="42"/>
    </row>
    <row r="9343" spans="1:6">
      <c r="A9343" s="39">
        <f>A9342</f>
        <v>46048</v>
      </c>
      <c r="B9343" s="40"/>
      <c r="C9343" s="40"/>
      <c r="D9343" s="41"/>
      <c r="E9343" s="43">
        <f>C9343</f>
        <v>0</v>
      </c>
      <c r="F9343" s="42"/>
    </row>
    <row r="9344" spans="1:6">
      <c r="A9344" s="39">
        <f>A9343</f>
        <v>46048</v>
      </c>
      <c r="B9344" s="40"/>
      <c r="C9344" s="40"/>
      <c r="D9344" s="41"/>
      <c r="E9344" s="43">
        <f>C9344</f>
        <v>0</v>
      </c>
      <c r="F9344" s="42"/>
    </row>
    <row r="9345" spans="1:6">
      <c r="A9345" s="39">
        <f>A9344</f>
        <v>46048</v>
      </c>
      <c r="B9345" s="40"/>
      <c r="C9345" s="40"/>
      <c r="D9345" s="41"/>
      <c r="E9345" s="43">
        <f>C9345</f>
        <v>0</v>
      </c>
      <c r="F9345" s="42"/>
    </row>
    <row r="9346" spans="1:6">
      <c r="A9346" s="39">
        <f>A9345</f>
        <v>46048</v>
      </c>
      <c r="B9346" s="40"/>
      <c r="C9346" s="40"/>
      <c r="D9346" s="41"/>
      <c r="E9346" s="43">
        <f>C9346</f>
        <v>0</v>
      </c>
      <c r="F9346" s="42"/>
    </row>
    <row r="9347" spans="1:6">
      <c r="A9347" s="39">
        <f>A9346</f>
        <v>46048</v>
      </c>
      <c r="B9347" s="40"/>
      <c r="C9347" s="40"/>
      <c r="D9347" s="41"/>
      <c r="E9347" s="43">
        <f>C9347</f>
        <v>0</v>
      </c>
      <c r="F9347" s="42"/>
    </row>
    <row r="9348" spans="1:6">
      <c r="A9348" s="39">
        <f>A9347</f>
        <v>46048</v>
      </c>
      <c r="B9348" s="40"/>
      <c r="C9348" s="40"/>
      <c r="D9348" s="41"/>
      <c r="E9348" s="43">
        <f>C9348</f>
        <v>0</v>
      </c>
      <c r="F9348" s="42"/>
    </row>
    <row r="9349" spans="1:6">
      <c r="A9349" s="39">
        <f>A9348</f>
        <v>46048</v>
      </c>
      <c r="B9349" s="40"/>
      <c r="C9349" s="40"/>
      <c r="D9349" s="41"/>
      <c r="E9349" s="43">
        <f>C9349</f>
        <v>0</v>
      </c>
      <c r="F9349" s="42"/>
    </row>
    <row r="9350" spans="1:6">
      <c r="A9350" s="39">
        <f>A9349</f>
        <v>46048</v>
      </c>
      <c r="B9350" s="40"/>
      <c r="C9350" s="40"/>
      <c r="D9350" s="41"/>
      <c r="E9350" s="43">
        <f>C9350</f>
        <v>0</v>
      </c>
      <c r="F9350" s="42"/>
    </row>
    <row r="9351" spans="1:6">
      <c r="A9351" s="39">
        <f>A9350</f>
        <v>46048</v>
      </c>
      <c r="B9351" s="40"/>
      <c r="C9351" s="40"/>
      <c r="D9351" s="41"/>
      <c r="E9351" s="43">
        <f>C9351</f>
        <v>0</v>
      </c>
      <c r="F9351" s="42"/>
    </row>
    <row r="9352" spans="1:6">
      <c r="A9352" s="39">
        <f>A9351</f>
        <v>46048</v>
      </c>
      <c r="B9352" s="40"/>
      <c r="C9352" s="40"/>
      <c r="D9352" s="41"/>
      <c r="E9352" s="43">
        <f>C9352</f>
        <v>0</v>
      </c>
      <c r="F9352" s="42"/>
    </row>
    <row r="9353" spans="1:6">
      <c r="A9353" s="39">
        <f>A9352</f>
        <v>46048</v>
      </c>
      <c r="B9353" s="40"/>
      <c r="C9353" s="40"/>
      <c r="D9353" s="41"/>
      <c r="E9353" s="43">
        <f>C9353</f>
        <v>0</v>
      </c>
      <c r="F9353" s="42"/>
    </row>
    <row r="9354" spans="1:6">
      <c r="A9354" s="39">
        <f>A9353</f>
        <v>46048</v>
      </c>
      <c r="B9354" s="40"/>
      <c r="C9354" s="40"/>
      <c r="D9354" s="41"/>
      <c r="E9354" s="43">
        <f>C9354</f>
        <v>0</v>
      </c>
      <c r="F9354" s="42"/>
    </row>
    <row r="9355" spans="1:6">
      <c r="A9355" s="39">
        <f>A9354</f>
        <v>46048</v>
      </c>
      <c r="B9355" s="40"/>
      <c r="C9355" s="40"/>
      <c r="D9355" s="41"/>
      <c r="E9355" s="43">
        <f>C9355</f>
        <v>0</v>
      </c>
      <c r="F9355" s="42"/>
    </row>
    <row r="9356" spans="1:6">
      <c r="A9356" s="39">
        <f>A9355</f>
        <v>46048</v>
      </c>
      <c r="B9356" s="40"/>
      <c r="C9356" s="40"/>
      <c r="D9356" s="41"/>
      <c r="E9356" s="43">
        <f>C9356</f>
        <v>0</v>
      </c>
      <c r="F9356" s="42"/>
    </row>
    <row r="9357" spans="1:6">
      <c r="A9357" s="39">
        <f>A9356</f>
        <v>46048</v>
      </c>
      <c r="B9357" s="40"/>
      <c r="C9357" s="40"/>
      <c r="D9357" s="41"/>
      <c r="E9357" s="43">
        <f>C9357</f>
        <v>0</v>
      </c>
      <c r="F9357" s="42"/>
    </row>
    <row r="9358" spans="1:6">
      <c r="A9358" s="39">
        <f>A9357</f>
        <v>46048</v>
      </c>
      <c r="B9358" s="40"/>
      <c r="C9358" s="40"/>
      <c r="D9358" s="41"/>
      <c r="E9358" s="43">
        <f>C9358</f>
        <v>0</v>
      </c>
      <c r="F9358" s="42"/>
    </row>
    <row r="9359" spans="1:6">
      <c r="A9359" s="39">
        <f>A9358</f>
        <v>46048</v>
      </c>
      <c r="B9359" s="40"/>
      <c r="C9359" s="40"/>
      <c r="D9359" s="41"/>
      <c r="E9359" s="43">
        <f>C9359</f>
        <v>0</v>
      </c>
      <c r="F9359" s="42"/>
    </row>
    <row r="9360" spans="1:6">
      <c r="A9360" s="39">
        <f>A9359</f>
        <v>46048</v>
      </c>
      <c r="B9360" s="40"/>
      <c r="C9360" s="40"/>
      <c r="D9360" s="41"/>
      <c r="E9360" s="43">
        <f>C9360</f>
        <v>0</v>
      </c>
      <c r="F9360" s="42"/>
    </row>
    <row r="9361" spans="1:6">
      <c r="A9361" s="39">
        <f>A9360</f>
        <v>46048</v>
      </c>
      <c r="B9361" s="40"/>
      <c r="C9361" s="40"/>
      <c r="D9361" s="41"/>
      <c r="E9361" s="43">
        <f>C9361</f>
        <v>0</v>
      </c>
      <c r="F9361" s="42"/>
    </row>
    <row r="9362" spans="1:6">
      <c r="A9362" s="39">
        <f>A9361</f>
        <v>46048</v>
      </c>
      <c r="B9362" s="40"/>
      <c r="C9362" s="40"/>
      <c r="D9362" s="41"/>
      <c r="E9362" s="43">
        <f>C9362</f>
        <v>0</v>
      </c>
      <c r="F9362" s="42"/>
    </row>
    <row r="9363" spans="1:6">
      <c r="A9363" s="39">
        <f>A9362</f>
        <v>46048</v>
      </c>
      <c r="B9363" s="40"/>
      <c r="C9363" s="40"/>
      <c r="D9363" s="41"/>
      <c r="E9363" s="43">
        <f>C9363</f>
        <v>0</v>
      </c>
      <c r="F9363" s="42"/>
    </row>
    <row r="9364" spans="1:6">
      <c r="A9364" s="39">
        <f>A9363</f>
        <v>46048</v>
      </c>
      <c r="B9364" s="40"/>
      <c r="C9364" s="40"/>
      <c r="D9364" s="41"/>
      <c r="E9364" s="43">
        <f>C9364</f>
        <v>0</v>
      </c>
      <c r="F9364" s="42"/>
    </row>
    <row r="9365" spans="1:6">
      <c r="A9365" s="39">
        <f>A9364</f>
        <v>46048</v>
      </c>
      <c r="B9365" s="40"/>
      <c r="C9365" s="40"/>
      <c r="D9365" s="41"/>
      <c r="E9365" s="43">
        <f>C9365</f>
        <v>0</v>
      </c>
      <c r="F9365" s="42"/>
    </row>
    <row r="9366" spans="1:6">
      <c r="A9366" s="39">
        <f>A9365</f>
        <v>46048</v>
      </c>
      <c r="B9366" s="40"/>
      <c r="C9366" s="40"/>
      <c r="D9366" s="41"/>
      <c r="E9366" s="43">
        <f>C9366</f>
        <v>0</v>
      </c>
      <c r="F9366" s="42"/>
    </row>
    <row r="9367" spans="1:6">
      <c r="A9367" s="39">
        <f>A9366</f>
        <v>46048</v>
      </c>
      <c r="B9367" s="40"/>
      <c r="C9367" s="40"/>
      <c r="D9367" s="41"/>
      <c r="E9367" s="43">
        <f>C9367</f>
        <v>0</v>
      </c>
      <c r="F9367" s="42"/>
    </row>
    <row r="9368" spans="1:6">
      <c r="A9368" s="39">
        <f>A9367</f>
        <v>46048</v>
      </c>
      <c r="B9368" s="40"/>
      <c r="C9368" s="40"/>
      <c r="D9368" s="41"/>
      <c r="E9368" s="43">
        <f>C9368</f>
        <v>0</v>
      </c>
      <c r="F9368" s="42"/>
    </row>
    <row r="9369" spans="1:6">
      <c r="A9369" s="39">
        <f>A9368</f>
        <v>46048</v>
      </c>
      <c r="B9369" s="40"/>
      <c r="C9369" s="40"/>
      <c r="D9369" s="41"/>
      <c r="E9369" s="43">
        <f>C9369</f>
        <v>0</v>
      </c>
      <c r="F9369" s="42"/>
    </row>
    <row r="9370" spans="1:6">
      <c r="A9370" s="39">
        <f>A9369</f>
        <v>46048</v>
      </c>
      <c r="B9370" s="40"/>
      <c r="C9370" s="40"/>
      <c r="D9370" s="41"/>
      <c r="E9370" s="43">
        <f>C9370</f>
        <v>0</v>
      </c>
      <c r="F9370" s="42"/>
    </row>
    <row r="9371" spans="1:6">
      <c r="A9371" s="39">
        <f>A9370</f>
        <v>46048</v>
      </c>
      <c r="B9371" s="40"/>
      <c r="C9371" s="40"/>
      <c r="D9371" s="41"/>
      <c r="E9371" s="43">
        <f>C9371</f>
        <v>0</v>
      </c>
      <c r="F9371" s="42"/>
    </row>
    <row r="9372" spans="1:6">
      <c r="A9372" s="39">
        <f>A9371</f>
        <v>46048</v>
      </c>
      <c r="B9372" s="40"/>
      <c r="C9372" s="40"/>
      <c r="D9372" s="41"/>
      <c r="E9372" s="43">
        <f>C9372</f>
        <v>0</v>
      </c>
      <c r="F9372" s="42"/>
    </row>
    <row r="9373" spans="1:6">
      <c r="A9373" s="39">
        <f>A9372</f>
        <v>46048</v>
      </c>
      <c r="B9373" s="40"/>
      <c r="C9373" s="40"/>
      <c r="D9373" s="41"/>
      <c r="E9373" s="43">
        <f>C9373</f>
        <v>0</v>
      </c>
      <c r="F9373" s="42"/>
    </row>
    <row r="9374" spans="1:6">
      <c r="A9374" s="39">
        <f>A9373</f>
        <v>46048</v>
      </c>
      <c r="B9374" s="40"/>
      <c r="C9374" s="40"/>
      <c r="D9374" s="41"/>
      <c r="E9374" s="43">
        <f>C9374</f>
        <v>0</v>
      </c>
      <c r="F9374" s="42"/>
    </row>
    <row r="9375" spans="1:6">
      <c r="A9375" s="39">
        <f>A9374</f>
        <v>46048</v>
      </c>
      <c r="B9375" s="40"/>
      <c r="C9375" s="40"/>
      <c r="D9375" s="41"/>
      <c r="E9375" s="43">
        <f>C9375</f>
        <v>0</v>
      </c>
      <c r="F9375" s="42"/>
    </row>
    <row r="9376" spans="1:6">
      <c r="A9376" s="39">
        <f>A9375</f>
        <v>46048</v>
      </c>
      <c r="B9376" s="40"/>
      <c r="C9376" s="40"/>
      <c r="D9376" s="41"/>
      <c r="E9376" s="43">
        <f>C9376</f>
        <v>0</v>
      </c>
      <c r="F9376" s="42"/>
    </row>
    <row r="9377" spans="1:6">
      <c r="A9377" s="39">
        <f>A9376</f>
        <v>46048</v>
      </c>
      <c r="B9377" s="40"/>
      <c r="C9377" s="40"/>
      <c r="D9377" s="41"/>
      <c r="E9377" s="43">
        <f>C9377</f>
        <v>0</v>
      </c>
      <c r="F9377" s="42"/>
    </row>
    <row r="9378" spans="1:6">
      <c r="A9378" s="39">
        <f>A9377</f>
        <v>46048</v>
      </c>
      <c r="B9378" s="40"/>
      <c r="C9378" s="40"/>
      <c r="D9378" s="41"/>
      <c r="E9378" s="43">
        <f>C9378</f>
        <v>0</v>
      </c>
      <c r="F9378" s="42"/>
    </row>
    <row r="9379" spans="1:6">
      <c r="A9379" s="39">
        <f>A9378</f>
        <v>46048</v>
      </c>
      <c r="B9379" s="40"/>
      <c r="C9379" s="40"/>
      <c r="D9379" s="41"/>
      <c r="E9379" s="43">
        <f>C9379</f>
        <v>0</v>
      </c>
      <c r="F9379" s="42"/>
    </row>
    <row r="9380" spans="1:6">
      <c r="A9380" s="39">
        <f>A9379</f>
        <v>46048</v>
      </c>
      <c r="B9380" s="40"/>
      <c r="C9380" s="40"/>
      <c r="D9380" s="41"/>
      <c r="E9380" s="43">
        <f>C9380</f>
        <v>0</v>
      </c>
      <c r="F9380" s="42"/>
    </row>
    <row r="9381" spans="1:6">
      <c r="A9381" s="39">
        <f>A9380</f>
        <v>46048</v>
      </c>
      <c r="B9381" s="40"/>
      <c r="C9381" s="40"/>
      <c r="D9381" s="41"/>
      <c r="E9381" s="43">
        <f>C9381</f>
        <v>0</v>
      </c>
      <c r="F9381" s="42"/>
    </row>
    <row r="9382" spans="1:6">
      <c r="A9382" s="39">
        <f>A9381</f>
        <v>46048</v>
      </c>
      <c r="B9382" s="40"/>
      <c r="C9382" s="40"/>
      <c r="D9382" s="41"/>
      <c r="E9382" s="43">
        <f>C9382</f>
        <v>0</v>
      </c>
      <c r="F9382" s="42"/>
    </row>
    <row r="9383" spans="1:6">
      <c r="A9383" s="39">
        <f>A9382</f>
        <v>46048</v>
      </c>
      <c r="B9383" s="40"/>
      <c r="C9383" s="40"/>
      <c r="D9383" s="41"/>
      <c r="E9383" s="43">
        <f>C9383</f>
        <v>0</v>
      </c>
      <c r="F9383" s="42"/>
    </row>
    <row r="9384" spans="1:6">
      <c r="A9384" s="39">
        <f>A9383</f>
        <v>46048</v>
      </c>
      <c r="B9384" s="40"/>
      <c r="C9384" s="40"/>
      <c r="D9384" s="41"/>
      <c r="E9384" s="43">
        <f>C9384</f>
        <v>0</v>
      </c>
      <c r="F9384" s="42"/>
    </row>
    <row r="9385" spans="1:6">
      <c r="A9385" s="39">
        <f>A9384</f>
        <v>46048</v>
      </c>
      <c r="B9385" s="40"/>
      <c r="C9385" s="40"/>
      <c r="D9385" s="41"/>
      <c r="E9385" s="43">
        <f>C9385</f>
        <v>0</v>
      </c>
      <c r="F9385" s="42"/>
    </row>
    <row r="9386" spans="1:6">
      <c r="A9386" s="39">
        <f>A9385</f>
        <v>46048</v>
      </c>
      <c r="B9386" s="40"/>
      <c r="C9386" s="40"/>
      <c r="D9386" s="41"/>
      <c r="E9386" s="43">
        <f>C9386</f>
        <v>0</v>
      </c>
      <c r="F9386" s="42"/>
    </row>
    <row r="9387" spans="1:6">
      <c r="A9387" s="39">
        <f>A9386</f>
        <v>46048</v>
      </c>
      <c r="B9387" s="40"/>
      <c r="C9387" s="40"/>
      <c r="D9387" s="41"/>
      <c r="E9387" s="43">
        <f>C9387</f>
        <v>0</v>
      </c>
      <c r="F9387" s="42"/>
    </row>
    <row r="9388" spans="1:6">
      <c r="A9388" s="39">
        <f>A9387</f>
        <v>46048</v>
      </c>
      <c r="B9388" s="40"/>
      <c r="C9388" s="40"/>
      <c r="D9388" s="41"/>
      <c r="E9388" s="43">
        <f>C9388</f>
        <v>0</v>
      </c>
      <c r="F9388" s="42"/>
    </row>
    <row r="9389" spans="1:6">
      <c r="A9389" s="39">
        <f>A9388</f>
        <v>46048</v>
      </c>
      <c r="B9389" s="40"/>
      <c r="C9389" s="40"/>
      <c r="D9389" s="41"/>
      <c r="E9389" s="43">
        <f>C9389</f>
        <v>0</v>
      </c>
      <c r="F9389" s="42"/>
    </row>
    <row r="9390" spans="1:6">
      <c r="A9390" s="39">
        <f>A9389</f>
        <v>46048</v>
      </c>
      <c r="B9390" s="40"/>
      <c r="C9390" s="40"/>
      <c r="D9390" s="41"/>
      <c r="E9390" s="43">
        <f>C9390</f>
        <v>0</v>
      </c>
      <c r="F9390" s="42"/>
    </row>
    <row r="9391" spans="1:6">
      <c r="A9391" s="39">
        <f>A9390</f>
        <v>46048</v>
      </c>
      <c r="B9391" s="40"/>
      <c r="C9391" s="40"/>
      <c r="D9391" s="41"/>
      <c r="E9391" s="43">
        <f>C9391</f>
        <v>0</v>
      </c>
      <c r="F9391" s="42"/>
    </row>
    <row r="9392" spans="1:6">
      <c r="A9392" s="39">
        <f>A9391</f>
        <v>46048</v>
      </c>
      <c r="B9392" s="40"/>
      <c r="C9392" s="40"/>
      <c r="D9392" s="41"/>
      <c r="E9392" s="43">
        <f>C9392</f>
        <v>0</v>
      </c>
      <c r="F9392" s="42"/>
    </row>
    <row r="9393" spans="1:6">
      <c r="A9393" s="39">
        <f>A9392</f>
        <v>46048</v>
      </c>
      <c r="B9393" s="40"/>
      <c r="C9393" s="40"/>
      <c r="D9393" s="41"/>
      <c r="E9393" s="43">
        <f>C9393</f>
        <v>0</v>
      </c>
      <c r="F9393" s="42"/>
    </row>
    <row r="9394" spans="1:6">
      <c r="A9394" s="39">
        <f>A9393</f>
        <v>46048</v>
      </c>
      <c r="B9394" s="40"/>
      <c r="C9394" s="40"/>
      <c r="D9394" s="41"/>
      <c r="E9394" s="43">
        <f>C9394</f>
        <v>0</v>
      </c>
      <c r="F9394" s="42"/>
    </row>
    <row r="9395" spans="1:6">
      <c r="A9395" s="39">
        <f>A9394</f>
        <v>46048</v>
      </c>
      <c r="B9395" s="40"/>
      <c r="C9395" s="40"/>
      <c r="D9395" s="41"/>
      <c r="E9395" s="43">
        <f>C9395</f>
        <v>0</v>
      </c>
      <c r="F9395" s="42"/>
    </row>
    <row r="9396" spans="1:6">
      <c r="A9396" s="39">
        <f>A9395</f>
        <v>46048</v>
      </c>
      <c r="B9396" s="40"/>
      <c r="C9396" s="40"/>
      <c r="D9396" s="41"/>
      <c r="E9396" s="43">
        <f>C9396</f>
        <v>0</v>
      </c>
      <c r="F9396" s="42"/>
    </row>
    <row r="9397" spans="1:6">
      <c r="A9397" s="39">
        <f>A9396</f>
        <v>46048</v>
      </c>
      <c r="B9397" s="40"/>
      <c r="C9397" s="40"/>
      <c r="D9397" s="41"/>
      <c r="E9397" s="43">
        <f>C9397</f>
        <v>0</v>
      </c>
      <c r="F9397" s="42"/>
    </row>
    <row r="9398" spans="1:6">
      <c r="A9398" s="39">
        <f>A9397</f>
        <v>46048</v>
      </c>
      <c r="B9398" s="40"/>
      <c r="C9398" s="40"/>
      <c r="D9398" s="41"/>
      <c r="E9398" s="43">
        <f>C9398</f>
        <v>0</v>
      </c>
      <c r="F9398" s="42"/>
    </row>
    <row r="9399" spans="1:6">
      <c r="A9399" s="39">
        <f>A9398</f>
        <v>46048</v>
      </c>
      <c r="B9399" s="40"/>
      <c r="C9399" s="40"/>
      <c r="D9399" s="41"/>
      <c r="E9399" s="43">
        <f>C9399</f>
        <v>0</v>
      </c>
      <c r="F9399" s="42"/>
    </row>
    <row r="9400" spans="1:6">
      <c r="A9400" s="39">
        <f>A9399</f>
        <v>46048</v>
      </c>
      <c r="B9400" s="40"/>
      <c r="C9400" s="40"/>
      <c r="D9400" s="41"/>
      <c r="E9400" s="43">
        <f>C9400</f>
        <v>0</v>
      </c>
      <c r="F9400" s="42"/>
    </row>
    <row r="9401" spans="1:6">
      <c r="A9401" s="39">
        <f>A9400</f>
        <v>46048</v>
      </c>
      <c r="B9401" s="40"/>
      <c r="C9401" s="40"/>
      <c r="D9401" s="41"/>
      <c r="E9401" s="43">
        <f>C9401</f>
        <v>0</v>
      </c>
      <c r="F9401" s="42"/>
    </row>
    <row r="9402" spans="1:6">
      <c r="A9402" s="39">
        <f>A9401</f>
        <v>46048</v>
      </c>
      <c r="B9402" s="40"/>
      <c r="C9402" s="40"/>
      <c r="D9402" s="41"/>
      <c r="E9402" s="43">
        <f>C9402</f>
        <v>0</v>
      </c>
      <c r="F9402" s="42"/>
    </row>
    <row r="9403" spans="1:6">
      <c r="A9403" s="39">
        <f>A9402</f>
        <v>46048</v>
      </c>
      <c r="B9403" s="40"/>
      <c r="C9403" s="40"/>
      <c r="D9403" s="41"/>
      <c r="E9403" s="43">
        <f>C9403</f>
        <v>0</v>
      </c>
      <c r="F9403" s="42"/>
    </row>
    <row r="9404" spans="1:6">
      <c r="A9404" s="39">
        <f>A9403</f>
        <v>46048</v>
      </c>
      <c r="B9404" s="40"/>
      <c r="C9404" s="40"/>
      <c r="D9404" s="41"/>
      <c r="E9404" s="43">
        <f>C9404</f>
        <v>0</v>
      </c>
      <c r="F9404" s="42"/>
    </row>
    <row r="9405" spans="1:6">
      <c r="A9405" s="39">
        <f>A9404</f>
        <v>46048</v>
      </c>
      <c r="B9405" s="40"/>
      <c r="C9405" s="40"/>
      <c r="D9405" s="41"/>
      <c r="E9405" s="43">
        <f>C9405</f>
        <v>0</v>
      </c>
      <c r="F9405" s="42"/>
    </row>
    <row r="9406" spans="1:6">
      <c r="A9406" s="39">
        <f>A9405</f>
        <v>46048</v>
      </c>
      <c r="B9406" s="40"/>
      <c r="C9406" s="40"/>
      <c r="D9406" s="41"/>
      <c r="E9406" s="43">
        <f>C9406</f>
        <v>0</v>
      </c>
      <c r="F9406" s="42"/>
    </row>
    <row r="9407" spans="1:6">
      <c r="A9407" s="39">
        <f>A9406</f>
        <v>46048</v>
      </c>
      <c r="B9407" s="40"/>
      <c r="C9407" s="40"/>
      <c r="D9407" s="41"/>
      <c r="E9407" s="43">
        <f>C9407</f>
        <v>0</v>
      </c>
      <c r="F9407" s="42"/>
    </row>
    <row r="9408" spans="1:6">
      <c r="A9408" s="39">
        <f>A9407</f>
        <v>46048</v>
      </c>
      <c r="B9408" s="40"/>
      <c r="C9408" s="40"/>
      <c r="D9408" s="41"/>
      <c r="E9408" s="43">
        <f>C9408</f>
        <v>0</v>
      </c>
      <c r="F9408" s="42"/>
    </row>
    <row r="9409" spans="1:6">
      <c r="A9409" s="39">
        <f>A9408</f>
        <v>46048</v>
      </c>
      <c r="B9409" s="40"/>
      <c r="C9409" s="40"/>
      <c r="D9409" s="41"/>
      <c r="E9409" s="43">
        <f>C9409</f>
        <v>0</v>
      </c>
      <c r="F9409" s="42"/>
    </row>
    <row r="9410" spans="1:6">
      <c r="A9410" s="39">
        <f>A9409</f>
        <v>46048</v>
      </c>
      <c r="B9410" s="40"/>
      <c r="C9410" s="40"/>
      <c r="D9410" s="41"/>
      <c r="E9410" s="43">
        <f>C9410</f>
        <v>0</v>
      </c>
      <c r="F9410" s="42"/>
    </row>
    <row r="9411" spans="1:6">
      <c r="A9411" s="39">
        <f>A9410</f>
        <v>46048</v>
      </c>
      <c r="B9411" s="40"/>
      <c r="C9411" s="40"/>
      <c r="D9411" s="41"/>
      <c r="E9411" s="43">
        <f>C9411</f>
        <v>0</v>
      </c>
      <c r="F9411" s="42"/>
    </row>
    <row r="9412" spans="1:6">
      <c r="A9412" s="39">
        <f>A9411</f>
        <v>46048</v>
      </c>
      <c r="B9412" s="40"/>
      <c r="C9412" s="40"/>
      <c r="D9412" s="41"/>
      <c r="E9412" s="43">
        <f>C9412</f>
        <v>0</v>
      </c>
      <c r="F9412" s="42"/>
    </row>
    <row r="9413" spans="1:6">
      <c r="A9413" s="39">
        <f>A9412</f>
        <v>46048</v>
      </c>
      <c r="B9413" s="40"/>
      <c r="C9413" s="40"/>
      <c r="D9413" s="41"/>
      <c r="E9413" s="43">
        <f>C9413</f>
        <v>0</v>
      </c>
      <c r="F9413" s="42"/>
    </row>
    <row r="9414" spans="1:6">
      <c r="A9414" s="39">
        <f>A9413</f>
        <v>46048</v>
      </c>
      <c r="B9414" s="40"/>
      <c r="C9414" s="40"/>
      <c r="D9414" s="41"/>
      <c r="E9414" s="43">
        <f>C9414</f>
        <v>0</v>
      </c>
      <c r="F9414" s="42"/>
    </row>
    <row r="9415" spans="1:6">
      <c r="A9415" s="39">
        <f>A9414</f>
        <v>46048</v>
      </c>
      <c r="B9415" s="40"/>
      <c r="C9415" s="40"/>
      <c r="D9415" s="41"/>
      <c r="E9415" s="43">
        <f>C9415</f>
        <v>0</v>
      </c>
      <c r="F9415" s="42"/>
    </row>
    <row r="9416" spans="1:6">
      <c r="A9416" s="39">
        <f>A9415</f>
        <v>46048</v>
      </c>
      <c r="B9416" s="40"/>
      <c r="C9416" s="40"/>
      <c r="D9416" s="41"/>
      <c r="E9416" s="43">
        <f>C9416</f>
        <v>0</v>
      </c>
      <c r="F9416" s="42"/>
    </row>
    <row r="9417" spans="1:6">
      <c r="A9417" s="39">
        <f>A9416</f>
        <v>46048</v>
      </c>
      <c r="B9417" s="40"/>
      <c r="C9417" s="40"/>
      <c r="D9417" s="41"/>
      <c r="E9417" s="43">
        <f>C9417</f>
        <v>0</v>
      </c>
      <c r="F9417" s="42"/>
    </row>
    <row r="9418" spans="1:6">
      <c r="A9418" s="39">
        <f>A9417</f>
        <v>46048</v>
      </c>
      <c r="B9418" s="40"/>
      <c r="C9418" s="40"/>
      <c r="D9418" s="41"/>
      <c r="E9418" s="43">
        <f>C9418</f>
        <v>0</v>
      </c>
      <c r="F9418" s="42"/>
    </row>
    <row r="9419" spans="1:6">
      <c r="A9419" s="39">
        <f>A9418</f>
        <v>46048</v>
      </c>
      <c r="B9419" s="40"/>
      <c r="C9419" s="40"/>
      <c r="D9419" s="41"/>
      <c r="E9419" s="43">
        <f>C9419</f>
        <v>0</v>
      </c>
      <c r="F9419" s="42"/>
    </row>
    <row r="9420" spans="1:6">
      <c r="A9420" s="39">
        <f>A9419</f>
        <v>46048</v>
      </c>
      <c r="B9420" s="40"/>
      <c r="C9420" s="40"/>
      <c r="D9420" s="41"/>
      <c r="E9420" s="43">
        <f>C9420</f>
        <v>0</v>
      </c>
      <c r="F9420" s="42"/>
    </row>
    <row r="9421" spans="1:6">
      <c r="A9421" s="39">
        <f>A9420</f>
        <v>46048</v>
      </c>
      <c r="B9421" s="40"/>
      <c r="C9421" s="40"/>
      <c r="D9421" s="41"/>
      <c r="E9421" s="43">
        <f>C9421</f>
        <v>0</v>
      </c>
      <c r="F9421" s="42"/>
    </row>
    <row r="9422" spans="1:6">
      <c r="A9422" s="39">
        <f>A9421</f>
        <v>46048</v>
      </c>
      <c r="B9422" s="40"/>
      <c r="C9422" s="40"/>
      <c r="D9422" s="41"/>
      <c r="E9422" s="43">
        <f>C9422</f>
        <v>0</v>
      </c>
      <c r="F9422" s="42"/>
    </row>
    <row r="9423" spans="1:6">
      <c r="A9423" s="39">
        <f>A9422</f>
        <v>46048</v>
      </c>
      <c r="B9423" s="40"/>
      <c r="C9423" s="40"/>
      <c r="D9423" s="41"/>
      <c r="E9423" s="43">
        <f>C9423</f>
        <v>0</v>
      </c>
      <c r="F9423" s="42"/>
    </row>
    <row r="9424" spans="1:6">
      <c r="A9424" s="39">
        <f>A9423</f>
        <v>46048</v>
      </c>
      <c r="B9424" s="40"/>
      <c r="C9424" s="40"/>
      <c r="D9424" s="41"/>
      <c r="E9424" s="43">
        <f>C9424</f>
        <v>0</v>
      </c>
      <c r="F9424" s="42"/>
    </row>
    <row r="9425" spans="1:6">
      <c r="A9425" s="39">
        <f>A9424</f>
        <v>46048</v>
      </c>
      <c r="B9425" s="40"/>
      <c r="C9425" s="40"/>
      <c r="D9425" s="41"/>
      <c r="E9425" s="43">
        <f>C9425</f>
        <v>0</v>
      </c>
      <c r="F9425" s="42"/>
    </row>
    <row r="9426" spans="1:6">
      <c r="A9426" s="39">
        <f>A9425</f>
        <v>46048</v>
      </c>
      <c r="B9426" s="40"/>
      <c r="C9426" s="40"/>
      <c r="D9426" s="41"/>
      <c r="E9426" s="43">
        <f>C9426</f>
        <v>0</v>
      </c>
      <c r="F9426" s="42"/>
    </row>
    <row r="9427" spans="1:6">
      <c r="A9427" s="39">
        <f>A9426</f>
        <v>46048</v>
      </c>
      <c r="B9427" s="40"/>
      <c r="C9427" s="40"/>
      <c r="D9427" s="41"/>
      <c r="E9427" s="43">
        <f>C9427</f>
        <v>0</v>
      </c>
      <c r="F9427" s="42"/>
    </row>
    <row r="9428" spans="1:6">
      <c r="A9428" s="39">
        <f>A9427</f>
        <v>46048</v>
      </c>
      <c r="B9428" s="40"/>
      <c r="C9428" s="40"/>
      <c r="D9428" s="41"/>
      <c r="E9428" s="43">
        <f>C9428</f>
        <v>0</v>
      </c>
      <c r="F9428" s="42"/>
    </row>
    <row r="9429" spans="1:6">
      <c r="A9429" s="39">
        <f>A9428</f>
        <v>46048</v>
      </c>
      <c r="B9429" s="40"/>
      <c r="C9429" s="40"/>
      <c r="D9429" s="41"/>
      <c r="E9429" s="43">
        <f>C9429</f>
        <v>0</v>
      </c>
      <c r="F9429" s="42"/>
    </row>
    <row r="9430" spans="1:6">
      <c r="A9430" s="39">
        <f>A9429</f>
        <v>46048</v>
      </c>
      <c r="B9430" s="40"/>
      <c r="C9430" s="40"/>
      <c r="D9430" s="41"/>
      <c r="E9430" s="43">
        <f>C9430</f>
        <v>0</v>
      </c>
      <c r="F9430" s="42"/>
    </row>
    <row r="9431" spans="1:6">
      <c r="A9431" s="39">
        <f>A9430</f>
        <v>46048</v>
      </c>
      <c r="B9431" s="40"/>
      <c r="C9431" s="40"/>
      <c r="D9431" s="41"/>
      <c r="E9431" s="43">
        <f>C9431</f>
        <v>0</v>
      </c>
      <c r="F9431" s="42"/>
    </row>
    <row r="9432" spans="1:6">
      <c r="A9432" s="39">
        <f>A9431</f>
        <v>46048</v>
      </c>
      <c r="B9432" s="40"/>
      <c r="C9432" s="40"/>
      <c r="D9432" s="41"/>
      <c r="E9432" s="43">
        <f>C9432</f>
        <v>0</v>
      </c>
      <c r="F9432" s="42"/>
    </row>
    <row r="9433" spans="1:6">
      <c r="A9433" s="39">
        <f>A9432</f>
        <v>46048</v>
      </c>
      <c r="B9433" s="40"/>
      <c r="C9433" s="40"/>
      <c r="D9433" s="41"/>
      <c r="E9433" s="43">
        <f>C9433</f>
        <v>0</v>
      </c>
      <c r="F9433" s="42"/>
    </row>
    <row r="9434" spans="1:6">
      <c r="A9434" s="39">
        <f>A9433</f>
        <v>46048</v>
      </c>
      <c r="B9434" s="40"/>
      <c r="C9434" s="40"/>
      <c r="D9434" s="41"/>
      <c r="E9434" s="43">
        <f>C9434</f>
        <v>0</v>
      </c>
      <c r="F9434" s="42"/>
    </row>
    <row r="9435" spans="1:6">
      <c r="A9435" s="39">
        <f>A9434</f>
        <v>46048</v>
      </c>
      <c r="B9435" s="40"/>
      <c r="C9435" s="40"/>
      <c r="D9435" s="41"/>
      <c r="E9435" s="43">
        <f>C9435</f>
        <v>0</v>
      </c>
      <c r="F9435" s="42"/>
    </row>
    <row r="9436" spans="1:6">
      <c r="A9436" s="39">
        <f>A9435</f>
        <v>46048</v>
      </c>
      <c r="B9436" s="40"/>
      <c r="C9436" s="40"/>
      <c r="D9436" s="41"/>
      <c r="E9436" s="43">
        <f>C9436</f>
        <v>0</v>
      </c>
      <c r="F9436" s="42"/>
    </row>
    <row r="9437" spans="1:6">
      <c r="A9437" s="39">
        <f>A9436</f>
        <v>46048</v>
      </c>
      <c r="B9437" s="40"/>
      <c r="C9437" s="40"/>
      <c r="D9437" s="41"/>
      <c r="E9437" s="43">
        <f>C9437</f>
        <v>0</v>
      </c>
      <c r="F9437" s="42"/>
    </row>
    <row r="9438" spans="1:6">
      <c r="A9438" s="39">
        <f>A9437</f>
        <v>46048</v>
      </c>
      <c r="B9438" s="40"/>
      <c r="C9438" s="40"/>
      <c r="D9438" s="41"/>
      <c r="E9438" s="43">
        <f>C9438</f>
        <v>0</v>
      </c>
      <c r="F9438" s="42"/>
    </row>
    <row r="9439" spans="1:6">
      <c r="A9439" s="39">
        <f>A9438</f>
        <v>46048</v>
      </c>
      <c r="B9439" s="40"/>
      <c r="C9439" s="40"/>
      <c r="D9439" s="41"/>
      <c r="E9439" s="43">
        <f>C9439</f>
        <v>0</v>
      </c>
      <c r="F9439" s="42"/>
    </row>
    <row r="9440" spans="1:6">
      <c r="A9440" s="39">
        <f>A9439</f>
        <v>46048</v>
      </c>
      <c r="B9440" s="40"/>
      <c r="C9440" s="40"/>
      <c r="D9440" s="41"/>
      <c r="E9440" s="43">
        <f>C9440</f>
        <v>0</v>
      </c>
      <c r="F9440" s="42"/>
    </row>
    <row r="9441" spans="1:6">
      <c r="A9441" s="39">
        <f>A9440</f>
        <v>46048</v>
      </c>
      <c r="B9441" s="40"/>
      <c r="C9441" s="40"/>
      <c r="D9441" s="41"/>
      <c r="E9441" s="43">
        <f>C9441</f>
        <v>0</v>
      </c>
      <c r="F9441" s="42"/>
    </row>
    <row r="9442" spans="1:6">
      <c r="A9442" s="39">
        <f>A9441</f>
        <v>46048</v>
      </c>
      <c r="B9442" s="40"/>
      <c r="C9442" s="40"/>
      <c r="D9442" s="41"/>
      <c r="E9442" s="43">
        <f>C9442</f>
        <v>0</v>
      </c>
      <c r="F9442" s="42"/>
    </row>
    <row r="9443" spans="1:6">
      <c r="A9443" s="39">
        <f>A9442</f>
        <v>46048</v>
      </c>
      <c r="B9443" s="40"/>
      <c r="C9443" s="40"/>
      <c r="D9443" s="41"/>
      <c r="E9443" s="43">
        <f>C9443</f>
        <v>0</v>
      </c>
      <c r="F9443" s="42"/>
    </row>
    <row r="9444" spans="1:6">
      <c r="A9444" s="39">
        <f>A9443</f>
        <v>46048</v>
      </c>
      <c r="B9444" s="40"/>
      <c r="C9444" s="40"/>
      <c r="D9444" s="41"/>
      <c r="E9444" s="43">
        <f>C9444</f>
        <v>0</v>
      </c>
      <c r="F9444" s="42"/>
    </row>
    <row r="9445" spans="1:6">
      <c r="A9445" s="39">
        <f>A9444</f>
        <v>46048</v>
      </c>
      <c r="B9445" s="40"/>
      <c r="C9445" s="40"/>
      <c r="D9445" s="41"/>
      <c r="E9445" s="43">
        <f>C9445</f>
        <v>0</v>
      </c>
      <c r="F9445" s="42"/>
    </row>
    <row r="9446" spans="1:6">
      <c r="A9446" s="39">
        <f>A9445</f>
        <v>46048</v>
      </c>
      <c r="B9446" s="40"/>
      <c r="C9446" s="40"/>
      <c r="D9446" s="41"/>
      <c r="E9446" s="43">
        <f>C9446</f>
        <v>0</v>
      </c>
      <c r="F9446" s="42"/>
    </row>
    <row r="9447" spans="1:6">
      <c r="A9447" s="39">
        <f>A9446</f>
        <v>46048</v>
      </c>
      <c r="B9447" s="40"/>
      <c r="C9447" s="40"/>
      <c r="D9447" s="41"/>
      <c r="E9447" s="43">
        <f>C9447</f>
        <v>0</v>
      </c>
      <c r="F9447" s="42"/>
    </row>
    <row r="9448" spans="1:6">
      <c r="A9448" s="39">
        <f>A9447</f>
        <v>46048</v>
      </c>
      <c r="B9448" s="40"/>
      <c r="C9448" s="40"/>
      <c r="D9448" s="41"/>
      <c r="E9448" s="43">
        <f>C9448</f>
        <v>0</v>
      </c>
      <c r="F9448" s="42"/>
    </row>
    <row r="9449" spans="1:6">
      <c r="A9449" s="39">
        <f>A9448</f>
        <v>46048</v>
      </c>
      <c r="B9449" s="40"/>
      <c r="C9449" s="40"/>
      <c r="D9449" s="41"/>
      <c r="E9449" s="43">
        <f>C9449</f>
        <v>0</v>
      </c>
      <c r="F9449" s="42"/>
    </row>
    <row r="9450" spans="1:6">
      <c r="A9450" s="39">
        <f>A9449</f>
        <v>46048</v>
      </c>
      <c r="B9450" s="40"/>
      <c r="C9450" s="40"/>
      <c r="D9450" s="41"/>
      <c r="E9450" s="43">
        <f>C9450</f>
        <v>0</v>
      </c>
      <c r="F9450" s="42"/>
    </row>
    <row r="9451" spans="1:6">
      <c r="A9451" s="39">
        <f>A9450</f>
        <v>46048</v>
      </c>
      <c r="B9451" s="40"/>
      <c r="C9451" s="40"/>
      <c r="D9451" s="41"/>
      <c r="E9451" s="43">
        <f>C9451</f>
        <v>0</v>
      </c>
      <c r="F9451" s="42"/>
    </row>
    <row r="9452" spans="1:6">
      <c r="A9452" s="39">
        <f>A9451</f>
        <v>46048</v>
      </c>
      <c r="B9452" s="40"/>
      <c r="C9452" s="40"/>
      <c r="D9452" s="41"/>
      <c r="E9452" s="43">
        <f>C9452</f>
        <v>0</v>
      </c>
      <c r="F9452" s="42"/>
    </row>
    <row r="9453" spans="1:6">
      <c r="A9453" s="39">
        <f>A9452</f>
        <v>46048</v>
      </c>
      <c r="B9453" s="40"/>
      <c r="C9453" s="40"/>
      <c r="D9453" s="41"/>
      <c r="E9453" s="43">
        <f>C9453</f>
        <v>0</v>
      </c>
      <c r="F9453" s="42"/>
    </row>
    <row r="9454" spans="1:6">
      <c r="A9454" s="39">
        <f>A9453</f>
        <v>46048</v>
      </c>
      <c r="B9454" s="40"/>
      <c r="C9454" s="40"/>
      <c r="D9454" s="41"/>
      <c r="E9454" s="43">
        <f>C9454</f>
        <v>0</v>
      </c>
      <c r="F9454" s="42"/>
    </row>
    <row r="9455" spans="1:6">
      <c r="A9455" s="39">
        <f>A9454</f>
        <v>46048</v>
      </c>
      <c r="B9455" s="40"/>
      <c r="C9455" s="40"/>
      <c r="D9455" s="41"/>
      <c r="E9455" s="43">
        <f>C9455</f>
        <v>0</v>
      </c>
      <c r="F9455" s="42"/>
    </row>
    <row r="9456" spans="1:6">
      <c r="A9456" s="39">
        <f>A9455</f>
        <v>46048</v>
      </c>
      <c r="B9456" s="40"/>
      <c r="C9456" s="40"/>
      <c r="D9456" s="41"/>
      <c r="E9456" s="43">
        <f>C9456</f>
        <v>0</v>
      </c>
      <c r="F9456" s="42"/>
    </row>
    <row r="9457" spans="1:6">
      <c r="A9457" s="39">
        <f>A9456</f>
        <v>46048</v>
      </c>
      <c r="B9457" s="40"/>
      <c r="C9457" s="40"/>
      <c r="D9457" s="41"/>
      <c r="E9457" s="43">
        <f>C9457</f>
        <v>0</v>
      </c>
      <c r="F9457" s="42"/>
    </row>
    <row r="9458" spans="1:6">
      <c r="A9458" s="39">
        <f>A9457</f>
        <v>46048</v>
      </c>
      <c r="B9458" s="40"/>
      <c r="C9458" s="40"/>
      <c r="D9458" s="41"/>
      <c r="E9458" s="43">
        <f>C9458</f>
        <v>0</v>
      </c>
      <c r="F9458" s="42"/>
    </row>
    <row r="9459" spans="1:6">
      <c r="A9459" s="39">
        <f>A9458</f>
        <v>46048</v>
      </c>
      <c r="B9459" s="40"/>
      <c r="C9459" s="40"/>
      <c r="D9459" s="41"/>
      <c r="E9459" s="43">
        <f>C9459</f>
        <v>0</v>
      </c>
      <c r="F9459" s="42"/>
    </row>
    <row r="9460" spans="1:6">
      <c r="A9460" s="39">
        <f>A9459</f>
        <v>46048</v>
      </c>
      <c r="B9460" s="40"/>
      <c r="C9460" s="40"/>
      <c r="D9460" s="41"/>
      <c r="E9460" s="43">
        <f>C9460</f>
        <v>0</v>
      </c>
      <c r="F9460" s="42"/>
    </row>
    <row r="9461" spans="1:6">
      <c r="A9461" s="39">
        <f>A9460</f>
        <v>46048</v>
      </c>
      <c r="B9461" s="40"/>
      <c r="C9461" s="40"/>
      <c r="D9461" s="41"/>
      <c r="E9461" s="43">
        <f>C9461</f>
        <v>0</v>
      </c>
      <c r="F9461" s="42"/>
    </row>
    <row r="9462" spans="1:6">
      <c r="A9462" s="39">
        <f>A9461</f>
        <v>46048</v>
      </c>
      <c r="B9462" s="40"/>
      <c r="C9462" s="40"/>
      <c r="D9462" s="41"/>
      <c r="E9462" s="43">
        <f>C9462</f>
        <v>0</v>
      </c>
      <c r="F9462" s="42"/>
    </row>
    <row r="9463" spans="1:6">
      <c r="A9463" s="39">
        <f>A9462</f>
        <v>46048</v>
      </c>
      <c r="B9463" s="40"/>
      <c r="C9463" s="40"/>
      <c r="D9463" s="41"/>
      <c r="E9463" s="43">
        <f>C9463</f>
        <v>0</v>
      </c>
      <c r="F9463" s="42"/>
    </row>
    <row r="9464" spans="1:6">
      <c r="A9464" s="39">
        <f>A9463</f>
        <v>46048</v>
      </c>
      <c r="B9464" s="40"/>
      <c r="C9464" s="40"/>
      <c r="D9464" s="41"/>
      <c r="E9464" s="43">
        <f>C9464</f>
        <v>0</v>
      </c>
      <c r="F9464" s="42"/>
    </row>
    <row r="9465" spans="1:6">
      <c r="A9465" s="39">
        <f>A9464</f>
        <v>46048</v>
      </c>
      <c r="B9465" s="40"/>
      <c r="C9465" s="40"/>
      <c r="D9465" s="41"/>
      <c r="E9465" s="43">
        <f>C9465</f>
        <v>0</v>
      </c>
      <c r="F9465" s="42"/>
    </row>
    <row r="9466" spans="1:6">
      <c r="A9466" s="39">
        <f>A9465</f>
        <v>46048</v>
      </c>
      <c r="B9466" s="40"/>
      <c r="C9466" s="40"/>
      <c r="D9466" s="41"/>
      <c r="E9466" s="43">
        <f>C9466</f>
        <v>0</v>
      </c>
      <c r="F9466" s="42"/>
    </row>
    <row r="9467" spans="1:6">
      <c r="A9467" s="39">
        <f>A9466</f>
        <v>46048</v>
      </c>
      <c r="B9467" s="40"/>
      <c r="C9467" s="40"/>
      <c r="D9467" s="41"/>
      <c r="E9467" s="43">
        <f>C9467</f>
        <v>0</v>
      </c>
      <c r="F9467" s="42"/>
    </row>
    <row r="9468" spans="1:6">
      <c r="A9468" s="39">
        <f>A9467</f>
        <v>46048</v>
      </c>
      <c r="B9468" s="40"/>
      <c r="C9468" s="40"/>
      <c r="D9468" s="41"/>
      <c r="E9468" s="43">
        <f>C9468</f>
        <v>0</v>
      </c>
      <c r="F9468" s="42"/>
    </row>
    <row r="9469" spans="1:6">
      <c r="A9469" s="39">
        <f>A9468</f>
        <v>46048</v>
      </c>
      <c r="B9469" s="40"/>
      <c r="C9469" s="40"/>
      <c r="D9469" s="41"/>
      <c r="E9469" s="43">
        <f>C9469</f>
        <v>0</v>
      </c>
      <c r="F9469" s="42"/>
    </row>
    <row r="9470" spans="1:6">
      <c r="A9470" s="39">
        <f>A9469</f>
        <v>46048</v>
      </c>
      <c r="B9470" s="40"/>
      <c r="C9470" s="40"/>
      <c r="D9470" s="41"/>
      <c r="E9470" s="43">
        <f>C9470</f>
        <v>0</v>
      </c>
      <c r="F9470" s="42"/>
    </row>
    <row r="9471" spans="1:6">
      <c r="A9471" s="39">
        <f>A9470</f>
        <v>46048</v>
      </c>
      <c r="B9471" s="40"/>
      <c r="C9471" s="40"/>
      <c r="D9471" s="41"/>
      <c r="E9471" s="43">
        <f>C9471</f>
        <v>0</v>
      </c>
      <c r="F9471" s="42"/>
    </row>
    <row r="9472" spans="1:6">
      <c r="A9472" s="39">
        <f>A9471</f>
        <v>46048</v>
      </c>
      <c r="B9472" s="40"/>
      <c r="C9472" s="40"/>
      <c r="D9472" s="41"/>
      <c r="E9472" s="43">
        <f>C9472</f>
        <v>0</v>
      </c>
      <c r="F9472" s="42"/>
    </row>
    <row r="9473" spans="1:6">
      <c r="A9473" s="39">
        <f>A9472</f>
        <v>46048</v>
      </c>
      <c r="B9473" s="40"/>
      <c r="C9473" s="40"/>
      <c r="D9473" s="41"/>
      <c r="E9473" s="43">
        <f>C9473</f>
        <v>0</v>
      </c>
      <c r="F9473" s="42"/>
    </row>
    <row r="9474" spans="1:6">
      <c r="A9474" s="39">
        <f>A9473</f>
        <v>46048</v>
      </c>
      <c r="B9474" s="40"/>
      <c r="C9474" s="40"/>
      <c r="D9474" s="41"/>
      <c r="E9474" s="43">
        <f>C9474</f>
        <v>0</v>
      </c>
      <c r="F9474" s="42"/>
    </row>
    <row r="9475" spans="1:6">
      <c r="A9475" s="39">
        <f>A9474</f>
        <v>46048</v>
      </c>
      <c r="B9475" s="40"/>
      <c r="C9475" s="40"/>
      <c r="D9475" s="41"/>
      <c r="E9475" s="43">
        <f>C9475</f>
        <v>0</v>
      </c>
      <c r="F9475" s="42"/>
    </row>
    <row r="9476" spans="1:6">
      <c r="A9476" s="39">
        <f>A9475</f>
        <v>46048</v>
      </c>
      <c r="B9476" s="40"/>
      <c r="C9476" s="40"/>
      <c r="D9476" s="41"/>
      <c r="E9476" s="43">
        <f>C9476</f>
        <v>0</v>
      </c>
      <c r="F9476" s="42"/>
    </row>
    <row r="9477" spans="1:6">
      <c r="A9477" s="39">
        <f>A9476</f>
        <v>46048</v>
      </c>
      <c r="B9477" s="40"/>
      <c r="C9477" s="40"/>
      <c r="D9477" s="41"/>
      <c r="E9477" s="43">
        <f>C9477</f>
        <v>0</v>
      </c>
      <c r="F9477" s="42"/>
    </row>
    <row r="9478" spans="1:6">
      <c r="A9478" s="39">
        <f>A9477</f>
        <v>46048</v>
      </c>
      <c r="B9478" s="40"/>
      <c r="C9478" s="40"/>
      <c r="D9478" s="41"/>
      <c r="E9478" s="43">
        <f>C9478</f>
        <v>0</v>
      </c>
      <c r="F9478" s="42"/>
    </row>
    <row r="9479" spans="1:6">
      <c r="A9479" s="39">
        <f>A9478</f>
        <v>46048</v>
      </c>
      <c r="B9479" s="40"/>
      <c r="C9479" s="40"/>
      <c r="D9479" s="41"/>
      <c r="E9479" s="43">
        <f>C9479</f>
        <v>0</v>
      </c>
      <c r="F9479" s="42"/>
    </row>
    <row r="9480" spans="1:6">
      <c r="A9480" s="39">
        <f>A9479</f>
        <v>46048</v>
      </c>
      <c r="B9480" s="40"/>
      <c r="C9480" s="40"/>
      <c r="D9480" s="41"/>
      <c r="E9480" s="43">
        <f>C9480</f>
        <v>0</v>
      </c>
      <c r="F9480" s="42"/>
    </row>
    <row r="9481" spans="1:6">
      <c r="A9481" s="39">
        <f>A9480</f>
        <v>46048</v>
      </c>
      <c r="B9481" s="40"/>
      <c r="C9481" s="40"/>
      <c r="D9481" s="41"/>
      <c r="E9481" s="43">
        <f>C9481</f>
        <v>0</v>
      </c>
      <c r="F9481" s="42"/>
    </row>
    <row r="9482" spans="1:6">
      <c r="A9482" s="39">
        <f>A9481</f>
        <v>46048</v>
      </c>
      <c r="B9482" s="40"/>
      <c r="C9482" s="40"/>
      <c r="D9482" s="41"/>
      <c r="E9482" s="43">
        <f>C9482</f>
        <v>0</v>
      </c>
      <c r="F9482" s="42"/>
    </row>
    <row r="9483" spans="1:6">
      <c r="A9483" s="39">
        <f>A9482</f>
        <v>46048</v>
      </c>
      <c r="B9483" s="40"/>
      <c r="C9483" s="40"/>
      <c r="D9483" s="41"/>
      <c r="E9483" s="43">
        <f>C9483</f>
        <v>0</v>
      </c>
      <c r="F9483" s="42"/>
    </row>
    <row r="9484" spans="1:6">
      <c r="A9484" s="39">
        <f>A9483</f>
        <v>46048</v>
      </c>
      <c r="B9484" s="40"/>
      <c r="C9484" s="40"/>
      <c r="D9484" s="41"/>
      <c r="E9484" s="43">
        <f>C9484</f>
        <v>0</v>
      </c>
      <c r="F9484" s="42"/>
    </row>
    <row r="9485" spans="1:6">
      <c r="A9485" s="39">
        <f>A9484</f>
        <v>46048</v>
      </c>
      <c r="B9485" s="40"/>
      <c r="C9485" s="40"/>
      <c r="D9485" s="41"/>
      <c r="E9485" s="43">
        <f>C9485</f>
        <v>0</v>
      </c>
      <c r="F9485" s="42"/>
    </row>
    <row r="9486" spans="1:6">
      <c r="A9486" s="39">
        <f>A9485</f>
        <v>46048</v>
      </c>
      <c r="B9486" s="40"/>
      <c r="C9486" s="40"/>
      <c r="D9486" s="41"/>
      <c r="E9486" s="43">
        <f>C9486</f>
        <v>0</v>
      </c>
      <c r="F9486" s="42"/>
    </row>
    <row r="9487" spans="1:6">
      <c r="A9487" s="39">
        <f>A9486</f>
        <v>46048</v>
      </c>
      <c r="B9487" s="40"/>
      <c r="C9487" s="40"/>
      <c r="D9487" s="41"/>
      <c r="E9487" s="43">
        <f>C9487</f>
        <v>0</v>
      </c>
      <c r="F9487" s="42"/>
    </row>
    <row r="9488" spans="1:6">
      <c r="A9488" s="39">
        <f>A9487</f>
        <v>46048</v>
      </c>
      <c r="B9488" s="40"/>
      <c r="C9488" s="40"/>
      <c r="D9488" s="41"/>
      <c r="E9488" s="43">
        <f>C9488</f>
        <v>0</v>
      </c>
      <c r="F9488" s="42"/>
    </row>
    <row r="9489" spans="1:6">
      <c r="A9489" s="39">
        <f>A9488</f>
        <v>46048</v>
      </c>
      <c r="B9489" s="40"/>
      <c r="C9489" s="40"/>
      <c r="D9489" s="41"/>
      <c r="E9489" s="43">
        <f>C9489</f>
        <v>0</v>
      </c>
      <c r="F9489" s="42"/>
    </row>
    <row r="9490" spans="1:6">
      <c r="A9490" s="39">
        <f>A9489</f>
        <v>46048</v>
      </c>
      <c r="B9490" s="40"/>
      <c r="C9490" s="40"/>
      <c r="D9490" s="41"/>
      <c r="E9490" s="43">
        <f>C9490</f>
        <v>0</v>
      </c>
      <c r="F9490" s="42"/>
    </row>
    <row r="9491" spans="1:6">
      <c r="A9491" s="39">
        <f>A9490</f>
        <v>46048</v>
      </c>
      <c r="B9491" s="40"/>
      <c r="C9491" s="40"/>
      <c r="D9491" s="41"/>
      <c r="E9491" s="43">
        <f>C9491</f>
        <v>0</v>
      </c>
      <c r="F9491" s="42"/>
    </row>
    <row r="9492" spans="1:6">
      <c r="A9492" s="39">
        <f>A9491</f>
        <v>46048</v>
      </c>
      <c r="B9492" s="40"/>
      <c r="C9492" s="40"/>
      <c r="D9492" s="41"/>
      <c r="E9492" s="43">
        <f>C9492</f>
        <v>0</v>
      </c>
      <c r="F9492" s="42"/>
    </row>
    <row r="9493" spans="1:6">
      <c r="A9493" s="39">
        <f>A9492</f>
        <v>46048</v>
      </c>
      <c r="B9493" s="40"/>
      <c r="C9493" s="40"/>
      <c r="D9493" s="41"/>
      <c r="E9493" s="43">
        <f>C9493</f>
        <v>0</v>
      </c>
      <c r="F9493" s="42"/>
    </row>
    <row r="9494" spans="1:6">
      <c r="A9494" s="39">
        <f>A9493</f>
        <v>46048</v>
      </c>
      <c r="B9494" s="40"/>
      <c r="C9494" s="40"/>
      <c r="D9494" s="41"/>
      <c r="E9494" s="43">
        <f>C9494</f>
        <v>0</v>
      </c>
      <c r="F9494" s="42"/>
    </row>
    <row r="9495" spans="1:6">
      <c r="A9495" s="39">
        <f>A9494</f>
        <v>46048</v>
      </c>
      <c r="B9495" s="40"/>
      <c r="C9495" s="40"/>
      <c r="D9495" s="41"/>
      <c r="E9495" s="43">
        <f>C9495</f>
        <v>0</v>
      </c>
      <c r="F9495" s="42"/>
    </row>
    <row r="9496" spans="1:6">
      <c r="A9496" s="39">
        <f>A9495</f>
        <v>46048</v>
      </c>
      <c r="B9496" s="40"/>
      <c r="C9496" s="40"/>
      <c r="D9496" s="41"/>
      <c r="E9496" s="43">
        <f>C9496</f>
        <v>0</v>
      </c>
      <c r="F9496" s="42"/>
    </row>
    <row r="9497" spans="1:6">
      <c r="A9497" s="39">
        <f>A9496</f>
        <v>46048</v>
      </c>
      <c r="B9497" s="40"/>
      <c r="C9497" s="40"/>
      <c r="D9497" s="41"/>
      <c r="E9497" s="43">
        <f>C9497</f>
        <v>0</v>
      </c>
      <c r="F9497" s="42"/>
    </row>
    <row r="9498" spans="1:6">
      <c r="A9498" s="39">
        <f>A9497</f>
        <v>46048</v>
      </c>
      <c r="B9498" s="40"/>
      <c r="C9498" s="40"/>
      <c r="D9498" s="41"/>
      <c r="E9498" s="43">
        <f>C9498</f>
        <v>0</v>
      </c>
      <c r="F9498" s="42"/>
    </row>
    <row r="9499" spans="1:6">
      <c r="A9499" s="39">
        <f>A9498</f>
        <v>46048</v>
      </c>
      <c r="B9499" s="40"/>
      <c r="C9499" s="40"/>
      <c r="D9499" s="41"/>
      <c r="E9499" s="43">
        <f>C9499</f>
        <v>0</v>
      </c>
      <c r="F9499" s="42"/>
    </row>
    <row r="9500" spans="1:6">
      <c r="A9500" s="39">
        <f>A9499</f>
        <v>46048</v>
      </c>
      <c r="B9500" s="40"/>
      <c r="C9500" s="40"/>
      <c r="D9500" s="41"/>
      <c r="E9500" s="43">
        <f>C9500</f>
        <v>0</v>
      </c>
      <c r="F9500" s="42"/>
    </row>
    <row r="9501" spans="1:6">
      <c r="A9501" s="39">
        <f>A9500</f>
        <v>46048</v>
      </c>
      <c r="B9501" s="40"/>
      <c r="C9501" s="40"/>
      <c r="D9501" s="41"/>
      <c r="E9501" s="43">
        <f>C9501</f>
        <v>0</v>
      </c>
      <c r="F9501" s="42"/>
    </row>
    <row r="9502" spans="1:6">
      <c r="A9502" s="39">
        <f>A9501</f>
        <v>46048</v>
      </c>
      <c r="B9502" s="40"/>
      <c r="C9502" s="40"/>
      <c r="D9502" s="41"/>
      <c r="E9502" s="43">
        <f>C9502</f>
        <v>0</v>
      </c>
      <c r="F9502" s="42"/>
    </row>
    <row r="9503" spans="1:6">
      <c r="A9503" s="39">
        <f>A9502</f>
        <v>46048</v>
      </c>
      <c r="B9503" s="40"/>
      <c r="C9503" s="40"/>
      <c r="D9503" s="41"/>
      <c r="E9503" s="43">
        <f>C9503</f>
        <v>0</v>
      </c>
      <c r="F9503" s="42"/>
    </row>
    <row r="9504" spans="1:6">
      <c r="A9504" s="39">
        <f>A9503</f>
        <v>46048</v>
      </c>
      <c r="B9504" s="40"/>
      <c r="C9504" s="40"/>
      <c r="D9504" s="41"/>
      <c r="E9504" s="43">
        <f>C9504</f>
        <v>0</v>
      </c>
      <c r="F9504" s="42"/>
    </row>
    <row r="9505" spans="1:6">
      <c r="A9505" s="39">
        <f>A9504</f>
        <v>46048</v>
      </c>
      <c r="B9505" s="40"/>
      <c r="C9505" s="40"/>
      <c r="D9505" s="41"/>
      <c r="E9505" s="43">
        <f>C9505</f>
        <v>0</v>
      </c>
      <c r="F9505" s="42"/>
    </row>
    <row r="9506" spans="1:6">
      <c r="A9506" s="39">
        <f>A9505</f>
        <v>46048</v>
      </c>
      <c r="B9506" s="40"/>
      <c r="C9506" s="40"/>
      <c r="D9506" s="41"/>
      <c r="E9506" s="43">
        <f>C9506</f>
        <v>0</v>
      </c>
      <c r="F9506" s="42"/>
    </row>
    <row r="9507" spans="1:6">
      <c r="A9507" s="39">
        <f>A9506</f>
        <v>46048</v>
      </c>
      <c r="B9507" s="40"/>
      <c r="C9507" s="40"/>
      <c r="D9507" s="41"/>
      <c r="E9507" s="43">
        <f>C9507</f>
        <v>0</v>
      </c>
      <c r="F9507" s="42"/>
    </row>
    <row r="9508" spans="1:6">
      <c r="A9508" s="39">
        <f>A9507</f>
        <v>46048</v>
      </c>
      <c r="B9508" s="40"/>
      <c r="C9508" s="40"/>
      <c r="D9508" s="41"/>
      <c r="E9508" s="43">
        <f>C9508</f>
        <v>0</v>
      </c>
      <c r="F9508" s="42"/>
    </row>
    <row r="9509" spans="1:6">
      <c r="A9509" s="39">
        <f>A9508</f>
        <v>46048</v>
      </c>
      <c r="B9509" s="40"/>
      <c r="C9509" s="40"/>
      <c r="D9509" s="41"/>
      <c r="E9509" s="43">
        <f>C9509</f>
        <v>0</v>
      </c>
      <c r="F9509" s="42"/>
    </row>
    <row r="9510" spans="1:6">
      <c r="A9510" s="39">
        <f>A9509</f>
        <v>46048</v>
      </c>
      <c r="B9510" s="40"/>
      <c r="C9510" s="40"/>
      <c r="D9510" s="41"/>
      <c r="E9510" s="43">
        <f>C9510</f>
        <v>0</v>
      </c>
      <c r="F9510" s="42"/>
    </row>
    <row r="9511" spans="1:6">
      <c r="A9511" s="39">
        <f>A9510</f>
        <v>46048</v>
      </c>
      <c r="B9511" s="40"/>
      <c r="C9511" s="40"/>
      <c r="D9511" s="41"/>
      <c r="E9511" s="43">
        <f>C9511</f>
        <v>0</v>
      </c>
      <c r="F9511" s="42"/>
    </row>
    <row r="9512" spans="1:6">
      <c r="A9512" s="39">
        <f>A9511</f>
        <v>46048</v>
      </c>
      <c r="B9512" s="40"/>
      <c r="C9512" s="40"/>
      <c r="D9512" s="41"/>
      <c r="E9512" s="43">
        <f>C9512</f>
        <v>0</v>
      </c>
      <c r="F9512" s="42"/>
    </row>
    <row r="9513" spans="1:6">
      <c r="A9513" s="39">
        <f>A9512</f>
        <v>46048</v>
      </c>
      <c r="B9513" s="40"/>
      <c r="C9513" s="40"/>
      <c r="D9513" s="41"/>
      <c r="E9513" s="43">
        <f>C9513</f>
        <v>0</v>
      </c>
      <c r="F9513" s="42"/>
    </row>
    <row r="9514" spans="1:6">
      <c r="A9514" s="39">
        <f>A9513</f>
        <v>46048</v>
      </c>
      <c r="B9514" s="40"/>
      <c r="C9514" s="40"/>
      <c r="D9514" s="41"/>
      <c r="E9514" s="43">
        <f>C9514</f>
        <v>0</v>
      </c>
      <c r="F9514" s="42"/>
    </row>
    <row r="9515" spans="1:6">
      <c r="A9515" s="39">
        <f>A9514</f>
        <v>46048</v>
      </c>
      <c r="B9515" s="40"/>
      <c r="C9515" s="40"/>
      <c r="D9515" s="41"/>
      <c r="E9515" s="43">
        <f>C9515</f>
        <v>0</v>
      </c>
      <c r="F9515" s="42"/>
    </row>
    <row r="9516" spans="1:6">
      <c r="A9516" s="39">
        <f>A9515</f>
        <v>46048</v>
      </c>
      <c r="B9516" s="40"/>
      <c r="C9516" s="40"/>
      <c r="D9516" s="41"/>
      <c r="E9516" s="43">
        <f>C9516</f>
        <v>0</v>
      </c>
      <c r="F9516" s="42"/>
    </row>
    <row r="9517" spans="1:6">
      <c r="A9517" s="39">
        <f>A9516</f>
        <v>46048</v>
      </c>
      <c r="B9517" s="40"/>
      <c r="C9517" s="40"/>
      <c r="D9517" s="41"/>
      <c r="E9517" s="43">
        <f>C9517</f>
        <v>0</v>
      </c>
      <c r="F9517" s="42"/>
    </row>
    <row r="9518" spans="1:6">
      <c r="A9518" s="39">
        <f>A9517</f>
        <v>46048</v>
      </c>
      <c r="B9518" s="40"/>
      <c r="C9518" s="40"/>
      <c r="D9518" s="41"/>
      <c r="E9518" s="43">
        <f>C9518</f>
        <v>0</v>
      </c>
      <c r="F9518" s="42"/>
    </row>
    <row r="9519" spans="1:6">
      <c r="A9519" s="39">
        <f>A9518</f>
        <v>46048</v>
      </c>
      <c r="B9519" s="40"/>
      <c r="C9519" s="40"/>
      <c r="D9519" s="41"/>
      <c r="E9519" s="43">
        <f>C9519</f>
        <v>0</v>
      </c>
      <c r="F9519" s="42"/>
    </row>
    <row r="9520" spans="1:6">
      <c r="A9520" s="39">
        <f>A9519</f>
        <v>46048</v>
      </c>
      <c r="B9520" s="40"/>
      <c r="C9520" s="40"/>
      <c r="D9520" s="41"/>
      <c r="E9520" s="43">
        <f>C9520</f>
        <v>0</v>
      </c>
      <c r="F9520" s="42"/>
    </row>
    <row r="9521" spans="1:6">
      <c r="A9521" s="39">
        <f>A9520</f>
        <v>46048</v>
      </c>
      <c r="B9521" s="40"/>
      <c r="C9521" s="40"/>
      <c r="D9521" s="41"/>
      <c r="E9521" s="43">
        <f>C9521</f>
        <v>0</v>
      </c>
      <c r="F9521" s="42"/>
    </row>
    <row r="9522" spans="1:6">
      <c r="A9522" s="39">
        <f>A9521</f>
        <v>46048</v>
      </c>
      <c r="B9522" s="40"/>
      <c r="C9522" s="40"/>
      <c r="D9522" s="41"/>
      <c r="E9522" s="43">
        <f>C9522</f>
        <v>0</v>
      </c>
      <c r="F9522" s="42"/>
    </row>
    <row r="9523" spans="1:6">
      <c r="A9523" s="39">
        <f>A9522</f>
        <v>46048</v>
      </c>
      <c r="B9523" s="40"/>
      <c r="C9523" s="40"/>
      <c r="D9523" s="41"/>
      <c r="E9523" s="43">
        <f>C9523</f>
        <v>0</v>
      </c>
      <c r="F9523" s="42"/>
    </row>
    <row r="9524" spans="1:6">
      <c r="A9524" s="39">
        <f>A9523</f>
        <v>46048</v>
      </c>
      <c r="B9524" s="40"/>
      <c r="C9524" s="40"/>
      <c r="D9524" s="41"/>
      <c r="E9524" s="43">
        <f>C9524</f>
        <v>0</v>
      </c>
      <c r="F9524" s="42"/>
    </row>
    <row r="9525" spans="1:6">
      <c r="A9525" s="39">
        <f>A9524</f>
        <v>46048</v>
      </c>
      <c r="B9525" s="40"/>
      <c r="C9525" s="40"/>
      <c r="D9525" s="41"/>
      <c r="E9525" s="43">
        <f>C9525</f>
        <v>0</v>
      </c>
      <c r="F9525" s="42"/>
    </row>
    <row r="9526" spans="1:6">
      <c r="A9526" s="39">
        <f>A9525</f>
        <v>46048</v>
      </c>
      <c r="B9526" s="40"/>
      <c r="C9526" s="40"/>
      <c r="D9526" s="41"/>
      <c r="E9526" s="43">
        <f>C9526</f>
        <v>0</v>
      </c>
      <c r="F9526" s="42"/>
    </row>
    <row r="9527" spans="1:6">
      <c r="A9527" s="39">
        <f>A9526</f>
        <v>46048</v>
      </c>
      <c r="B9527" s="40"/>
      <c r="C9527" s="40"/>
      <c r="D9527" s="41"/>
      <c r="E9527" s="43">
        <f>C9527</f>
        <v>0</v>
      </c>
      <c r="F9527" s="42"/>
    </row>
    <row r="9528" spans="1:6">
      <c r="A9528" s="39">
        <f>A9527</f>
        <v>46048</v>
      </c>
      <c r="B9528" s="40"/>
      <c r="C9528" s="40"/>
      <c r="D9528" s="41"/>
      <c r="E9528" s="43">
        <f>C9528</f>
        <v>0</v>
      </c>
      <c r="F9528" s="42"/>
    </row>
    <row r="9529" spans="1:6">
      <c r="A9529" s="39">
        <f>A9528</f>
        <v>46048</v>
      </c>
      <c r="B9529" s="40"/>
      <c r="C9529" s="40"/>
      <c r="D9529" s="41"/>
      <c r="E9529" s="43">
        <f>C9529</f>
        <v>0</v>
      </c>
      <c r="F9529" s="42"/>
    </row>
    <row r="9530" spans="1:6">
      <c r="A9530" s="39">
        <f>A9529</f>
        <v>46048</v>
      </c>
      <c r="B9530" s="40"/>
      <c r="C9530" s="40"/>
      <c r="D9530" s="41"/>
      <c r="E9530" s="43">
        <f>C9530</f>
        <v>0</v>
      </c>
      <c r="F9530" s="42"/>
    </row>
    <row r="9531" spans="1:6">
      <c r="A9531" s="39">
        <f>A9530</f>
        <v>46048</v>
      </c>
      <c r="B9531" s="40"/>
      <c r="C9531" s="40"/>
      <c r="D9531" s="41"/>
      <c r="E9531" s="43">
        <f>C9531</f>
        <v>0</v>
      </c>
      <c r="F9531" s="42"/>
    </row>
    <row r="9532" spans="1:6">
      <c r="A9532" s="39">
        <f>A9531</f>
        <v>46048</v>
      </c>
      <c r="B9532" s="40"/>
      <c r="C9532" s="40"/>
      <c r="D9532" s="41"/>
      <c r="E9532" s="43">
        <f>C9532</f>
        <v>0</v>
      </c>
      <c r="F9532" s="42"/>
    </row>
    <row r="9533" spans="1:6">
      <c r="A9533" s="39">
        <f>A9532</f>
        <v>46048</v>
      </c>
      <c r="B9533" s="40"/>
      <c r="C9533" s="40"/>
      <c r="D9533" s="41"/>
      <c r="E9533" s="43">
        <f>C9533</f>
        <v>0</v>
      </c>
      <c r="F9533" s="42"/>
    </row>
    <row r="9534" spans="1:6">
      <c r="A9534" s="39">
        <f>A9533</f>
        <v>46048</v>
      </c>
      <c r="B9534" s="40"/>
      <c r="C9534" s="40"/>
      <c r="D9534" s="41"/>
      <c r="E9534" s="43">
        <f>C9534</f>
        <v>0</v>
      </c>
      <c r="F9534" s="42"/>
    </row>
    <row r="9535" spans="1:6">
      <c r="A9535" s="39">
        <f>A9534</f>
        <v>46048</v>
      </c>
      <c r="B9535" s="40"/>
      <c r="C9535" s="40"/>
      <c r="D9535" s="41"/>
      <c r="E9535" s="43">
        <f>C9535</f>
        <v>0</v>
      </c>
      <c r="F9535" s="42"/>
    </row>
    <row r="9536" spans="1:6">
      <c r="A9536" s="39">
        <f>A9535</f>
        <v>46048</v>
      </c>
      <c r="B9536" s="40"/>
      <c r="C9536" s="40"/>
      <c r="D9536" s="41"/>
      <c r="E9536" s="43">
        <f>C9536</f>
        <v>0</v>
      </c>
      <c r="F9536" s="42"/>
    </row>
    <row r="9537" spans="1:6">
      <c r="A9537" s="39">
        <f>A9536</f>
        <v>46048</v>
      </c>
      <c r="B9537" s="40"/>
      <c r="C9537" s="40"/>
      <c r="D9537" s="41"/>
      <c r="E9537" s="43">
        <f>C9537</f>
        <v>0</v>
      </c>
      <c r="F9537" s="42"/>
    </row>
    <row r="9538" spans="1:6">
      <c r="A9538" s="39">
        <f>A9537</f>
        <v>46048</v>
      </c>
      <c r="B9538" s="40"/>
      <c r="C9538" s="40"/>
      <c r="D9538" s="41"/>
      <c r="E9538" s="43">
        <f>C9538</f>
        <v>0</v>
      </c>
      <c r="F9538" s="42"/>
    </row>
    <row r="9539" spans="1:6">
      <c r="A9539" s="39">
        <f>A9538</f>
        <v>46048</v>
      </c>
      <c r="B9539" s="40"/>
      <c r="C9539" s="40"/>
      <c r="D9539" s="41"/>
      <c r="E9539" s="43">
        <f>C9539</f>
        <v>0</v>
      </c>
      <c r="F9539" s="42"/>
    </row>
    <row r="9540" spans="1:6">
      <c r="A9540" s="39">
        <f>A9539</f>
        <v>46048</v>
      </c>
      <c r="B9540" s="40"/>
      <c r="C9540" s="40"/>
      <c r="D9540" s="41"/>
      <c r="E9540" s="43">
        <f>C9540</f>
        <v>0</v>
      </c>
      <c r="F9540" s="42"/>
    </row>
    <row r="9541" spans="1:6">
      <c r="A9541" s="39">
        <f>A9540</f>
        <v>46048</v>
      </c>
      <c r="B9541" s="40"/>
      <c r="C9541" s="40"/>
      <c r="D9541" s="41"/>
      <c r="E9541" s="43">
        <f>C9541</f>
        <v>0</v>
      </c>
      <c r="F9541" s="42"/>
    </row>
    <row r="9542" spans="1:6">
      <c r="A9542" s="39">
        <f>A9541</f>
        <v>46048</v>
      </c>
      <c r="B9542" s="40"/>
      <c r="C9542" s="40"/>
      <c r="D9542" s="41"/>
      <c r="E9542" s="43">
        <f>C9542</f>
        <v>0</v>
      </c>
      <c r="F9542" s="42"/>
    </row>
    <row r="9543" spans="1:6">
      <c r="A9543" s="39">
        <f>A9542</f>
        <v>46048</v>
      </c>
      <c r="B9543" s="40"/>
      <c r="C9543" s="40"/>
      <c r="D9543" s="41"/>
      <c r="E9543" s="43">
        <f>C9543</f>
        <v>0</v>
      </c>
      <c r="F9543" s="42"/>
    </row>
    <row r="9544" spans="1:6">
      <c r="A9544" s="39">
        <f>A9543</f>
        <v>46048</v>
      </c>
      <c r="B9544" s="40"/>
      <c r="C9544" s="40"/>
      <c r="D9544" s="41"/>
      <c r="E9544" s="43">
        <f>C9544</f>
        <v>0</v>
      </c>
      <c r="F9544" s="42"/>
    </row>
    <row r="9545" spans="1:6">
      <c r="A9545" s="39">
        <f>A9544</f>
        <v>46048</v>
      </c>
      <c r="B9545" s="40"/>
      <c r="C9545" s="40"/>
      <c r="D9545" s="41"/>
      <c r="E9545" s="43">
        <f>C9545</f>
        <v>0</v>
      </c>
      <c r="F9545" s="42"/>
    </row>
    <row r="9546" spans="1:6">
      <c r="A9546" s="39">
        <f>A9545</f>
        <v>46048</v>
      </c>
      <c r="B9546" s="40"/>
      <c r="C9546" s="40"/>
      <c r="D9546" s="41"/>
      <c r="E9546" s="43">
        <f>C9546</f>
        <v>0</v>
      </c>
      <c r="F9546" s="42"/>
    </row>
    <row r="9547" spans="1:6">
      <c r="A9547" s="39">
        <f>A9546</f>
        <v>46048</v>
      </c>
      <c r="B9547" s="40"/>
      <c r="C9547" s="40"/>
      <c r="D9547" s="41"/>
      <c r="E9547" s="43">
        <f>C9547</f>
        <v>0</v>
      </c>
      <c r="F9547" s="42"/>
    </row>
    <row r="9548" spans="1:6">
      <c r="A9548" s="39">
        <f>A9547</f>
        <v>46048</v>
      </c>
      <c r="B9548" s="40"/>
      <c r="C9548" s="40"/>
      <c r="D9548" s="41"/>
      <c r="E9548" s="43">
        <f>C9548</f>
        <v>0</v>
      </c>
      <c r="F9548" s="42"/>
    </row>
    <row r="9549" spans="1:6">
      <c r="A9549" s="39">
        <f>A9548</f>
        <v>46048</v>
      </c>
      <c r="B9549" s="40"/>
      <c r="C9549" s="40"/>
      <c r="D9549" s="41"/>
      <c r="E9549" s="43">
        <f>C9549</f>
        <v>0</v>
      </c>
      <c r="F9549" s="42"/>
    </row>
    <row r="9550" spans="1:6">
      <c r="A9550" s="39">
        <f>A9549</f>
        <v>46048</v>
      </c>
      <c r="B9550" s="40"/>
      <c r="C9550" s="40"/>
      <c r="D9550" s="41"/>
      <c r="E9550" s="43">
        <f>C9550</f>
        <v>0</v>
      </c>
      <c r="F9550" s="42"/>
    </row>
    <row r="9551" spans="1:6">
      <c r="A9551" s="39">
        <f>A9550</f>
        <v>46048</v>
      </c>
      <c r="B9551" s="40"/>
      <c r="C9551" s="40"/>
      <c r="D9551" s="41"/>
      <c r="E9551" s="43">
        <f>C9551</f>
        <v>0</v>
      </c>
      <c r="F9551" s="42"/>
    </row>
    <row r="9552" spans="1:6">
      <c r="A9552" s="39">
        <f>A9551</f>
        <v>46048</v>
      </c>
      <c r="B9552" s="40"/>
      <c r="C9552" s="40"/>
      <c r="D9552" s="41"/>
      <c r="E9552" s="43">
        <f>C9552</f>
        <v>0</v>
      </c>
      <c r="F9552" s="42"/>
    </row>
    <row r="9553" spans="1:6">
      <c r="A9553" s="39">
        <f>A9552</f>
        <v>46048</v>
      </c>
      <c r="B9553" s="40"/>
      <c r="C9553" s="40"/>
      <c r="D9553" s="41"/>
      <c r="E9553" s="43">
        <f>C9553</f>
        <v>0</v>
      </c>
      <c r="F9553" s="42"/>
    </row>
    <row r="9554" spans="1:6">
      <c r="A9554" s="39">
        <f>A9553</f>
        <v>46048</v>
      </c>
      <c r="B9554" s="40"/>
      <c r="C9554" s="40"/>
      <c r="D9554" s="41"/>
      <c r="E9554" s="43">
        <f>C9554</f>
        <v>0</v>
      </c>
      <c r="F9554" s="42"/>
    </row>
    <row r="9555" spans="1:6">
      <c r="A9555" s="39">
        <f>A9554</f>
        <v>46048</v>
      </c>
      <c r="B9555" s="40"/>
      <c r="C9555" s="40"/>
      <c r="D9555" s="41"/>
      <c r="E9555" s="43">
        <f>C9555</f>
        <v>0</v>
      </c>
      <c r="F9555" s="42"/>
    </row>
    <row r="9556" spans="1:6">
      <c r="A9556" s="39">
        <f>A9555</f>
        <v>46048</v>
      </c>
      <c r="B9556" s="40"/>
      <c r="C9556" s="40"/>
      <c r="D9556" s="41"/>
      <c r="E9556" s="43">
        <f>C9556</f>
        <v>0</v>
      </c>
      <c r="F9556" s="42"/>
    </row>
    <row r="9557" spans="1:6">
      <c r="A9557" s="39">
        <f>A9556</f>
        <v>46048</v>
      </c>
      <c r="B9557" s="40"/>
      <c r="C9557" s="40"/>
      <c r="D9557" s="41"/>
      <c r="E9557" s="43">
        <f>C9557</f>
        <v>0</v>
      </c>
      <c r="F9557" s="42"/>
    </row>
    <row r="9558" spans="1:6">
      <c r="A9558" s="39">
        <f>A9557</f>
        <v>46048</v>
      </c>
      <c r="B9558" s="40"/>
      <c r="C9558" s="40"/>
      <c r="D9558" s="41"/>
      <c r="E9558" s="43">
        <f>C9558</f>
        <v>0</v>
      </c>
      <c r="F9558" s="42"/>
    </row>
    <row r="9559" spans="1:6">
      <c r="A9559" s="39">
        <f>A9558</f>
        <v>46048</v>
      </c>
      <c r="B9559" s="40"/>
      <c r="C9559" s="40"/>
      <c r="D9559" s="41"/>
      <c r="E9559" s="43">
        <f>C9559</f>
        <v>0</v>
      </c>
      <c r="F9559" s="42"/>
    </row>
    <row r="9560" spans="1:6">
      <c r="A9560" s="39">
        <f>A9559</f>
        <v>46048</v>
      </c>
      <c r="B9560" s="40"/>
      <c r="C9560" s="40"/>
      <c r="D9560" s="41"/>
      <c r="E9560" s="43">
        <f>C9560</f>
        <v>0</v>
      </c>
      <c r="F9560" s="42"/>
    </row>
    <row r="9561" spans="1:6">
      <c r="A9561" s="39">
        <f>A9560</f>
        <v>46048</v>
      </c>
      <c r="B9561" s="40"/>
      <c r="C9561" s="40"/>
      <c r="D9561" s="41"/>
      <c r="E9561" s="43">
        <f>C9561</f>
        <v>0</v>
      </c>
      <c r="F9561" s="42"/>
    </row>
    <row r="9562" spans="1:6">
      <c r="A9562" s="39">
        <f>A9561</f>
        <v>46048</v>
      </c>
      <c r="B9562" s="40"/>
      <c r="C9562" s="40"/>
      <c r="D9562" s="41"/>
      <c r="E9562" s="43">
        <f>C9562</f>
        <v>0</v>
      </c>
      <c r="F9562" s="42"/>
    </row>
    <row r="9563" spans="1:6">
      <c r="A9563" s="39">
        <f>A9562</f>
        <v>46048</v>
      </c>
      <c r="B9563" s="40"/>
      <c r="C9563" s="40"/>
      <c r="D9563" s="41"/>
      <c r="E9563" s="43">
        <f>C9563</f>
        <v>0</v>
      </c>
      <c r="F9563" s="42"/>
    </row>
    <row r="9564" spans="1:6">
      <c r="A9564" s="39">
        <f>A9563</f>
        <v>46048</v>
      </c>
      <c r="B9564" s="40"/>
      <c r="C9564" s="40"/>
      <c r="D9564" s="41"/>
      <c r="E9564" s="43">
        <f>C9564</f>
        <v>0</v>
      </c>
      <c r="F9564" s="42"/>
    </row>
    <row r="9565" spans="1:6">
      <c r="A9565" s="39">
        <f>A9564</f>
        <v>46048</v>
      </c>
      <c r="B9565" s="40"/>
      <c r="C9565" s="40"/>
      <c r="D9565" s="41"/>
      <c r="E9565" s="43">
        <f>C9565</f>
        <v>0</v>
      </c>
      <c r="F9565" s="42"/>
    </row>
    <row r="9566" spans="1:6">
      <c r="A9566" s="39">
        <f>A9565</f>
        <v>46048</v>
      </c>
      <c r="B9566" s="40"/>
      <c r="C9566" s="40"/>
      <c r="D9566" s="41"/>
      <c r="E9566" s="43">
        <f>C9566</f>
        <v>0</v>
      </c>
      <c r="F9566" s="42"/>
    </row>
    <row r="9567" spans="1:6">
      <c r="A9567" s="39">
        <f>A9566</f>
        <v>46048</v>
      </c>
      <c r="B9567" s="40"/>
      <c r="C9567" s="40"/>
      <c r="D9567" s="41"/>
      <c r="E9567" s="43">
        <f>C9567</f>
        <v>0</v>
      </c>
      <c r="F9567" s="42"/>
    </row>
    <row r="9568" spans="1:6">
      <c r="A9568" s="39">
        <f>A9567</f>
        <v>46048</v>
      </c>
      <c r="B9568" s="40"/>
      <c r="C9568" s="40"/>
      <c r="D9568" s="41"/>
      <c r="E9568" s="43">
        <f>C9568</f>
        <v>0</v>
      </c>
      <c r="F9568" s="42"/>
    </row>
    <row r="9569" spans="1:6">
      <c r="A9569" s="39">
        <f>A9568</f>
        <v>46048</v>
      </c>
      <c r="B9569" s="40"/>
      <c r="C9569" s="40"/>
      <c r="D9569" s="41"/>
      <c r="E9569" s="43">
        <f>C9569</f>
        <v>0</v>
      </c>
      <c r="F9569" s="42"/>
    </row>
    <row r="9570" spans="1:6">
      <c r="A9570" s="39">
        <f>A9569</f>
        <v>46048</v>
      </c>
      <c r="B9570" s="40"/>
      <c r="C9570" s="40"/>
      <c r="D9570" s="41"/>
      <c r="E9570" s="43">
        <f>C9570</f>
        <v>0</v>
      </c>
      <c r="F9570" s="42"/>
    </row>
    <row r="9571" spans="1:6">
      <c r="A9571" s="39">
        <f>A9570</f>
        <v>46048</v>
      </c>
      <c r="B9571" s="40"/>
      <c r="C9571" s="40"/>
      <c r="D9571" s="41"/>
      <c r="E9571" s="43">
        <f>C9571</f>
        <v>0</v>
      </c>
      <c r="F9571" s="42"/>
    </row>
    <row r="9572" spans="1:6">
      <c r="A9572" s="39">
        <f>A9571</f>
        <v>46048</v>
      </c>
      <c r="B9572" s="40"/>
      <c r="C9572" s="40"/>
      <c r="D9572" s="41"/>
      <c r="E9572" s="43">
        <f>C9572</f>
        <v>0</v>
      </c>
      <c r="F9572" s="42"/>
    </row>
    <row r="9573" spans="1:6">
      <c r="A9573" s="39">
        <f>A9572</f>
        <v>46048</v>
      </c>
      <c r="B9573" s="40"/>
      <c r="C9573" s="40"/>
      <c r="D9573" s="41"/>
      <c r="E9573" s="43">
        <f>C9573</f>
        <v>0</v>
      </c>
      <c r="F9573" s="42"/>
    </row>
    <row r="9574" spans="1:6">
      <c r="A9574" s="39">
        <f>A9573</f>
        <v>46048</v>
      </c>
      <c r="B9574" s="40"/>
      <c r="C9574" s="40"/>
      <c r="D9574" s="41"/>
      <c r="E9574" s="43">
        <f>C9574</f>
        <v>0</v>
      </c>
      <c r="F9574" s="42"/>
    </row>
    <row r="9575" spans="1:6">
      <c r="A9575" s="39">
        <f>A9574</f>
        <v>46048</v>
      </c>
      <c r="B9575" s="40"/>
      <c r="C9575" s="40"/>
      <c r="D9575" s="41"/>
      <c r="E9575" s="43">
        <f>C9575</f>
        <v>0</v>
      </c>
      <c r="F9575" s="42"/>
    </row>
    <row r="9576" spans="1:6">
      <c r="A9576" s="39">
        <f>A9575</f>
        <v>46048</v>
      </c>
      <c r="B9576" s="40"/>
      <c r="C9576" s="40"/>
      <c r="D9576" s="41"/>
      <c r="E9576" s="43">
        <f>C9576</f>
        <v>0</v>
      </c>
      <c r="F9576" s="42"/>
    </row>
    <row r="9577" spans="1:6">
      <c r="A9577" s="39">
        <f>A9576</f>
        <v>46048</v>
      </c>
      <c r="B9577" s="40"/>
      <c r="C9577" s="40"/>
      <c r="D9577" s="41"/>
      <c r="E9577" s="43">
        <f>C9577</f>
        <v>0</v>
      </c>
      <c r="F9577" s="42"/>
    </row>
    <row r="9578" spans="1:6">
      <c r="A9578" s="39">
        <f>A9577</f>
        <v>46048</v>
      </c>
      <c r="B9578" s="40"/>
      <c r="C9578" s="40"/>
      <c r="D9578" s="41"/>
      <c r="E9578" s="43">
        <f>C9578</f>
        <v>0</v>
      </c>
      <c r="F9578" s="42"/>
    </row>
    <row r="9579" spans="1:6">
      <c r="A9579" s="39">
        <f>A9578</f>
        <v>46048</v>
      </c>
      <c r="B9579" s="40"/>
      <c r="C9579" s="40"/>
      <c r="D9579" s="41"/>
      <c r="E9579" s="43">
        <f>C9579</f>
        <v>0</v>
      </c>
      <c r="F9579" s="42"/>
    </row>
    <row r="9580" spans="1:6">
      <c r="A9580" s="39">
        <f>A9579</f>
        <v>46048</v>
      </c>
      <c r="B9580" s="40"/>
      <c r="C9580" s="40"/>
      <c r="D9580" s="41"/>
      <c r="E9580" s="43">
        <f>C9580</f>
        <v>0</v>
      </c>
      <c r="F9580" s="42"/>
    </row>
    <row r="9581" spans="1:6">
      <c r="A9581" s="39">
        <f>A9580</f>
        <v>46048</v>
      </c>
      <c r="B9581" s="40"/>
      <c r="C9581" s="40"/>
      <c r="D9581" s="41"/>
      <c r="E9581" s="43">
        <f>C9581</f>
        <v>0</v>
      </c>
      <c r="F9581" s="42"/>
    </row>
    <row r="9582" spans="1:6">
      <c r="A9582" s="39">
        <f>A9581</f>
        <v>46048</v>
      </c>
      <c r="B9582" s="40"/>
      <c r="C9582" s="40"/>
      <c r="D9582" s="41"/>
      <c r="E9582" s="43">
        <f>C9582</f>
        <v>0</v>
      </c>
      <c r="F9582" s="42"/>
    </row>
    <row r="9583" spans="1:6">
      <c r="A9583" s="39">
        <f>A9582</f>
        <v>46048</v>
      </c>
      <c r="B9583" s="40"/>
      <c r="C9583" s="40"/>
      <c r="D9583" s="41"/>
      <c r="E9583" s="43">
        <f>C9583</f>
        <v>0</v>
      </c>
      <c r="F9583" s="42"/>
    </row>
    <row r="9584" spans="1:6">
      <c r="A9584" s="39">
        <f>A9583</f>
        <v>46048</v>
      </c>
      <c r="B9584" s="40"/>
      <c r="C9584" s="40"/>
      <c r="D9584" s="41"/>
      <c r="E9584" s="43">
        <f>C9584</f>
        <v>0</v>
      </c>
      <c r="F9584" s="42"/>
    </row>
    <row r="9585" spans="1:6">
      <c r="A9585" s="39">
        <f>A9584</f>
        <v>46048</v>
      </c>
      <c r="B9585" s="40"/>
      <c r="C9585" s="40"/>
      <c r="D9585" s="41"/>
      <c r="E9585" s="43">
        <f>C9585</f>
        <v>0</v>
      </c>
      <c r="F9585" s="42"/>
    </row>
    <row r="9586" spans="1:6">
      <c r="A9586" s="39">
        <f>A9585</f>
        <v>46048</v>
      </c>
      <c r="B9586" s="40"/>
      <c r="C9586" s="40"/>
      <c r="D9586" s="41"/>
      <c r="E9586" s="43">
        <f>C9586</f>
        <v>0</v>
      </c>
      <c r="F9586" s="42"/>
    </row>
    <row r="9587" spans="1:6">
      <c r="A9587" s="39">
        <f>A9586</f>
        <v>46048</v>
      </c>
      <c r="B9587" s="40"/>
      <c r="C9587" s="40"/>
      <c r="D9587" s="41"/>
      <c r="E9587" s="43">
        <f>C9587</f>
        <v>0</v>
      </c>
      <c r="F9587" s="42"/>
    </row>
    <row r="9588" spans="1:6">
      <c r="A9588" s="39">
        <f>A9587</f>
        <v>46048</v>
      </c>
      <c r="B9588" s="40"/>
      <c r="C9588" s="40"/>
      <c r="D9588" s="41"/>
      <c r="E9588" s="43">
        <f>C9588</f>
        <v>0</v>
      </c>
      <c r="F9588" s="42"/>
    </row>
    <row r="9589" spans="1:6">
      <c r="A9589" s="39">
        <f>A9588</f>
        <v>46048</v>
      </c>
      <c r="B9589" s="40"/>
      <c r="C9589" s="40"/>
      <c r="D9589" s="41"/>
      <c r="E9589" s="43">
        <f>C9589</f>
        <v>0</v>
      </c>
      <c r="F9589" s="42"/>
    </row>
    <row r="9590" spans="1:6">
      <c r="A9590" s="39">
        <f>A9589</f>
        <v>46048</v>
      </c>
      <c r="B9590" s="40"/>
      <c r="C9590" s="40"/>
      <c r="D9590" s="41"/>
      <c r="E9590" s="43">
        <f>C9590</f>
        <v>0</v>
      </c>
      <c r="F9590" s="42"/>
    </row>
    <row r="9591" spans="1:6">
      <c r="A9591" s="39">
        <f>A9590</f>
        <v>46048</v>
      </c>
      <c r="B9591" s="40"/>
      <c r="C9591" s="40"/>
      <c r="D9591" s="41"/>
      <c r="E9591" s="43">
        <f>C9591</f>
        <v>0</v>
      </c>
      <c r="F9591" s="42"/>
    </row>
    <row r="9592" spans="1:6">
      <c r="A9592" s="39">
        <f>A9591</f>
        <v>46048</v>
      </c>
      <c r="B9592" s="40"/>
      <c r="C9592" s="40"/>
      <c r="D9592" s="41"/>
      <c r="E9592" s="43">
        <f>C9592</f>
        <v>0</v>
      </c>
      <c r="F9592" s="42"/>
    </row>
    <row r="9593" spans="1:6">
      <c r="A9593" s="39">
        <f>A9592</f>
        <v>46048</v>
      </c>
      <c r="B9593" s="40"/>
      <c r="C9593" s="40"/>
      <c r="D9593" s="41"/>
      <c r="E9593" s="43">
        <f>C9593</f>
        <v>0</v>
      </c>
      <c r="F9593" s="42"/>
    </row>
    <row r="9594" spans="1:6">
      <c r="A9594" s="39">
        <f>A9593</f>
        <v>46048</v>
      </c>
      <c r="B9594" s="40"/>
      <c r="C9594" s="40"/>
      <c r="D9594" s="41"/>
      <c r="E9594" s="43">
        <f>C9594</f>
        <v>0</v>
      </c>
      <c r="F9594" s="42"/>
    </row>
    <row r="9595" spans="1:6">
      <c r="A9595" s="39">
        <f>A9594</f>
        <v>46048</v>
      </c>
      <c r="B9595" s="40"/>
      <c r="C9595" s="40"/>
      <c r="D9595" s="41"/>
      <c r="E9595" s="43">
        <f>C9595</f>
        <v>0</v>
      </c>
      <c r="F9595" s="42"/>
    </row>
    <row r="9596" spans="1:6">
      <c r="A9596" s="39">
        <f>A9595</f>
        <v>46048</v>
      </c>
      <c r="B9596" s="40"/>
      <c r="C9596" s="40"/>
      <c r="D9596" s="41"/>
      <c r="E9596" s="43">
        <f>C9596</f>
        <v>0</v>
      </c>
      <c r="F9596" s="42"/>
    </row>
    <row r="9597" spans="1:6">
      <c r="A9597" s="39">
        <f>A9596</f>
        <v>46048</v>
      </c>
      <c r="B9597" s="40"/>
      <c r="C9597" s="40"/>
      <c r="D9597" s="41"/>
      <c r="E9597" s="43">
        <f>C9597</f>
        <v>0</v>
      </c>
      <c r="F9597" s="42"/>
    </row>
    <row r="9598" spans="1:6">
      <c r="A9598" s="39">
        <f>A9597</f>
        <v>46048</v>
      </c>
      <c r="B9598" s="40"/>
      <c r="C9598" s="40"/>
      <c r="D9598" s="41"/>
      <c r="E9598" s="43">
        <f>C9598</f>
        <v>0</v>
      </c>
      <c r="F9598" s="42"/>
    </row>
    <row r="9599" spans="1:6">
      <c r="A9599" s="39">
        <f>A9598</f>
        <v>46048</v>
      </c>
      <c r="B9599" s="40"/>
      <c r="C9599" s="40"/>
      <c r="D9599" s="41"/>
      <c r="E9599" s="43">
        <f>C9599</f>
        <v>0</v>
      </c>
      <c r="F9599" s="42"/>
    </row>
    <row r="9600" spans="1:6">
      <c r="A9600" s="39">
        <f>A9599</f>
        <v>46048</v>
      </c>
      <c r="B9600" s="40"/>
      <c r="C9600" s="40"/>
      <c r="D9600" s="41"/>
      <c r="E9600" s="43">
        <f>C9600</f>
        <v>0</v>
      </c>
      <c r="F9600" s="42"/>
    </row>
    <row r="9601" spans="1:6">
      <c r="A9601" s="39">
        <f>A9600</f>
        <v>46048</v>
      </c>
      <c r="B9601" s="40"/>
      <c r="C9601" s="40"/>
      <c r="D9601" s="41"/>
      <c r="E9601" s="43">
        <f>C9601</f>
        <v>0</v>
      </c>
      <c r="F9601" s="42"/>
    </row>
    <row r="9602" spans="1:6">
      <c r="A9602" s="39">
        <f>A9601</f>
        <v>46048</v>
      </c>
      <c r="B9602" s="40"/>
      <c r="C9602" s="40"/>
      <c r="D9602" s="41"/>
      <c r="E9602" s="43">
        <f>C9602</f>
        <v>0</v>
      </c>
      <c r="F9602" s="42"/>
    </row>
    <row r="9603" spans="1:6">
      <c r="A9603" s="39">
        <f>A9602</f>
        <v>46048</v>
      </c>
      <c r="B9603" s="40"/>
      <c r="C9603" s="40"/>
      <c r="D9603" s="41"/>
      <c r="E9603" s="43">
        <f>C9603</f>
        <v>0</v>
      </c>
      <c r="F9603" s="42"/>
    </row>
    <row r="9604" spans="1:6">
      <c r="A9604" s="39">
        <f>A9603</f>
        <v>46048</v>
      </c>
      <c r="B9604" s="40"/>
      <c r="C9604" s="40"/>
      <c r="D9604" s="41"/>
      <c r="E9604" s="43">
        <f>C9604</f>
        <v>0</v>
      </c>
      <c r="F9604" s="42"/>
    </row>
    <row r="9605" spans="1:6">
      <c r="A9605" s="39">
        <f>A9604</f>
        <v>46048</v>
      </c>
      <c r="B9605" s="40"/>
      <c r="C9605" s="40"/>
      <c r="D9605" s="41"/>
      <c r="E9605" s="43">
        <f>C9605</f>
        <v>0</v>
      </c>
      <c r="F9605" s="42"/>
    </row>
    <row r="9606" spans="1:6">
      <c r="A9606" s="39">
        <f>A9605</f>
        <v>46048</v>
      </c>
      <c r="B9606" s="40"/>
      <c r="C9606" s="40"/>
      <c r="D9606" s="41"/>
      <c r="E9606" s="43">
        <f>C9606</f>
        <v>0</v>
      </c>
      <c r="F9606" s="42"/>
    </row>
    <row r="9607" spans="1:6">
      <c r="A9607" s="39">
        <f>A9606</f>
        <v>46048</v>
      </c>
      <c r="B9607" s="40"/>
      <c r="C9607" s="40"/>
      <c r="D9607" s="41"/>
      <c r="E9607" s="43">
        <f>C9607</f>
        <v>0</v>
      </c>
      <c r="F9607" s="42"/>
    </row>
    <row r="9608" spans="1:6">
      <c r="A9608" s="39">
        <f>A9607</f>
        <v>46048</v>
      </c>
      <c r="B9608" s="40"/>
      <c r="C9608" s="40"/>
      <c r="D9608" s="41"/>
      <c r="E9608" s="43">
        <f>C9608</f>
        <v>0</v>
      </c>
      <c r="F9608" s="42"/>
    </row>
    <row r="9609" spans="1:6">
      <c r="A9609" s="39">
        <f>A9608</f>
        <v>46048</v>
      </c>
      <c r="B9609" s="40"/>
      <c r="C9609" s="40"/>
      <c r="D9609" s="41"/>
      <c r="E9609" s="43">
        <f>C9609</f>
        <v>0</v>
      </c>
      <c r="F9609" s="42"/>
    </row>
    <row r="9610" spans="1:6">
      <c r="A9610" s="39">
        <f>A9609</f>
        <v>46048</v>
      </c>
      <c r="B9610" s="40"/>
      <c r="C9610" s="40"/>
      <c r="D9610" s="41"/>
      <c r="E9610" s="43">
        <f>C9610</f>
        <v>0</v>
      </c>
      <c r="F9610" s="42"/>
    </row>
    <row r="9611" spans="1:6">
      <c r="A9611" s="39">
        <f>A9610</f>
        <v>46048</v>
      </c>
      <c r="B9611" s="40"/>
      <c r="C9611" s="40"/>
      <c r="D9611" s="41"/>
      <c r="E9611" s="43">
        <f>C9611</f>
        <v>0</v>
      </c>
      <c r="F9611" s="42"/>
    </row>
    <row r="9612" spans="1:6">
      <c r="A9612" s="39">
        <f>A9611</f>
        <v>46048</v>
      </c>
      <c r="B9612" s="40"/>
      <c r="C9612" s="40"/>
      <c r="D9612" s="41"/>
      <c r="E9612" s="43">
        <f>C9612</f>
        <v>0</v>
      </c>
      <c r="F9612" s="42"/>
    </row>
    <row r="9613" spans="1:6">
      <c r="A9613" s="39">
        <f>A9612</f>
        <v>46048</v>
      </c>
      <c r="B9613" s="40"/>
      <c r="C9613" s="40"/>
      <c r="D9613" s="41"/>
      <c r="E9613" s="43">
        <f>C9613</f>
        <v>0</v>
      </c>
      <c r="F9613" s="42"/>
    </row>
    <row r="9614" spans="1:6">
      <c r="A9614" s="39">
        <f>A9613</f>
        <v>46048</v>
      </c>
      <c r="B9614" s="40"/>
      <c r="C9614" s="40"/>
      <c r="D9614" s="41"/>
      <c r="E9614" s="43">
        <f>C9614</f>
        <v>0</v>
      </c>
      <c r="F9614" s="42"/>
    </row>
    <row r="9615" spans="1:6">
      <c r="A9615" s="39">
        <f>A9614</f>
        <v>46048</v>
      </c>
      <c r="B9615" s="40"/>
      <c r="C9615" s="40"/>
      <c r="D9615" s="41"/>
      <c r="E9615" s="43">
        <f>C9615</f>
        <v>0</v>
      </c>
      <c r="F9615" s="42"/>
    </row>
    <row r="9616" spans="1:6">
      <c r="A9616" s="39">
        <f>A9615</f>
        <v>46048</v>
      </c>
      <c r="B9616" s="40"/>
      <c r="C9616" s="40"/>
      <c r="D9616" s="41"/>
      <c r="E9616" s="43">
        <f>C9616</f>
        <v>0</v>
      </c>
      <c r="F9616" s="42"/>
    </row>
    <row r="9617" spans="1:6">
      <c r="A9617" s="39">
        <f>A9616</f>
        <v>46048</v>
      </c>
      <c r="B9617" s="40"/>
      <c r="C9617" s="40"/>
      <c r="D9617" s="41"/>
      <c r="E9617" s="43">
        <f>C9617</f>
        <v>0</v>
      </c>
      <c r="F9617" s="42"/>
    </row>
    <row r="9618" spans="1:6">
      <c r="A9618" s="39">
        <f>A9617</f>
        <v>46048</v>
      </c>
      <c r="B9618" s="40"/>
      <c r="C9618" s="40"/>
      <c r="D9618" s="41"/>
      <c r="E9618" s="43">
        <f>C9618</f>
        <v>0</v>
      </c>
      <c r="F9618" s="42"/>
    </row>
    <row r="9619" spans="1:6">
      <c r="A9619" s="39">
        <f>A9618</f>
        <v>46048</v>
      </c>
      <c r="B9619" s="40"/>
      <c r="C9619" s="40"/>
      <c r="D9619" s="41"/>
      <c r="E9619" s="43">
        <f>C9619</f>
        <v>0</v>
      </c>
      <c r="F9619" s="42"/>
    </row>
    <row r="9620" spans="1:6">
      <c r="A9620" s="39">
        <f>A9619</f>
        <v>46048</v>
      </c>
      <c r="B9620" s="40"/>
      <c r="C9620" s="40"/>
      <c r="D9620" s="41"/>
      <c r="E9620" s="43">
        <f>C9620</f>
        <v>0</v>
      </c>
      <c r="F9620" s="42"/>
    </row>
    <row r="9621" spans="1:6">
      <c r="A9621" s="39">
        <f>A9620</f>
        <v>46048</v>
      </c>
      <c r="B9621" s="40"/>
      <c r="C9621" s="40"/>
      <c r="D9621" s="41"/>
      <c r="E9621" s="43">
        <f>C9621</f>
        <v>0</v>
      </c>
      <c r="F9621" s="42"/>
    </row>
    <row r="9622" spans="1:6">
      <c r="A9622" s="39">
        <f>A9621</f>
        <v>46048</v>
      </c>
      <c r="B9622" s="40"/>
      <c r="C9622" s="40"/>
      <c r="D9622" s="41"/>
      <c r="E9622" s="43">
        <f>C9622</f>
        <v>0</v>
      </c>
      <c r="F9622" s="42"/>
    </row>
    <row r="9623" spans="1:6">
      <c r="A9623" s="39">
        <f>A9622</f>
        <v>46048</v>
      </c>
      <c r="B9623" s="40"/>
      <c r="C9623" s="40"/>
      <c r="D9623" s="41"/>
      <c r="E9623" s="43">
        <f>C9623</f>
        <v>0</v>
      </c>
      <c r="F9623" s="42"/>
    </row>
    <row r="9624" spans="1:6">
      <c r="A9624" s="39">
        <f>A9623</f>
        <v>46048</v>
      </c>
      <c r="B9624" s="40"/>
      <c r="C9624" s="40"/>
      <c r="D9624" s="41"/>
      <c r="E9624" s="43">
        <f>C9624</f>
        <v>0</v>
      </c>
      <c r="F9624" s="42"/>
    </row>
    <row r="9625" spans="1:6">
      <c r="A9625" s="39">
        <f>A9624</f>
        <v>46048</v>
      </c>
      <c r="B9625" s="40"/>
      <c r="C9625" s="40"/>
      <c r="D9625" s="41"/>
      <c r="E9625" s="43">
        <f>C9625</f>
        <v>0</v>
      </c>
      <c r="F9625" s="42"/>
    </row>
    <row r="9626" spans="1:6">
      <c r="A9626" s="39">
        <f>A9625</f>
        <v>46048</v>
      </c>
      <c r="B9626" s="40"/>
      <c r="C9626" s="40"/>
      <c r="D9626" s="41"/>
      <c r="E9626" s="43">
        <f>C9626</f>
        <v>0</v>
      </c>
      <c r="F9626" s="42"/>
    </row>
    <row r="9627" spans="1:6">
      <c r="A9627" s="39">
        <f>A9626</f>
        <v>46048</v>
      </c>
      <c r="B9627" s="40"/>
      <c r="C9627" s="40"/>
      <c r="D9627" s="41"/>
      <c r="E9627" s="43">
        <f>C9627</f>
        <v>0</v>
      </c>
      <c r="F9627" s="42"/>
    </row>
    <row r="9628" spans="1:6">
      <c r="A9628" s="39">
        <f>A9627</f>
        <v>46048</v>
      </c>
      <c r="B9628" s="40"/>
      <c r="C9628" s="40"/>
      <c r="D9628" s="41"/>
      <c r="E9628" s="43">
        <f>C9628</f>
        <v>0</v>
      </c>
      <c r="F9628" s="42"/>
    </row>
    <row r="9629" spans="1:6">
      <c r="A9629" s="39">
        <f>A9628</f>
        <v>46048</v>
      </c>
      <c r="B9629" s="40"/>
      <c r="C9629" s="40"/>
      <c r="D9629" s="41"/>
      <c r="E9629" s="43">
        <f>C9629</f>
        <v>0</v>
      </c>
      <c r="F9629" s="42"/>
    </row>
    <row r="9630" spans="1:6">
      <c r="A9630" s="39">
        <f>A9629</f>
        <v>46048</v>
      </c>
      <c r="B9630" s="40"/>
      <c r="C9630" s="40"/>
      <c r="D9630" s="41"/>
      <c r="E9630" s="43">
        <f>C9630</f>
        <v>0</v>
      </c>
      <c r="F9630" s="42"/>
    </row>
    <row r="9631" spans="1:6">
      <c r="A9631" s="39">
        <f>A9630</f>
        <v>46048</v>
      </c>
      <c r="B9631" s="40"/>
      <c r="C9631" s="40"/>
      <c r="D9631" s="41"/>
      <c r="E9631" s="43">
        <f>C9631</f>
        <v>0</v>
      </c>
      <c r="F9631" s="42"/>
    </row>
    <row r="9632" spans="1:6">
      <c r="A9632" s="39">
        <f>A9631</f>
        <v>46048</v>
      </c>
      <c r="B9632" s="40"/>
      <c r="C9632" s="40"/>
      <c r="D9632" s="41"/>
      <c r="E9632" s="43">
        <f>C9632</f>
        <v>0</v>
      </c>
      <c r="F9632" s="42"/>
    </row>
    <row r="9633" spans="1:6">
      <c r="A9633" s="39">
        <f>A9632</f>
        <v>46048</v>
      </c>
      <c r="B9633" s="40"/>
      <c r="C9633" s="40"/>
      <c r="D9633" s="41"/>
      <c r="E9633" s="43">
        <f>C9633</f>
        <v>0</v>
      </c>
      <c r="F9633" s="42"/>
    </row>
    <row r="9634" spans="1:6">
      <c r="A9634" s="39">
        <f>A9633</f>
        <v>46048</v>
      </c>
      <c r="B9634" s="40"/>
      <c r="C9634" s="40"/>
      <c r="D9634" s="41"/>
      <c r="E9634" s="43">
        <f>C9634</f>
        <v>0</v>
      </c>
      <c r="F9634" s="42"/>
    </row>
    <row r="9635" spans="1:6">
      <c r="A9635" s="39">
        <f>A9634</f>
        <v>46048</v>
      </c>
      <c r="B9635" s="40"/>
      <c r="C9635" s="40"/>
      <c r="D9635" s="41"/>
      <c r="E9635" s="43">
        <f>C9635</f>
        <v>0</v>
      </c>
      <c r="F9635" s="42"/>
    </row>
    <row r="9636" spans="1:6">
      <c r="A9636" s="39">
        <f>A9635</f>
        <v>46048</v>
      </c>
      <c r="B9636" s="40"/>
      <c r="C9636" s="40"/>
      <c r="D9636" s="41"/>
      <c r="E9636" s="43">
        <f>C9636</f>
        <v>0</v>
      </c>
      <c r="F9636" s="42"/>
    </row>
    <row r="9637" spans="1:6">
      <c r="A9637" s="39">
        <f>A9636</f>
        <v>46048</v>
      </c>
      <c r="B9637" s="40"/>
      <c r="C9637" s="40"/>
      <c r="D9637" s="41"/>
      <c r="E9637" s="43">
        <f>C9637</f>
        <v>0</v>
      </c>
      <c r="F9637" s="42"/>
    </row>
    <row r="9638" spans="1:6">
      <c r="A9638" s="39">
        <f>A9637</f>
        <v>46048</v>
      </c>
      <c r="B9638" s="40"/>
      <c r="C9638" s="40"/>
      <c r="D9638" s="41"/>
      <c r="E9638" s="43">
        <f>C9638</f>
        <v>0</v>
      </c>
      <c r="F9638" s="42"/>
    </row>
    <row r="9639" spans="1:6">
      <c r="A9639" s="39">
        <f>A9638</f>
        <v>46048</v>
      </c>
      <c r="B9639" s="40"/>
      <c r="C9639" s="40"/>
      <c r="D9639" s="41"/>
      <c r="E9639" s="43">
        <f>C9639</f>
        <v>0</v>
      </c>
      <c r="F9639" s="42"/>
    </row>
    <row r="9640" spans="1:6">
      <c r="A9640" s="39">
        <f>A9639</f>
        <v>46048</v>
      </c>
      <c r="B9640" s="40"/>
      <c r="C9640" s="40"/>
      <c r="D9640" s="41"/>
      <c r="E9640" s="43">
        <f>C9640</f>
        <v>0</v>
      </c>
      <c r="F9640" s="42"/>
    </row>
    <row r="9641" spans="1:6">
      <c r="A9641" s="39">
        <f>A9640</f>
        <v>46048</v>
      </c>
      <c r="B9641" s="40"/>
      <c r="C9641" s="40"/>
      <c r="D9641" s="41"/>
      <c r="E9641" s="43">
        <f>C9641</f>
        <v>0</v>
      </c>
      <c r="F9641" s="42"/>
    </row>
    <row r="9642" spans="1:6">
      <c r="A9642" s="39">
        <f>A9641</f>
        <v>46048</v>
      </c>
      <c r="B9642" s="40"/>
      <c r="C9642" s="40"/>
      <c r="D9642" s="41"/>
      <c r="E9642" s="43">
        <f>C9642</f>
        <v>0</v>
      </c>
      <c r="F9642" s="42"/>
    </row>
    <row r="9643" spans="1:6">
      <c r="A9643" s="39">
        <f>A9642</f>
        <v>46048</v>
      </c>
      <c r="B9643" s="40"/>
      <c r="C9643" s="40"/>
      <c r="D9643" s="41"/>
      <c r="E9643" s="43">
        <f>C9643</f>
        <v>0</v>
      </c>
      <c r="F9643" s="42"/>
    </row>
    <row r="9644" spans="1:6">
      <c r="A9644" s="39">
        <f>A9643</f>
        <v>46048</v>
      </c>
      <c r="B9644" s="40"/>
      <c r="C9644" s="40"/>
      <c r="D9644" s="41"/>
      <c r="E9644" s="43">
        <f>C9644</f>
        <v>0</v>
      </c>
      <c r="F9644" s="42"/>
    </row>
    <row r="9645" spans="1:6">
      <c r="A9645" s="39">
        <f>A9644</f>
        <v>46048</v>
      </c>
      <c r="B9645" s="40"/>
      <c r="C9645" s="40"/>
      <c r="D9645" s="41"/>
      <c r="E9645" s="43">
        <f>C9645</f>
        <v>0</v>
      </c>
      <c r="F9645" s="42"/>
    </row>
    <row r="9646" spans="1:6">
      <c r="A9646" s="39">
        <f>A9645</f>
        <v>46048</v>
      </c>
      <c r="B9646" s="40"/>
      <c r="C9646" s="40"/>
      <c r="D9646" s="41"/>
      <c r="E9646" s="43">
        <f>C9646</f>
        <v>0</v>
      </c>
      <c r="F9646" s="42"/>
    </row>
    <row r="9647" spans="1:6">
      <c r="A9647" s="39">
        <f>A9646</f>
        <v>46048</v>
      </c>
      <c r="B9647" s="40"/>
      <c r="C9647" s="40"/>
      <c r="D9647" s="41"/>
      <c r="E9647" s="43">
        <f>C9647</f>
        <v>0</v>
      </c>
      <c r="F9647" s="42"/>
    </row>
    <row r="9648" spans="1:6">
      <c r="A9648" s="39">
        <f>A9647</f>
        <v>46048</v>
      </c>
      <c r="B9648" s="40"/>
      <c r="C9648" s="40"/>
      <c r="D9648" s="41"/>
      <c r="E9648" s="43">
        <f>C9648</f>
        <v>0</v>
      </c>
      <c r="F9648" s="42"/>
    </row>
    <row r="9649" spans="1:6">
      <c r="A9649" s="39">
        <f>A9648</f>
        <v>46048</v>
      </c>
      <c r="B9649" s="40"/>
      <c r="C9649" s="40"/>
      <c r="D9649" s="41"/>
      <c r="E9649" s="43">
        <f>C9649</f>
        <v>0</v>
      </c>
      <c r="F9649" s="42"/>
    </row>
    <row r="9650" spans="1:6">
      <c r="A9650" s="39">
        <f>A9649</f>
        <v>46048</v>
      </c>
      <c r="B9650" s="40"/>
      <c r="C9650" s="40"/>
      <c r="D9650" s="41"/>
      <c r="E9650" s="43">
        <f>C9650</f>
        <v>0</v>
      </c>
      <c r="F9650" s="42"/>
    </row>
    <row r="9651" spans="1:6">
      <c r="A9651" s="39">
        <f>A9650</f>
        <v>46048</v>
      </c>
      <c r="B9651" s="40"/>
      <c r="C9651" s="40"/>
      <c r="D9651" s="41"/>
      <c r="E9651" s="43">
        <f>C9651</f>
        <v>0</v>
      </c>
      <c r="F9651" s="42"/>
    </row>
    <row r="9652" spans="1:6">
      <c r="A9652" s="39">
        <f>A9651</f>
        <v>46048</v>
      </c>
      <c r="B9652" s="40"/>
      <c r="C9652" s="40"/>
      <c r="D9652" s="41"/>
      <c r="E9652" s="43">
        <f>C9652</f>
        <v>0</v>
      </c>
      <c r="F9652" s="42"/>
    </row>
    <row r="9653" spans="1:6">
      <c r="A9653" s="39">
        <f>A9652</f>
        <v>46048</v>
      </c>
      <c r="B9653" s="40"/>
      <c r="C9653" s="40"/>
      <c r="D9653" s="41"/>
      <c r="E9653" s="43">
        <f>C9653</f>
        <v>0</v>
      </c>
      <c r="F9653" s="42"/>
    </row>
    <row r="9654" spans="1:6">
      <c r="A9654" s="39">
        <f>A9653</f>
        <v>46048</v>
      </c>
      <c r="B9654" s="40"/>
      <c r="C9654" s="40"/>
      <c r="D9654" s="41"/>
      <c r="E9654" s="43">
        <f>C9654</f>
        <v>0</v>
      </c>
      <c r="F9654" s="42"/>
    </row>
    <row r="9655" spans="1:6">
      <c r="A9655" s="39">
        <f>A9654</f>
        <v>46048</v>
      </c>
      <c r="B9655" s="40"/>
      <c r="C9655" s="40"/>
      <c r="D9655" s="41"/>
      <c r="E9655" s="43">
        <f>C9655</f>
        <v>0</v>
      </c>
      <c r="F9655" s="42"/>
    </row>
    <row r="9656" spans="1:6">
      <c r="A9656" s="39">
        <f>A9655</f>
        <v>46048</v>
      </c>
      <c r="B9656" s="40"/>
      <c r="C9656" s="40"/>
      <c r="D9656" s="41"/>
      <c r="E9656" s="43">
        <f>C9656</f>
        <v>0</v>
      </c>
      <c r="F9656" s="42"/>
    </row>
    <row r="9657" spans="1:6">
      <c r="A9657" s="39">
        <f>A9656</f>
        <v>46048</v>
      </c>
      <c r="B9657" s="40"/>
      <c r="C9657" s="40"/>
      <c r="D9657" s="41"/>
      <c r="E9657" s="43">
        <f>C9657</f>
        <v>0</v>
      </c>
      <c r="F9657" s="42"/>
    </row>
    <row r="9658" spans="1:6">
      <c r="A9658" s="39">
        <f>A9657</f>
        <v>46048</v>
      </c>
      <c r="B9658" s="40"/>
      <c r="C9658" s="40"/>
      <c r="D9658" s="41"/>
      <c r="E9658" s="43">
        <f>C9658</f>
        <v>0</v>
      </c>
      <c r="F9658" s="42"/>
    </row>
    <row r="9659" spans="1:6">
      <c r="A9659" s="39">
        <f>A9658</f>
        <v>46048</v>
      </c>
      <c r="B9659" s="40"/>
      <c r="C9659" s="40"/>
      <c r="D9659" s="41"/>
      <c r="E9659" s="43">
        <f>C9659</f>
        <v>0</v>
      </c>
      <c r="F9659" s="42"/>
    </row>
    <row r="9660" spans="1:6">
      <c r="A9660" s="39">
        <f>A9659</f>
        <v>46048</v>
      </c>
      <c r="B9660" s="40"/>
      <c r="C9660" s="40"/>
      <c r="D9660" s="41"/>
      <c r="E9660" s="43">
        <f>C9660</f>
        <v>0</v>
      </c>
      <c r="F9660" s="42"/>
    </row>
    <row r="9661" spans="1:6">
      <c r="A9661" s="39">
        <f>A9660</f>
        <v>46048</v>
      </c>
      <c r="B9661" s="40"/>
      <c r="C9661" s="40"/>
      <c r="D9661" s="41"/>
      <c r="E9661" s="43">
        <f>C9661</f>
        <v>0</v>
      </c>
      <c r="F9661" s="42"/>
    </row>
    <row r="9662" spans="1:6">
      <c r="A9662" s="39">
        <f>A9661</f>
        <v>46048</v>
      </c>
      <c r="B9662" s="40"/>
      <c r="C9662" s="40"/>
      <c r="D9662" s="41"/>
      <c r="E9662" s="43">
        <f>C9662</f>
        <v>0</v>
      </c>
      <c r="F9662" s="42"/>
    </row>
    <row r="9663" spans="1:6">
      <c r="A9663" s="39">
        <f>A9662</f>
        <v>46048</v>
      </c>
      <c r="B9663" s="40"/>
      <c r="C9663" s="40"/>
      <c r="D9663" s="41"/>
      <c r="E9663" s="43">
        <f>C9663</f>
        <v>0</v>
      </c>
      <c r="F9663" s="42"/>
    </row>
    <row r="9664" spans="1:6">
      <c r="A9664" s="39">
        <f>A9663</f>
        <v>46048</v>
      </c>
      <c r="B9664" s="40"/>
      <c r="C9664" s="40"/>
      <c r="D9664" s="41"/>
      <c r="E9664" s="43">
        <f>C9664</f>
        <v>0</v>
      </c>
      <c r="F9664" s="42"/>
    </row>
    <row r="9665" spans="1:6">
      <c r="A9665" s="39">
        <f>A9664</f>
        <v>46048</v>
      </c>
      <c r="B9665" s="40"/>
      <c r="C9665" s="40"/>
      <c r="D9665" s="41"/>
      <c r="E9665" s="43">
        <f>C9665</f>
        <v>0</v>
      </c>
      <c r="F9665" s="42"/>
    </row>
    <row r="9666" spans="1:6">
      <c r="A9666" s="39">
        <f>A9665</f>
        <v>46048</v>
      </c>
      <c r="B9666" s="40"/>
      <c r="C9666" s="40"/>
      <c r="D9666" s="41"/>
      <c r="E9666" s="43">
        <f>C9666</f>
        <v>0</v>
      </c>
      <c r="F9666" s="42"/>
    </row>
    <row r="9667" spans="1:6">
      <c r="A9667" s="39">
        <f>A9666</f>
        <v>46048</v>
      </c>
      <c r="B9667" s="40"/>
      <c r="C9667" s="40"/>
      <c r="D9667" s="41"/>
      <c r="E9667" s="43">
        <f>C9667</f>
        <v>0</v>
      </c>
      <c r="F9667" s="42"/>
    </row>
    <row r="9668" spans="1:6">
      <c r="A9668" s="39">
        <f>A9667</f>
        <v>46048</v>
      </c>
      <c r="B9668" s="40"/>
      <c r="C9668" s="40"/>
      <c r="D9668" s="41"/>
      <c r="E9668" s="43">
        <f>C9668</f>
        <v>0</v>
      </c>
      <c r="F9668" s="42"/>
    </row>
    <row r="9669" spans="1:6">
      <c r="A9669" s="39">
        <f>A9668</f>
        <v>46048</v>
      </c>
      <c r="B9669" s="40"/>
      <c r="C9669" s="40"/>
      <c r="D9669" s="41"/>
      <c r="E9669" s="43">
        <f>C9669</f>
        <v>0</v>
      </c>
      <c r="F9669" s="42"/>
    </row>
    <row r="9670" spans="1:6">
      <c r="A9670" s="39">
        <f>A9669</f>
        <v>46048</v>
      </c>
      <c r="B9670" s="40"/>
      <c r="C9670" s="40"/>
      <c r="D9670" s="41"/>
      <c r="E9670" s="43">
        <f>C9670</f>
        <v>0</v>
      </c>
      <c r="F9670" s="42"/>
    </row>
    <row r="9671" spans="1:6">
      <c r="A9671" s="39">
        <f>A9670</f>
        <v>46048</v>
      </c>
      <c r="B9671" s="40"/>
      <c r="C9671" s="40"/>
      <c r="D9671" s="41"/>
      <c r="E9671" s="43">
        <f>C9671</f>
        <v>0</v>
      </c>
      <c r="F9671" s="42"/>
    </row>
    <row r="9672" spans="1:6">
      <c r="A9672" s="39">
        <f>A9671</f>
        <v>46048</v>
      </c>
      <c r="B9672" s="40"/>
      <c r="C9672" s="40"/>
      <c r="D9672" s="41"/>
      <c r="E9672" s="43">
        <f>C9672</f>
        <v>0</v>
      </c>
      <c r="F9672" s="42"/>
    </row>
    <row r="9673" spans="1:6">
      <c r="A9673" s="39">
        <f>A9672</f>
        <v>46048</v>
      </c>
      <c r="B9673" s="40"/>
      <c r="C9673" s="40"/>
      <c r="D9673" s="41"/>
      <c r="E9673" s="43">
        <f>C9673</f>
        <v>0</v>
      </c>
      <c r="F9673" s="42"/>
    </row>
    <row r="9674" spans="1:6">
      <c r="A9674" s="39">
        <f>A9673</f>
        <v>46048</v>
      </c>
      <c r="B9674" s="40"/>
      <c r="C9674" s="40"/>
      <c r="D9674" s="41"/>
      <c r="E9674" s="43">
        <f>C9674</f>
        <v>0</v>
      </c>
      <c r="F9674" s="42"/>
    </row>
    <row r="9675" spans="1:6">
      <c r="A9675" s="39">
        <f>A9674</f>
        <v>46048</v>
      </c>
      <c r="B9675" s="40"/>
      <c r="C9675" s="40"/>
      <c r="D9675" s="41"/>
      <c r="E9675" s="43">
        <f>C9675</f>
        <v>0</v>
      </c>
      <c r="F9675" s="42"/>
    </row>
    <row r="9676" spans="1:6">
      <c r="A9676" s="39">
        <f>A9675</f>
        <v>46048</v>
      </c>
      <c r="B9676" s="40"/>
      <c r="C9676" s="40"/>
      <c r="D9676" s="41"/>
      <c r="E9676" s="43">
        <f>C9676</f>
        <v>0</v>
      </c>
      <c r="F9676" s="42"/>
    </row>
    <row r="9677" spans="1:6">
      <c r="A9677" s="39">
        <f>A9676</f>
        <v>46048</v>
      </c>
      <c r="B9677" s="40"/>
      <c r="C9677" s="40"/>
      <c r="D9677" s="41"/>
      <c r="E9677" s="43">
        <f>C9677</f>
        <v>0</v>
      </c>
      <c r="F9677" s="42"/>
    </row>
    <row r="9678" spans="1:6">
      <c r="A9678" s="39">
        <f>A9677</f>
        <v>46048</v>
      </c>
      <c r="B9678" s="40"/>
      <c r="C9678" s="40"/>
      <c r="D9678" s="41"/>
      <c r="E9678" s="43">
        <f>C9678</f>
        <v>0</v>
      </c>
      <c r="F9678" s="42"/>
    </row>
    <row r="9679" spans="1:6">
      <c r="A9679" s="39">
        <f>A9678</f>
        <v>46048</v>
      </c>
      <c r="B9679" s="40"/>
      <c r="C9679" s="40"/>
      <c r="D9679" s="41"/>
      <c r="E9679" s="43">
        <f>C9679</f>
        <v>0</v>
      </c>
      <c r="F9679" s="42"/>
    </row>
    <row r="9680" spans="1:6">
      <c r="A9680" s="39">
        <f>A9679</f>
        <v>46048</v>
      </c>
      <c r="B9680" s="40"/>
      <c r="C9680" s="40"/>
      <c r="D9680" s="41"/>
      <c r="E9680" s="43">
        <f>C9680</f>
        <v>0</v>
      </c>
      <c r="F9680" s="42"/>
    </row>
    <row r="9681" spans="1:6">
      <c r="A9681" s="39">
        <f>A9680</f>
        <v>46048</v>
      </c>
      <c r="B9681" s="40"/>
      <c r="C9681" s="40"/>
      <c r="D9681" s="41"/>
      <c r="E9681" s="43">
        <f>C9681</f>
        <v>0</v>
      </c>
      <c r="F9681" s="42"/>
    </row>
    <row r="9682" spans="1:6">
      <c r="A9682" s="39">
        <f>A9681</f>
        <v>46048</v>
      </c>
      <c r="B9682" s="40"/>
      <c r="C9682" s="40"/>
      <c r="D9682" s="41"/>
      <c r="E9682" s="43">
        <f>C9682</f>
        <v>0</v>
      </c>
      <c r="F9682" s="42"/>
    </row>
    <row r="9683" spans="1:6">
      <c r="A9683" s="39">
        <f>A9682</f>
        <v>46048</v>
      </c>
      <c r="B9683" s="40"/>
      <c r="C9683" s="40"/>
      <c r="D9683" s="41"/>
      <c r="E9683" s="43">
        <f>C9683</f>
        <v>0</v>
      </c>
      <c r="F9683" s="42"/>
    </row>
    <row r="9684" spans="1:6">
      <c r="A9684" s="39">
        <f>A9683</f>
        <v>46048</v>
      </c>
      <c r="B9684" s="40"/>
      <c r="C9684" s="40"/>
      <c r="D9684" s="41"/>
      <c r="E9684" s="43">
        <f>C9684</f>
        <v>0</v>
      </c>
      <c r="F9684" s="42"/>
    </row>
    <row r="9685" spans="1:6">
      <c r="A9685" s="39">
        <f>A9684</f>
        <v>46048</v>
      </c>
      <c r="B9685" s="40"/>
      <c r="C9685" s="40"/>
      <c r="D9685" s="41"/>
      <c r="E9685" s="43">
        <f>C9685</f>
        <v>0</v>
      </c>
      <c r="F9685" s="42"/>
    </row>
    <row r="9686" spans="1:6">
      <c r="A9686" s="39">
        <f>A9685</f>
        <v>46048</v>
      </c>
      <c r="B9686" s="40"/>
      <c r="C9686" s="40"/>
      <c r="D9686" s="41"/>
      <c r="E9686" s="43">
        <f>C9686</f>
        <v>0</v>
      </c>
      <c r="F9686" s="42"/>
    </row>
    <row r="9687" spans="1:6">
      <c r="A9687" s="39">
        <f>A9686</f>
        <v>46048</v>
      </c>
      <c r="B9687" s="40"/>
      <c r="C9687" s="40"/>
      <c r="D9687" s="41"/>
      <c r="E9687" s="43">
        <f>C9687</f>
        <v>0</v>
      </c>
      <c r="F9687" s="42"/>
    </row>
    <row r="9688" spans="1:6">
      <c r="A9688" s="39">
        <f>A9687</f>
        <v>46048</v>
      </c>
      <c r="B9688" s="40"/>
      <c r="C9688" s="40"/>
      <c r="D9688" s="41"/>
      <c r="E9688" s="43">
        <f>C9688</f>
        <v>0</v>
      </c>
      <c r="F9688" s="42"/>
    </row>
    <row r="9689" spans="1:6">
      <c r="A9689" s="39">
        <f>A9688</f>
        <v>46048</v>
      </c>
      <c r="B9689" s="40"/>
      <c r="C9689" s="40"/>
      <c r="D9689" s="41"/>
      <c r="E9689" s="43">
        <f>C9689</f>
        <v>0</v>
      </c>
      <c r="F9689" s="42"/>
    </row>
    <row r="9690" spans="1:6">
      <c r="A9690" s="39">
        <f>A9689</f>
        <v>46048</v>
      </c>
      <c r="B9690" s="40"/>
      <c r="C9690" s="40"/>
      <c r="D9690" s="41"/>
      <c r="E9690" s="43">
        <f>C9690</f>
        <v>0</v>
      </c>
      <c r="F9690" s="42"/>
    </row>
    <row r="9691" spans="1:6">
      <c r="A9691" s="39">
        <f>A9690</f>
        <v>46048</v>
      </c>
      <c r="B9691" s="40"/>
      <c r="C9691" s="40"/>
      <c r="D9691" s="41"/>
      <c r="E9691" s="43">
        <f>C9691</f>
        <v>0</v>
      </c>
      <c r="F9691" s="42"/>
    </row>
    <row r="9692" spans="1:6">
      <c r="A9692" s="39">
        <f>A9691</f>
        <v>46048</v>
      </c>
      <c r="B9692" s="40"/>
      <c r="C9692" s="40"/>
      <c r="D9692" s="41"/>
      <c r="E9692" s="43">
        <f>C9692</f>
        <v>0</v>
      </c>
      <c r="F9692" s="42"/>
    </row>
    <row r="9693" spans="1:6">
      <c r="A9693" s="39">
        <f>A9692</f>
        <v>46048</v>
      </c>
      <c r="B9693" s="40"/>
      <c r="C9693" s="40"/>
      <c r="D9693" s="41"/>
      <c r="E9693" s="43">
        <f>C9693</f>
        <v>0</v>
      </c>
      <c r="F9693" s="42"/>
    </row>
    <row r="9694" spans="1:6">
      <c r="A9694" s="39">
        <f>A9693</f>
        <v>46048</v>
      </c>
      <c r="B9694" s="40"/>
      <c r="C9694" s="40"/>
      <c r="D9694" s="41"/>
      <c r="E9694" s="43">
        <f>C9694</f>
        <v>0</v>
      </c>
      <c r="F9694" s="42"/>
    </row>
    <row r="9695" spans="1:6">
      <c r="A9695" s="39">
        <f>A9694</f>
        <v>46048</v>
      </c>
      <c r="B9695" s="40"/>
      <c r="C9695" s="40"/>
      <c r="D9695" s="41"/>
      <c r="E9695" s="43">
        <f>C9695</f>
        <v>0</v>
      </c>
      <c r="F9695" s="42"/>
    </row>
    <row r="9696" spans="1:6">
      <c r="A9696" s="39">
        <f>A9695</f>
        <v>46048</v>
      </c>
      <c r="B9696" s="40"/>
      <c r="C9696" s="40"/>
      <c r="D9696" s="41"/>
      <c r="E9696" s="43">
        <f>C9696</f>
        <v>0</v>
      </c>
      <c r="F9696" s="42"/>
    </row>
    <row r="9697" spans="1:6">
      <c r="A9697" s="39">
        <f>A9696</f>
        <v>46048</v>
      </c>
      <c r="B9697" s="40"/>
      <c r="C9697" s="40"/>
      <c r="D9697" s="41"/>
      <c r="E9697" s="43">
        <f>C9697</f>
        <v>0</v>
      </c>
      <c r="F9697" s="42"/>
    </row>
    <row r="9698" spans="1:6">
      <c r="A9698" s="39">
        <f>A9697</f>
        <v>46048</v>
      </c>
      <c r="B9698" s="40"/>
      <c r="C9698" s="40"/>
      <c r="D9698" s="41"/>
      <c r="E9698" s="43">
        <f>C9698</f>
        <v>0</v>
      </c>
      <c r="F9698" s="42"/>
    </row>
    <row r="9699" spans="1:6">
      <c r="A9699" s="39">
        <f>A9698</f>
        <v>46048</v>
      </c>
      <c r="B9699" s="40"/>
      <c r="C9699" s="40"/>
      <c r="D9699" s="41"/>
      <c r="E9699" s="43">
        <f>C9699</f>
        <v>0</v>
      </c>
      <c r="F9699" s="42"/>
    </row>
    <row r="9700" spans="1:6">
      <c r="A9700" s="39">
        <f>A9699</f>
        <v>46048</v>
      </c>
      <c r="B9700" s="40"/>
      <c r="C9700" s="40"/>
      <c r="D9700" s="41"/>
      <c r="E9700" s="43">
        <f>C9700</f>
        <v>0</v>
      </c>
      <c r="F9700" s="42"/>
    </row>
    <row r="9701" spans="1:6">
      <c r="A9701" s="39">
        <f>A9700</f>
        <v>46048</v>
      </c>
      <c r="B9701" s="40"/>
      <c r="C9701" s="40"/>
      <c r="D9701" s="41"/>
      <c r="E9701" s="43">
        <f>C9701</f>
        <v>0</v>
      </c>
      <c r="F9701" s="42"/>
    </row>
    <row r="9702" spans="1:6">
      <c r="A9702" s="39">
        <f>A9701</f>
        <v>46048</v>
      </c>
      <c r="B9702" s="40"/>
      <c r="C9702" s="40"/>
      <c r="D9702" s="41"/>
      <c r="E9702" s="43">
        <f>C9702</f>
        <v>0</v>
      </c>
      <c r="F9702" s="42"/>
    </row>
    <row r="9703" spans="1:6">
      <c r="A9703" s="39">
        <f>A9702</f>
        <v>46048</v>
      </c>
      <c r="B9703" s="40"/>
      <c r="C9703" s="40"/>
      <c r="D9703" s="41"/>
      <c r="E9703" s="43">
        <f>C9703</f>
        <v>0</v>
      </c>
      <c r="F9703" s="42"/>
    </row>
    <row r="9704" spans="1:6">
      <c r="A9704" s="39">
        <f>A9703</f>
        <v>46048</v>
      </c>
      <c r="B9704" s="40"/>
      <c r="C9704" s="40"/>
      <c r="D9704" s="41"/>
      <c r="E9704" s="43">
        <f>C9704</f>
        <v>0</v>
      </c>
      <c r="F9704" s="42"/>
    </row>
    <row r="9705" spans="1:6">
      <c r="A9705" s="39">
        <f>A9704</f>
        <v>46048</v>
      </c>
      <c r="B9705" s="40"/>
      <c r="C9705" s="40"/>
      <c r="D9705" s="41"/>
      <c r="E9705" s="43">
        <f>C9705</f>
        <v>0</v>
      </c>
      <c r="F9705" s="42"/>
    </row>
    <row r="9706" spans="1:6">
      <c r="A9706" s="39">
        <f>A9705</f>
        <v>46048</v>
      </c>
      <c r="B9706" s="40"/>
      <c r="C9706" s="40"/>
      <c r="D9706" s="41"/>
      <c r="E9706" s="43">
        <f>C9706</f>
        <v>0</v>
      </c>
      <c r="F9706" s="42"/>
    </row>
    <row r="9707" spans="1:6">
      <c r="A9707" s="39">
        <f>A9706</f>
        <v>46048</v>
      </c>
      <c r="B9707" s="40"/>
      <c r="C9707" s="40"/>
      <c r="D9707" s="41"/>
      <c r="E9707" s="43">
        <f>C9707</f>
        <v>0</v>
      </c>
      <c r="F9707" s="42"/>
    </row>
    <row r="9708" spans="1:6">
      <c r="A9708" s="39">
        <f>A9707</f>
        <v>46048</v>
      </c>
      <c r="B9708" s="40"/>
      <c r="C9708" s="40"/>
      <c r="D9708" s="41"/>
      <c r="E9708" s="43">
        <f>C9708</f>
        <v>0</v>
      </c>
      <c r="F9708" s="42"/>
    </row>
    <row r="9709" spans="1:6">
      <c r="A9709" s="39">
        <f>A9708</f>
        <v>46048</v>
      </c>
      <c r="B9709" s="40"/>
      <c r="C9709" s="40"/>
      <c r="D9709" s="41"/>
      <c r="E9709" s="43">
        <f>C9709</f>
        <v>0</v>
      </c>
      <c r="F9709" s="42"/>
    </row>
    <row r="9710" spans="1:6">
      <c r="A9710" s="39">
        <f>A9709</f>
        <v>46048</v>
      </c>
      <c r="B9710" s="40"/>
      <c r="C9710" s="40"/>
      <c r="D9710" s="41"/>
      <c r="E9710" s="43">
        <f>C9710</f>
        <v>0</v>
      </c>
      <c r="F9710" s="42"/>
    </row>
    <row r="9711" spans="1:6">
      <c r="A9711" s="39">
        <f>A9710</f>
        <v>46048</v>
      </c>
      <c r="B9711" s="40"/>
      <c r="C9711" s="40"/>
      <c r="D9711" s="41"/>
      <c r="E9711" s="43">
        <f>C9711</f>
        <v>0</v>
      </c>
      <c r="F9711" s="42"/>
    </row>
    <row r="9712" spans="1:6">
      <c r="A9712" s="39">
        <f>A9711</f>
        <v>46048</v>
      </c>
      <c r="B9712" s="40"/>
      <c r="C9712" s="40"/>
      <c r="D9712" s="41"/>
      <c r="E9712" s="43">
        <f>C9712</f>
        <v>0</v>
      </c>
      <c r="F9712" s="42"/>
    </row>
    <row r="9713" spans="1:6">
      <c r="A9713" s="39">
        <f>A9712</f>
        <v>46048</v>
      </c>
      <c r="B9713" s="40"/>
      <c r="C9713" s="40"/>
      <c r="D9713" s="41"/>
      <c r="E9713" s="43">
        <f>C9713</f>
        <v>0</v>
      </c>
      <c r="F9713" s="42"/>
    </row>
    <row r="9714" spans="1:6">
      <c r="A9714" s="39">
        <f>A9713</f>
        <v>46048</v>
      </c>
      <c r="B9714" s="40"/>
      <c r="C9714" s="40"/>
      <c r="D9714" s="41"/>
      <c r="E9714" s="43">
        <f>C9714</f>
        <v>0</v>
      </c>
      <c r="F9714" s="42"/>
    </row>
    <row r="9715" spans="1:6">
      <c r="A9715" s="39">
        <f>A9714</f>
        <v>46048</v>
      </c>
      <c r="B9715" s="40"/>
      <c r="C9715" s="40"/>
      <c r="D9715" s="41"/>
      <c r="E9715" s="43">
        <f>C9715</f>
        <v>0</v>
      </c>
      <c r="F9715" s="42"/>
    </row>
    <row r="9716" spans="1:6">
      <c r="A9716" s="39">
        <f>A9715</f>
        <v>46048</v>
      </c>
      <c r="B9716" s="40"/>
      <c r="C9716" s="40"/>
      <c r="D9716" s="41"/>
      <c r="E9716" s="43">
        <f>C9716</f>
        <v>0</v>
      </c>
      <c r="F9716" s="42"/>
    </row>
    <row r="9717" spans="1:6">
      <c r="A9717" s="39">
        <f>A9716</f>
        <v>46048</v>
      </c>
      <c r="B9717" s="40"/>
      <c r="C9717" s="40"/>
      <c r="D9717" s="41"/>
      <c r="E9717" s="43">
        <f>C9717</f>
        <v>0</v>
      </c>
      <c r="F9717" s="42"/>
    </row>
    <row r="9718" spans="1:6">
      <c r="A9718" s="39">
        <f>A9717</f>
        <v>46048</v>
      </c>
      <c r="B9718" s="40"/>
      <c r="C9718" s="40"/>
      <c r="D9718" s="41"/>
      <c r="E9718" s="43">
        <f>C9718</f>
        <v>0</v>
      </c>
      <c r="F9718" s="42"/>
    </row>
    <row r="9719" spans="1:6">
      <c r="A9719" s="39">
        <f>A9718</f>
        <v>46048</v>
      </c>
      <c r="B9719" s="40"/>
      <c r="C9719" s="40"/>
      <c r="D9719" s="41"/>
      <c r="E9719" s="43">
        <f>C9719</f>
        <v>0</v>
      </c>
      <c r="F9719" s="42"/>
    </row>
    <row r="9720" spans="1:6">
      <c r="A9720" s="39">
        <f>A9719</f>
        <v>46048</v>
      </c>
      <c r="B9720" s="40"/>
      <c r="C9720" s="40"/>
      <c r="D9720" s="41"/>
      <c r="E9720" s="43">
        <f>C9720</f>
        <v>0</v>
      </c>
      <c r="F9720" s="42"/>
    </row>
    <row r="9721" spans="1:6">
      <c r="A9721" s="39">
        <f>A9720</f>
        <v>46048</v>
      </c>
      <c r="B9721" s="40"/>
      <c r="C9721" s="40"/>
      <c r="D9721" s="41"/>
      <c r="E9721" s="43">
        <f>C9721</f>
        <v>0</v>
      </c>
      <c r="F9721" s="42"/>
    </row>
    <row r="9722" spans="1:6">
      <c r="A9722" s="39">
        <f>A9721</f>
        <v>46048</v>
      </c>
      <c r="B9722" s="40"/>
      <c r="C9722" s="40"/>
      <c r="D9722" s="41"/>
      <c r="E9722" s="43">
        <f>C9722</f>
        <v>0</v>
      </c>
      <c r="F9722" s="42"/>
    </row>
    <row r="9723" spans="1:6">
      <c r="A9723" s="39">
        <f>A9722</f>
        <v>46048</v>
      </c>
      <c r="B9723" s="40"/>
      <c r="C9723" s="40"/>
      <c r="D9723" s="41"/>
      <c r="E9723" s="43">
        <f>C9723</f>
        <v>0</v>
      </c>
      <c r="F9723" s="42"/>
    </row>
    <row r="9724" spans="1:6">
      <c r="A9724" s="39">
        <f>A9723</f>
        <v>46048</v>
      </c>
      <c r="B9724" s="40"/>
      <c r="C9724" s="40"/>
      <c r="D9724" s="41"/>
      <c r="E9724" s="43">
        <f>C9724</f>
        <v>0</v>
      </c>
      <c r="F9724" s="42"/>
    </row>
    <row r="9725" spans="1:6">
      <c r="A9725" s="39">
        <f>A9724</f>
        <v>46048</v>
      </c>
      <c r="B9725" s="40"/>
      <c r="C9725" s="40"/>
      <c r="D9725" s="41"/>
      <c r="E9725" s="43">
        <f>C9725</f>
        <v>0</v>
      </c>
      <c r="F9725" s="42"/>
    </row>
    <row r="9726" spans="1:6">
      <c r="A9726" s="39">
        <f>A9725</f>
        <v>46048</v>
      </c>
      <c r="B9726" s="40"/>
      <c r="C9726" s="40"/>
      <c r="D9726" s="41"/>
      <c r="E9726" s="43">
        <f>C9726</f>
        <v>0</v>
      </c>
      <c r="F9726" s="42"/>
    </row>
    <row r="9727" spans="1:6">
      <c r="A9727" s="39">
        <f>A9726</f>
        <v>46048</v>
      </c>
      <c r="B9727" s="40"/>
      <c r="C9727" s="40"/>
      <c r="D9727" s="41"/>
      <c r="E9727" s="43">
        <f>C9727</f>
        <v>0</v>
      </c>
      <c r="F9727" s="42"/>
    </row>
    <row r="9728" spans="1:6">
      <c r="A9728" s="39">
        <f>A9727</f>
        <v>46048</v>
      </c>
      <c r="B9728" s="40"/>
      <c r="C9728" s="40"/>
      <c r="D9728" s="41"/>
      <c r="E9728" s="43">
        <f>C9728</f>
        <v>0</v>
      </c>
      <c r="F9728" s="42"/>
    </row>
    <row r="9729" spans="1:6">
      <c r="A9729" s="39">
        <f>A9728</f>
        <v>46048</v>
      </c>
      <c r="B9729" s="40"/>
      <c r="C9729" s="40"/>
      <c r="D9729" s="41"/>
      <c r="E9729" s="43">
        <f>C9729</f>
        <v>0</v>
      </c>
      <c r="F9729" s="42"/>
    </row>
    <row r="9730" spans="1:6">
      <c r="A9730" s="39">
        <f>A9729</f>
        <v>46048</v>
      </c>
      <c r="B9730" s="40"/>
      <c r="C9730" s="40"/>
      <c r="D9730" s="41"/>
      <c r="E9730" s="43">
        <f>C9730</f>
        <v>0</v>
      </c>
      <c r="F9730" s="42"/>
    </row>
    <row r="9731" spans="1:6">
      <c r="A9731" s="39">
        <f>A9730</f>
        <v>46048</v>
      </c>
      <c r="B9731" s="40"/>
      <c r="C9731" s="40"/>
      <c r="D9731" s="41"/>
      <c r="E9731" s="43">
        <f>C9731</f>
        <v>0</v>
      </c>
      <c r="F9731" s="42"/>
    </row>
    <row r="9732" spans="1:6">
      <c r="A9732" s="39">
        <f>A9731</f>
        <v>46048</v>
      </c>
      <c r="B9732" s="40"/>
      <c r="C9732" s="40"/>
      <c r="D9732" s="41"/>
      <c r="E9732" s="43">
        <f>C9732</f>
        <v>0</v>
      </c>
      <c r="F9732" s="42"/>
    </row>
    <row r="9733" spans="1:6">
      <c r="A9733" s="39">
        <f>A9732</f>
        <v>46048</v>
      </c>
      <c r="B9733" s="40"/>
      <c r="C9733" s="40"/>
      <c r="D9733" s="41"/>
      <c r="E9733" s="43">
        <f>C9733</f>
        <v>0</v>
      </c>
      <c r="F9733" s="42"/>
    </row>
    <row r="9734" spans="1:6">
      <c r="A9734" s="39">
        <f>A9733</f>
        <v>46048</v>
      </c>
      <c r="B9734" s="40"/>
      <c r="C9734" s="40"/>
      <c r="D9734" s="41"/>
      <c r="E9734" s="43">
        <f>C9734</f>
        <v>0</v>
      </c>
      <c r="F9734" s="42"/>
    </row>
    <row r="9735" spans="1:6">
      <c r="A9735" s="39">
        <f>A9734</f>
        <v>46048</v>
      </c>
      <c r="B9735" s="40"/>
      <c r="C9735" s="40"/>
      <c r="D9735" s="41"/>
      <c r="E9735" s="43">
        <f>C9735</f>
        <v>0</v>
      </c>
      <c r="F9735" s="42"/>
    </row>
    <row r="9736" spans="1:6">
      <c r="A9736" s="39">
        <f>A9735</f>
        <v>46048</v>
      </c>
      <c r="B9736" s="40"/>
      <c r="C9736" s="40"/>
      <c r="D9736" s="41"/>
      <c r="E9736" s="43">
        <f>C9736</f>
        <v>0</v>
      </c>
      <c r="F9736" s="42"/>
    </row>
    <row r="9737" spans="1:6">
      <c r="A9737" s="39">
        <f>A9736</f>
        <v>46048</v>
      </c>
      <c r="B9737" s="40"/>
      <c r="C9737" s="40"/>
      <c r="D9737" s="41"/>
      <c r="E9737" s="43">
        <f>C9737</f>
        <v>0</v>
      </c>
      <c r="F9737" s="42"/>
    </row>
    <row r="9738" spans="1:6">
      <c r="A9738" s="39">
        <f>A9737</f>
        <v>46048</v>
      </c>
      <c r="B9738" s="40"/>
      <c r="C9738" s="40"/>
      <c r="D9738" s="41"/>
      <c r="E9738" s="43">
        <f>C9738</f>
        <v>0</v>
      </c>
      <c r="F9738" s="42"/>
    </row>
    <row r="9739" spans="1:6">
      <c r="A9739" s="39">
        <f>A9738</f>
        <v>46048</v>
      </c>
      <c r="B9739" s="40"/>
      <c r="C9739" s="40"/>
      <c r="D9739" s="41"/>
      <c r="E9739" s="43">
        <f>C9739</f>
        <v>0</v>
      </c>
      <c r="F9739" s="42"/>
    </row>
    <row r="9740" spans="1:6">
      <c r="A9740" s="39">
        <f>A9739</f>
        <v>46048</v>
      </c>
      <c r="B9740" s="40"/>
      <c r="C9740" s="40"/>
      <c r="D9740" s="41"/>
      <c r="E9740" s="43">
        <f>C9740</f>
        <v>0</v>
      </c>
      <c r="F9740" s="42"/>
    </row>
    <row r="9741" spans="1:6">
      <c r="A9741" s="39">
        <f>A9740</f>
        <v>46048</v>
      </c>
      <c r="B9741" s="40"/>
      <c r="C9741" s="40"/>
      <c r="D9741" s="41"/>
      <c r="E9741" s="43">
        <f>C9741</f>
        <v>0</v>
      </c>
      <c r="F9741" s="42"/>
    </row>
    <row r="9742" spans="1:6">
      <c r="A9742" s="39">
        <f>A9741</f>
        <v>46048</v>
      </c>
      <c r="B9742" s="40"/>
      <c r="C9742" s="40"/>
      <c r="D9742" s="41"/>
      <c r="E9742" s="43">
        <f>C9742</f>
        <v>0</v>
      </c>
      <c r="F9742" s="42"/>
    </row>
    <row r="9743" spans="1:6">
      <c r="A9743" s="39">
        <f>A9742</f>
        <v>46048</v>
      </c>
      <c r="B9743" s="40"/>
      <c r="C9743" s="40"/>
      <c r="D9743" s="41"/>
      <c r="E9743" s="43">
        <f>C9743</f>
        <v>0</v>
      </c>
      <c r="F9743" s="42"/>
    </row>
    <row r="9744" spans="1:6">
      <c r="A9744" s="39">
        <f>A9743</f>
        <v>46048</v>
      </c>
      <c r="B9744" s="40"/>
      <c r="C9744" s="40"/>
      <c r="D9744" s="41"/>
      <c r="E9744" s="43">
        <f>C9744</f>
        <v>0</v>
      </c>
      <c r="F9744" s="42"/>
    </row>
    <row r="9745" spans="1:6">
      <c r="A9745" s="39">
        <f>A9744</f>
        <v>46048</v>
      </c>
      <c r="B9745" s="40"/>
      <c r="C9745" s="40"/>
      <c r="D9745" s="41"/>
      <c r="E9745" s="43">
        <f>C9745</f>
        <v>0</v>
      </c>
      <c r="F9745" s="42"/>
    </row>
    <row r="9746" spans="1:6">
      <c r="A9746" s="39">
        <f>A9745</f>
        <v>46048</v>
      </c>
      <c r="B9746" s="40"/>
      <c r="C9746" s="40"/>
      <c r="D9746" s="41"/>
      <c r="E9746" s="43">
        <f>C9746</f>
        <v>0</v>
      </c>
      <c r="F9746" s="42"/>
    </row>
    <row r="9747" spans="1:6">
      <c r="A9747" s="39">
        <f>A9746</f>
        <v>46048</v>
      </c>
      <c r="B9747" s="40"/>
      <c r="C9747" s="40"/>
      <c r="D9747" s="41"/>
      <c r="E9747" s="43">
        <f>C9747</f>
        <v>0</v>
      </c>
      <c r="F9747" s="42"/>
    </row>
    <row r="9748" spans="1:6">
      <c r="A9748" s="39">
        <f>A9747</f>
        <v>46048</v>
      </c>
      <c r="B9748" s="40"/>
      <c r="C9748" s="40"/>
      <c r="D9748" s="41"/>
      <c r="E9748" s="43">
        <f>C9748</f>
        <v>0</v>
      </c>
      <c r="F9748" s="42"/>
    </row>
    <row r="9749" spans="1:6">
      <c r="A9749" s="39">
        <f>A9748</f>
        <v>46048</v>
      </c>
      <c r="B9749" s="40"/>
      <c r="C9749" s="40"/>
      <c r="D9749" s="41"/>
      <c r="E9749" s="43">
        <f>C9749</f>
        <v>0</v>
      </c>
      <c r="F9749" s="42"/>
    </row>
    <row r="9750" spans="1:6">
      <c r="A9750" s="39">
        <f>A9749</f>
        <v>46048</v>
      </c>
      <c r="B9750" s="40"/>
      <c r="C9750" s="40"/>
      <c r="D9750" s="41"/>
      <c r="E9750" s="43">
        <f>C9750</f>
        <v>0</v>
      </c>
      <c r="F9750" s="42"/>
    </row>
    <row r="9751" spans="1:6">
      <c r="A9751" s="39">
        <f>A9750</f>
        <v>46048</v>
      </c>
      <c r="B9751" s="40"/>
      <c r="C9751" s="40"/>
      <c r="D9751" s="41"/>
      <c r="E9751" s="43">
        <f>C9751</f>
        <v>0</v>
      </c>
      <c r="F9751" s="42"/>
    </row>
    <row r="9752" spans="1:6">
      <c r="A9752" s="39">
        <f>A9751</f>
        <v>46048</v>
      </c>
      <c r="B9752" s="40"/>
      <c r="C9752" s="40"/>
      <c r="D9752" s="41"/>
      <c r="E9752" s="43">
        <f>C9752</f>
        <v>0</v>
      </c>
      <c r="F9752" s="42"/>
    </row>
    <row r="9753" spans="1:6">
      <c r="A9753" s="39">
        <f>A9752</f>
        <v>46048</v>
      </c>
      <c r="B9753" s="40"/>
      <c r="C9753" s="40"/>
      <c r="D9753" s="41"/>
      <c r="E9753" s="43">
        <f>C9753</f>
        <v>0</v>
      </c>
      <c r="F9753" s="42"/>
    </row>
    <row r="9754" spans="1:6">
      <c r="A9754" s="39">
        <f>A9753</f>
        <v>46048</v>
      </c>
      <c r="B9754" s="40"/>
      <c r="C9754" s="40"/>
      <c r="D9754" s="41"/>
      <c r="E9754" s="43">
        <f>C9754</f>
        <v>0</v>
      </c>
      <c r="F9754" s="42"/>
    </row>
    <row r="9755" spans="1:6">
      <c r="A9755" s="39">
        <f>A9754</f>
        <v>46048</v>
      </c>
      <c r="B9755" s="40"/>
      <c r="C9755" s="40"/>
      <c r="D9755" s="41"/>
      <c r="E9755" s="43">
        <f>C9755</f>
        <v>0</v>
      </c>
      <c r="F9755" s="42"/>
    </row>
    <row r="9756" spans="1:6">
      <c r="A9756" s="39">
        <f>A9755</f>
        <v>46048</v>
      </c>
      <c r="B9756" s="40"/>
      <c r="C9756" s="40"/>
      <c r="D9756" s="41"/>
      <c r="E9756" s="43">
        <f>C9756</f>
        <v>0</v>
      </c>
      <c r="F9756" s="42"/>
    </row>
    <row r="9757" spans="1:6">
      <c r="A9757" s="39">
        <f>A9756</f>
        <v>46048</v>
      </c>
      <c r="B9757" s="40"/>
      <c r="C9757" s="40"/>
      <c r="D9757" s="41"/>
      <c r="E9757" s="43">
        <f>C9757</f>
        <v>0</v>
      </c>
      <c r="F9757" s="42"/>
    </row>
    <row r="9758" spans="1:6">
      <c r="A9758" s="39">
        <f>A9757</f>
        <v>46048</v>
      </c>
      <c r="B9758" s="40"/>
      <c r="C9758" s="40"/>
      <c r="D9758" s="41"/>
      <c r="E9758" s="43">
        <f>C9758</f>
        <v>0</v>
      </c>
      <c r="F9758" s="42"/>
    </row>
    <row r="9759" spans="1:6">
      <c r="A9759" s="39">
        <f>A9758</f>
        <v>46048</v>
      </c>
      <c r="B9759" s="40"/>
      <c r="C9759" s="40"/>
      <c r="D9759" s="41"/>
      <c r="E9759" s="43">
        <f>C9759</f>
        <v>0</v>
      </c>
      <c r="F9759" s="42"/>
    </row>
    <row r="9760" spans="1:6">
      <c r="A9760" s="39">
        <f>A9759</f>
        <v>46048</v>
      </c>
      <c r="B9760" s="40"/>
      <c r="C9760" s="40"/>
      <c r="D9760" s="41"/>
      <c r="E9760" s="43">
        <f>C9760</f>
        <v>0</v>
      </c>
      <c r="F9760" s="42"/>
    </row>
    <row r="9761" spans="1:6">
      <c r="A9761" s="39">
        <f>A9760</f>
        <v>46048</v>
      </c>
      <c r="B9761" s="40"/>
      <c r="C9761" s="40"/>
      <c r="D9761" s="41"/>
      <c r="E9761" s="43">
        <f>C9761</f>
        <v>0</v>
      </c>
      <c r="F9761" s="42"/>
    </row>
    <row r="9762" spans="1:6">
      <c r="A9762" s="39">
        <f>A9761</f>
        <v>46048</v>
      </c>
      <c r="B9762" s="40"/>
      <c r="C9762" s="40"/>
      <c r="D9762" s="41"/>
      <c r="E9762" s="43">
        <f>C9762</f>
        <v>0</v>
      </c>
      <c r="F9762" s="42"/>
    </row>
    <row r="9763" spans="1:6">
      <c r="A9763" s="39">
        <f>A9762</f>
        <v>46048</v>
      </c>
      <c r="B9763" s="40"/>
      <c r="C9763" s="40"/>
      <c r="D9763" s="41"/>
      <c r="E9763" s="43">
        <f>C9763</f>
        <v>0</v>
      </c>
      <c r="F9763" s="42"/>
    </row>
    <row r="9764" spans="1:6">
      <c r="A9764" s="39">
        <f>A9763</f>
        <v>46048</v>
      </c>
      <c r="B9764" s="40"/>
      <c r="C9764" s="40"/>
      <c r="D9764" s="41"/>
      <c r="E9764" s="43">
        <f>C9764</f>
        <v>0</v>
      </c>
      <c r="F9764" s="42"/>
    </row>
    <row r="9765" spans="1:6">
      <c r="A9765" s="39">
        <f>A9764</f>
        <v>46048</v>
      </c>
      <c r="B9765" s="40"/>
      <c r="C9765" s="40"/>
      <c r="D9765" s="41"/>
      <c r="E9765" s="43">
        <f>C9765</f>
        <v>0</v>
      </c>
      <c r="F9765" s="42"/>
    </row>
    <row r="9766" spans="1:6">
      <c r="A9766" s="39">
        <f>A9765</f>
        <v>46048</v>
      </c>
      <c r="B9766" s="40"/>
      <c r="C9766" s="40"/>
      <c r="D9766" s="41"/>
      <c r="E9766" s="43">
        <f>C9766</f>
        <v>0</v>
      </c>
      <c r="F9766" s="42"/>
    </row>
    <row r="9767" spans="1:6">
      <c r="A9767" s="39">
        <f>A9766</f>
        <v>46048</v>
      </c>
      <c r="B9767" s="40"/>
      <c r="C9767" s="40"/>
      <c r="D9767" s="41"/>
      <c r="E9767" s="43">
        <f>C9767</f>
        <v>0</v>
      </c>
      <c r="F9767" s="42"/>
    </row>
    <row r="9768" spans="1:6">
      <c r="A9768" s="39">
        <f>A9767</f>
        <v>46048</v>
      </c>
      <c r="B9768" s="40"/>
      <c r="C9768" s="40"/>
      <c r="D9768" s="41"/>
      <c r="E9768" s="43">
        <f>C9768</f>
        <v>0</v>
      </c>
      <c r="F9768" s="42"/>
    </row>
    <row r="9769" spans="1:6">
      <c r="A9769" s="39">
        <f>A9768</f>
        <v>46048</v>
      </c>
      <c r="B9769" s="40"/>
      <c r="C9769" s="40"/>
      <c r="D9769" s="41"/>
      <c r="E9769" s="43">
        <f>C9769</f>
        <v>0</v>
      </c>
      <c r="F9769" s="42"/>
    </row>
    <row r="9770" spans="1:6">
      <c r="A9770" s="39">
        <f>A9769</f>
        <v>46048</v>
      </c>
      <c r="B9770" s="40"/>
      <c r="C9770" s="40"/>
      <c r="D9770" s="41"/>
      <c r="E9770" s="43">
        <f>C9770</f>
        <v>0</v>
      </c>
      <c r="F9770" s="42"/>
    </row>
    <row r="9771" spans="1:6">
      <c r="A9771" s="39">
        <f>A9770</f>
        <v>46048</v>
      </c>
      <c r="B9771" s="40"/>
      <c r="C9771" s="40"/>
      <c r="D9771" s="41"/>
      <c r="E9771" s="43">
        <f>C9771</f>
        <v>0</v>
      </c>
      <c r="F9771" s="42"/>
    </row>
    <row r="9772" spans="1:6">
      <c r="A9772" s="39">
        <f>A9771</f>
        <v>46048</v>
      </c>
      <c r="B9772" s="40"/>
      <c r="C9772" s="40"/>
      <c r="D9772" s="41"/>
      <c r="E9772" s="43">
        <f>C9772</f>
        <v>0</v>
      </c>
      <c r="F9772" s="42"/>
    </row>
    <row r="9773" spans="1:6">
      <c r="A9773" s="39">
        <f>A9772</f>
        <v>46048</v>
      </c>
      <c r="B9773" s="40"/>
      <c r="C9773" s="40"/>
      <c r="D9773" s="41"/>
      <c r="E9773" s="43">
        <f>C9773</f>
        <v>0</v>
      </c>
      <c r="F9773" s="42"/>
    </row>
    <row r="9774" spans="1:6">
      <c r="A9774" s="39">
        <f>A9773</f>
        <v>46048</v>
      </c>
      <c r="B9774" s="40"/>
      <c r="C9774" s="40"/>
      <c r="D9774" s="41"/>
      <c r="E9774" s="43">
        <f>C9774</f>
        <v>0</v>
      </c>
      <c r="F9774" s="42"/>
    </row>
    <row r="9775" spans="1:6">
      <c r="A9775" s="39">
        <f>A9774</f>
        <v>46048</v>
      </c>
      <c r="B9775" s="40"/>
      <c r="C9775" s="40"/>
      <c r="D9775" s="41"/>
      <c r="E9775" s="43">
        <f>C9775</f>
        <v>0</v>
      </c>
      <c r="F9775" s="42"/>
    </row>
    <row r="9776" spans="1:6">
      <c r="A9776" s="39">
        <f>A9775</f>
        <v>46048</v>
      </c>
      <c r="B9776" s="40"/>
      <c r="C9776" s="40"/>
      <c r="D9776" s="41"/>
      <c r="E9776" s="43">
        <f>C9776</f>
        <v>0</v>
      </c>
      <c r="F9776" s="42"/>
    </row>
    <row r="9777" spans="1:6">
      <c r="A9777" s="39">
        <f>A9776</f>
        <v>46048</v>
      </c>
      <c r="B9777" s="40"/>
      <c r="C9777" s="40"/>
      <c r="D9777" s="41"/>
      <c r="E9777" s="43">
        <f>C9777</f>
        <v>0</v>
      </c>
      <c r="F9777" s="42"/>
    </row>
    <row r="9778" spans="1:6">
      <c r="A9778" s="39">
        <f>A9777</f>
        <v>46048</v>
      </c>
      <c r="B9778" s="40"/>
      <c r="C9778" s="40"/>
      <c r="D9778" s="41"/>
      <c r="E9778" s="43">
        <f>C9778</f>
        <v>0</v>
      </c>
      <c r="F9778" s="42"/>
    </row>
    <row r="9779" spans="1:6">
      <c r="A9779" s="39">
        <f>A9778</f>
        <v>46048</v>
      </c>
      <c r="B9779" s="40"/>
      <c r="C9779" s="40"/>
      <c r="D9779" s="41"/>
      <c r="E9779" s="43">
        <f>C9779</f>
        <v>0</v>
      </c>
      <c r="F9779" s="42"/>
    </row>
    <row r="9780" spans="1:6">
      <c r="A9780" s="39">
        <f>A9779</f>
        <v>46048</v>
      </c>
      <c r="B9780" s="40"/>
      <c r="C9780" s="40"/>
      <c r="D9780" s="41"/>
      <c r="E9780" s="43">
        <f>C9780</f>
        <v>0</v>
      </c>
      <c r="F9780" s="42"/>
    </row>
    <row r="9781" spans="1:6">
      <c r="A9781" s="39">
        <f>A9780</f>
        <v>46048</v>
      </c>
      <c r="B9781" s="40"/>
      <c r="C9781" s="40"/>
      <c r="D9781" s="41"/>
      <c r="E9781" s="43">
        <f>C9781</f>
        <v>0</v>
      </c>
      <c r="F9781" s="42"/>
    </row>
    <row r="9782" spans="1:6">
      <c r="A9782" s="39">
        <f>A9781</f>
        <v>46048</v>
      </c>
      <c r="B9782" s="40"/>
      <c r="C9782" s="40"/>
      <c r="D9782" s="41"/>
      <c r="E9782" s="43">
        <f>C9782</f>
        <v>0</v>
      </c>
      <c r="F9782" s="42"/>
    </row>
    <row r="9783" spans="1:6">
      <c r="A9783" s="39">
        <f>A9782</f>
        <v>46048</v>
      </c>
      <c r="B9783" s="40"/>
      <c r="C9783" s="40"/>
      <c r="D9783" s="41"/>
      <c r="E9783" s="43">
        <f>C9783</f>
        <v>0</v>
      </c>
      <c r="F9783" s="42"/>
    </row>
    <row r="9784" spans="1:6">
      <c r="A9784" s="39">
        <f>A9783</f>
        <v>46048</v>
      </c>
      <c r="B9784" s="40"/>
      <c r="C9784" s="40"/>
      <c r="D9784" s="41"/>
      <c r="E9784" s="43">
        <f>C9784</f>
        <v>0</v>
      </c>
      <c r="F9784" s="42"/>
    </row>
    <row r="9785" spans="1:6">
      <c r="A9785" s="39">
        <f>A9784</f>
        <v>46048</v>
      </c>
      <c r="B9785" s="40"/>
      <c r="C9785" s="40"/>
      <c r="D9785" s="41"/>
      <c r="E9785" s="43">
        <f>C9785</f>
        <v>0</v>
      </c>
      <c r="F9785" s="42"/>
    </row>
    <row r="9786" spans="1:6">
      <c r="A9786" s="39">
        <f>A9785</f>
        <v>46048</v>
      </c>
      <c r="B9786" s="40"/>
      <c r="C9786" s="40"/>
      <c r="D9786" s="41"/>
      <c r="E9786" s="43">
        <f>C9786</f>
        <v>0</v>
      </c>
      <c r="F9786" s="42"/>
    </row>
    <row r="9787" spans="1:6">
      <c r="A9787" s="39">
        <f>A9786</f>
        <v>46048</v>
      </c>
      <c r="B9787" s="40"/>
      <c r="C9787" s="40"/>
      <c r="D9787" s="41"/>
      <c r="E9787" s="43">
        <f>C9787</f>
        <v>0</v>
      </c>
      <c r="F9787" s="42"/>
    </row>
    <row r="9788" spans="1:6">
      <c r="A9788" s="39">
        <f>A9787</f>
        <v>46048</v>
      </c>
      <c r="B9788" s="40"/>
      <c r="C9788" s="40"/>
      <c r="D9788" s="41"/>
      <c r="E9788" s="43">
        <f>C9788</f>
        <v>0</v>
      </c>
      <c r="F9788" s="42"/>
    </row>
    <row r="9789" spans="1:6">
      <c r="A9789" s="39">
        <f>A9788</f>
        <v>46048</v>
      </c>
      <c r="B9789" s="40"/>
      <c r="C9789" s="40"/>
      <c r="D9789" s="41"/>
      <c r="E9789" s="43">
        <f>C9789</f>
        <v>0</v>
      </c>
      <c r="F9789" s="42"/>
    </row>
    <row r="9790" spans="1:6">
      <c r="A9790" s="39">
        <f>A9789</f>
        <v>46048</v>
      </c>
      <c r="B9790" s="40"/>
      <c r="C9790" s="40"/>
      <c r="D9790" s="41"/>
      <c r="E9790" s="43">
        <f>C9790</f>
        <v>0</v>
      </c>
      <c r="F9790" s="42"/>
    </row>
    <row r="9791" spans="1:6">
      <c r="A9791" s="39">
        <f>A9790</f>
        <v>46048</v>
      </c>
      <c r="B9791" s="40"/>
      <c r="C9791" s="40"/>
      <c r="D9791" s="41"/>
      <c r="E9791" s="43">
        <f>C9791</f>
        <v>0</v>
      </c>
      <c r="F9791" s="42"/>
    </row>
    <row r="9792" spans="1:6">
      <c r="A9792" s="39">
        <f>A9791</f>
        <v>46048</v>
      </c>
      <c r="B9792" s="40"/>
      <c r="C9792" s="40"/>
      <c r="D9792" s="41"/>
      <c r="E9792" s="43">
        <f>C9792</f>
        <v>0</v>
      </c>
      <c r="F9792" s="42"/>
    </row>
    <row r="9793" spans="1:6">
      <c r="A9793" s="39">
        <f>A9792</f>
        <v>46048</v>
      </c>
      <c r="B9793" s="40"/>
      <c r="C9793" s="40"/>
      <c r="D9793" s="41"/>
      <c r="E9793" s="43">
        <f>C9793</f>
        <v>0</v>
      </c>
      <c r="F9793" s="42"/>
    </row>
    <row r="9794" spans="1:6">
      <c r="A9794" s="39">
        <f>A9793</f>
        <v>46048</v>
      </c>
      <c r="B9794" s="40"/>
      <c r="C9794" s="40"/>
      <c r="D9794" s="41"/>
      <c r="E9794" s="43">
        <f>C9794</f>
        <v>0</v>
      </c>
      <c r="F9794" s="42"/>
    </row>
    <row r="9795" spans="1:6">
      <c r="A9795" s="39">
        <f>A9794</f>
        <v>46048</v>
      </c>
      <c r="B9795" s="40"/>
      <c r="C9795" s="40"/>
      <c r="D9795" s="41"/>
      <c r="E9795" s="43">
        <f>C9795</f>
        <v>0</v>
      </c>
      <c r="F9795" s="42"/>
    </row>
    <row r="9796" spans="1:6">
      <c r="A9796" s="39">
        <f>A9795</f>
        <v>46048</v>
      </c>
      <c r="B9796" s="40"/>
      <c r="C9796" s="40"/>
      <c r="D9796" s="41"/>
      <c r="E9796" s="43">
        <f>C9796</f>
        <v>0</v>
      </c>
      <c r="F9796" s="42"/>
    </row>
    <row r="9797" spans="1:6">
      <c r="A9797" s="39">
        <f>A9796</f>
        <v>46048</v>
      </c>
      <c r="B9797" s="40"/>
      <c r="C9797" s="40"/>
      <c r="D9797" s="41"/>
      <c r="E9797" s="43">
        <f>C9797</f>
        <v>0</v>
      </c>
      <c r="F9797" s="42"/>
    </row>
    <row r="9798" spans="1:6">
      <c r="A9798" s="39">
        <f>A9797</f>
        <v>46048</v>
      </c>
      <c r="B9798" s="40"/>
      <c r="C9798" s="40"/>
      <c r="D9798" s="41"/>
      <c r="E9798" s="43">
        <f>C9798</f>
        <v>0</v>
      </c>
      <c r="F9798" s="42"/>
    </row>
    <row r="9799" spans="1:6">
      <c r="A9799" s="39">
        <f>A9798</f>
        <v>46048</v>
      </c>
      <c r="B9799" s="40"/>
      <c r="C9799" s="40"/>
      <c r="D9799" s="41"/>
      <c r="E9799" s="43">
        <f>C9799</f>
        <v>0</v>
      </c>
      <c r="F9799" s="42"/>
    </row>
    <row r="9800" spans="1:6">
      <c r="A9800" s="39">
        <f>A9799</f>
        <v>46048</v>
      </c>
      <c r="B9800" s="40"/>
      <c r="C9800" s="40"/>
      <c r="D9800" s="41"/>
      <c r="E9800" s="43">
        <f>C9800</f>
        <v>0</v>
      </c>
      <c r="F9800" s="42"/>
    </row>
    <row r="9801" spans="1:6">
      <c r="A9801" s="39">
        <f>A9800</f>
        <v>46048</v>
      </c>
      <c r="B9801" s="40"/>
      <c r="C9801" s="40"/>
      <c r="D9801" s="41"/>
      <c r="E9801" s="43">
        <f>C9801</f>
        <v>0</v>
      </c>
      <c r="F9801" s="42"/>
    </row>
    <row r="9802" spans="1:6">
      <c r="A9802" s="39">
        <f>A9801</f>
        <v>46048</v>
      </c>
      <c r="B9802" s="40"/>
      <c r="C9802" s="40"/>
      <c r="D9802" s="41"/>
      <c r="E9802" s="43">
        <f>C9802</f>
        <v>0</v>
      </c>
      <c r="F9802" s="42"/>
    </row>
    <row r="9803" spans="1:6">
      <c r="A9803" s="39">
        <f>A9802</f>
        <v>46048</v>
      </c>
      <c r="B9803" s="40"/>
      <c r="C9803" s="40"/>
      <c r="D9803" s="41"/>
      <c r="E9803" s="43">
        <f>C9803</f>
        <v>0</v>
      </c>
      <c r="F9803" s="42"/>
    </row>
    <row r="9804" spans="1:6">
      <c r="A9804" s="39">
        <f>A9803</f>
        <v>46048</v>
      </c>
      <c r="B9804" s="40"/>
      <c r="C9804" s="40"/>
      <c r="D9804" s="41"/>
      <c r="E9804" s="43">
        <f>C9804</f>
        <v>0</v>
      </c>
      <c r="F9804" s="42"/>
    </row>
    <row r="9805" spans="1:6">
      <c r="A9805" s="39">
        <f>A9804</f>
        <v>46048</v>
      </c>
      <c r="B9805" s="40"/>
      <c r="C9805" s="40"/>
      <c r="D9805" s="41"/>
      <c r="E9805" s="43">
        <f>C9805</f>
        <v>0</v>
      </c>
      <c r="F9805" s="42"/>
    </row>
    <row r="9806" spans="1:6">
      <c r="A9806" s="39">
        <f>A9805</f>
        <v>46048</v>
      </c>
      <c r="B9806" s="40"/>
      <c r="C9806" s="40"/>
      <c r="D9806" s="41"/>
      <c r="E9806" s="43">
        <f>C9806</f>
        <v>0</v>
      </c>
      <c r="F9806" s="42"/>
    </row>
    <row r="9807" spans="1:6">
      <c r="A9807" s="39">
        <f>A9806</f>
        <v>46048</v>
      </c>
      <c r="B9807" s="40"/>
      <c r="C9807" s="40"/>
      <c r="D9807" s="41"/>
      <c r="E9807" s="43">
        <f>C9807</f>
        <v>0</v>
      </c>
      <c r="F9807" s="42"/>
    </row>
    <row r="9808" spans="1:6">
      <c r="A9808" s="39">
        <f>A9807</f>
        <v>46048</v>
      </c>
      <c r="B9808" s="40"/>
      <c r="C9808" s="40"/>
      <c r="D9808" s="41"/>
      <c r="E9808" s="43">
        <f>C9808</f>
        <v>0</v>
      </c>
      <c r="F9808" s="42"/>
    </row>
    <row r="9809" spans="1:6">
      <c r="A9809" s="39">
        <f>A9808</f>
        <v>46048</v>
      </c>
      <c r="B9809" s="40"/>
      <c r="C9809" s="40"/>
      <c r="D9809" s="41"/>
      <c r="E9809" s="43">
        <f>C9809</f>
        <v>0</v>
      </c>
      <c r="F9809" s="42"/>
    </row>
    <row r="9810" spans="1:6">
      <c r="A9810" s="39">
        <f>A9809</f>
        <v>46048</v>
      </c>
      <c r="B9810" s="40"/>
      <c r="C9810" s="40"/>
      <c r="D9810" s="41"/>
      <c r="E9810" s="43">
        <f>C9810</f>
        <v>0</v>
      </c>
      <c r="F9810" s="42"/>
    </row>
    <row r="9811" spans="1:6">
      <c r="A9811" s="39">
        <f>A9810</f>
        <v>46048</v>
      </c>
      <c r="B9811" s="40"/>
      <c r="C9811" s="40"/>
      <c r="D9811" s="41"/>
      <c r="E9811" s="43">
        <f>C9811</f>
        <v>0</v>
      </c>
      <c r="F9811" s="42"/>
    </row>
    <row r="9812" spans="1:6">
      <c r="A9812" s="39">
        <f>A9811</f>
        <v>46048</v>
      </c>
      <c r="B9812" s="40"/>
      <c r="C9812" s="40"/>
      <c r="D9812" s="41"/>
      <c r="E9812" s="43">
        <f>C9812</f>
        <v>0</v>
      </c>
      <c r="F9812" s="42"/>
    </row>
    <row r="9813" spans="1:6">
      <c r="A9813" s="39">
        <f>A9812</f>
        <v>46048</v>
      </c>
      <c r="B9813" s="40"/>
      <c r="C9813" s="40"/>
      <c r="D9813" s="41"/>
      <c r="E9813" s="43">
        <f>C9813</f>
        <v>0</v>
      </c>
      <c r="F9813" s="42"/>
    </row>
    <row r="9814" spans="1:6">
      <c r="A9814" s="39">
        <f>A9813</f>
        <v>46048</v>
      </c>
      <c r="B9814" s="40"/>
      <c r="C9814" s="40"/>
      <c r="D9814" s="41"/>
      <c r="E9814" s="43">
        <f>C9814</f>
        <v>0</v>
      </c>
      <c r="F9814" s="42"/>
    </row>
    <row r="9815" spans="1:6">
      <c r="A9815" s="39">
        <f>A9814</f>
        <v>46048</v>
      </c>
      <c r="B9815" s="40"/>
      <c r="C9815" s="40"/>
      <c r="D9815" s="41"/>
      <c r="E9815" s="43">
        <f>C9815</f>
        <v>0</v>
      </c>
      <c r="F9815" s="42"/>
    </row>
    <row r="9816" spans="1:6">
      <c r="A9816" s="39">
        <f>A9815</f>
        <v>46048</v>
      </c>
      <c r="B9816" s="40"/>
      <c r="C9816" s="40"/>
      <c r="D9816" s="41"/>
      <c r="E9816" s="43">
        <f>C9816</f>
        <v>0</v>
      </c>
      <c r="F9816" s="42"/>
    </row>
    <row r="9817" spans="1:6">
      <c r="A9817" s="39">
        <f>A9816</f>
        <v>46048</v>
      </c>
      <c r="B9817" s="40"/>
      <c r="C9817" s="40"/>
      <c r="D9817" s="41"/>
      <c r="E9817" s="43">
        <f>C9817</f>
        <v>0</v>
      </c>
      <c r="F9817" s="42"/>
    </row>
    <row r="9818" spans="1:6">
      <c r="A9818" s="39">
        <f>A9817</f>
        <v>46048</v>
      </c>
      <c r="B9818" s="40"/>
      <c r="C9818" s="40"/>
      <c r="D9818" s="41"/>
      <c r="E9818" s="43">
        <f>C9818</f>
        <v>0</v>
      </c>
      <c r="F9818" s="42"/>
    </row>
    <row r="9819" spans="1:6">
      <c r="A9819" s="39">
        <f>A9818</f>
        <v>46048</v>
      </c>
      <c r="B9819" s="40"/>
      <c r="C9819" s="40"/>
      <c r="D9819" s="41"/>
      <c r="E9819" s="43">
        <f>C9819</f>
        <v>0</v>
      </c>
      <c r="F9819" s="42"/>
    </row>
    <row r="9820" spans="1:6">
      <c r="A9820" s="39">
        <f>A9819</f>
        <v>46048</v>
      </c>
      <c r="B9820" s="40"/>
      <c r="C9820" s="40"/>
      <c r="D9820" s="41"/>
      <c r="E9820" s="43">
        <f>C9820</f>
        <v>0</v>
      </c>
      <c r="F9820" s="42"/>
    </row>
    <row r="9821" spans="1:6">
      <c r="A9821" s="39">
        <f>A9820</f>
        <v>46048</v>
      </c>
      <c r="B9821" s="40"/>
      <c r="C9821" s="40"/>
      <c r="D9821" s="41"/>
      <c r="E9821" s="43">
        <f>C9821</f>
        <v>0</v>
      </c>
      <c r="F9821" s="42"/>
    </row>
    <row r="9822" spans="1:6">
      <c r="A9822" s="39">
        <f>A9821</f>
        <v>46048</v>
      </c>
      <c r="B9822" s="40"/>
      <c r="C9822" s="40"/>
      <c r="D9822" s="41"/>
      <c r="E9822" s="43">
        <f>C9822</f>
        <v>0</v>
      </c>
      <c r="F9822" s="42"/>
    </row>
    <row r="9823" spans="1:6">
      <c r="A9823" s="39">
        <f>A9822</f>
        <v>46048</v>
      </c>
      <c r="B9823" s="40"/>
      <c r="C9823" s="40"/>
      <c r="D9823" s="41"/>
      <c r="E9823" s="43">
        <f>C9823</f>
        <v>0</v>
      </c>
      <c r="F9823" s="42"/>
    </row>
    <row r="9824" spans="1:6">
      <c r="A9824" s="39">
        <f>A9823</f>
        <v>46048</v>
      </c>
      <c r="B9824" s="40"/>
      <c r="C9824" s="40"/>
      <c r="D9824" s="41"/>
      <c r="E9824" s="43">
        <f>C9824</f>
        <v>0</v>
      </c>
      <c r="F9824" s="42"/>
    </row>
    <row r="9825" spans="1:6">
      <c r="A9825" s="39">
        <f>A9824</f>
        <v>46048</v>
      </c>
      <c r="B9825" s="40"/>
      <c r="C9825" s="40"/>
      <c r="D9825" s="41"/>
      <c r="E9825" s="43">
        <f>C9825</f>
        <v>0</v>
      </c>
      <c r="F9825" s="42"/>
    </row>
    <row r="9826" spans="1:6">
      <c r="A9826" s="39">
        <f>A9825</f>
        <v>46048</v>
      </c>
      <c r="B9826" s="40"/>
      <c r="C9826" s="40"/>
      <c r="D9826" s="41"/>
      <c r="E9826" s="43">
        <f>C9826</f>
        <v>0</v>
      </c>
      <c r="F9826" s="42"/>
    </row>
    <row r="9827" spans="1:6">
      <c r="A9827" s="39">
        <f>A9826</f>
        <v>46048</v>
      </c>
      <c r="B9827" s="40"/>
      <c r="C9827" s="40"/>
      <c r="D9827" s="41"/>
      <c r="E9827" s="43">
        <f>C9827</f>
        <v>0</v>
      </c>
      <c r="F9827" s="42"/>
    </row>
    <row r="9828" spans="1:6">
      <c r="A9828" s="39">
        <f>A9827</f>
        <v>46048</v>
      </c>
      <c r="B9828" s="40"/>
      <c r="C9828" s="40"/>
      <c r="D9828" s="41"/>
      <c r="E9828" s="43">
        <f>C9828</f>
        <v>0</v>
      </c>
      <c r="F9828" s="42"/>
    </row>
    <row r="9829" spans="1:6">
      <c r="A9829" s="39">
        <f>A9828</f>
        <v>46048</v>
      </c>
      <c r="B9829" s="40"/>
      <c r="C9829" s="40"/>
      <c r="D9829" s="41"/>
      <c r="E9829" s="43">
        <f>C9829</f>
        <v>0</v>
      </c>
      <c r="F9829" s="42"/>
    </row>
    <row r="9830" spans="1:6">
      <c r="A9830" s="39">
        <f>A9829</f>
        <v>46048</v>
      </c>
      <c r="B9830" s="40"/>
      <c r="C9830" s="40"/>
      <c r="D9830" s="41"/>
      <c r="E9830" s="43">
        <f>C9830</f>
        <v>0</v>
      </c>
      <c r="F9830" s="42"/>
    </row>
    <row r="9831" spans="1:6">
      <c r="A9831" s="39">
        <f>A9830</f>
        <v>46048</v>
      </c>
      <c r="B9831" s="40"/>
      <c r="C9831" s="40"/>
      <c r="D9831" s="41"/>
      <c r="E9831" s="43">
        <f>C9831</f>
        <v>0</v>
      </c>
      <c r="F9831" s="42"/>
    </row>
    <row r="9832" spans="1:6">
      <c r="A9832" s="39">
        <f>A9831</f>
        <v>46048</v>
      </c>
      <c r="B9832" s="40"/>
      <c r="C9832" s="40"/>
      <c r="D9832" s="41"/>
      <c r="E9832" s="43">
        <f>C9832</f>
        <v>0</v>
      </c>
      <c r="F9832" s="42"/>
    </row>
    <row r="9833" spans="1:6">
      <c r="A9833" s="39">
        <f>A9832</f>
        <v>46048</v>
      </c>
      <c r="B9833" s="40"/>
      <c r="C9833" s="40"/>
      <c r="D9833" s="41"/>
      <c r="E9833" s="43">
        <f>C9833</f>
        <v>0</v>
      </c>
      <c r="F9833" s="42"/>
    </row>
    <row r="9834" spans="1:6">
      <c r="A9834" s="39">
        <f>A9833</f>
        <v>46048</v>
      </c>
      <c r="B9834" s="40"/>
      <c r="C9834" s="40"/>
      <c r="D9834" s="41"/>
      <c r="E9834" s="43">
        <f>C9834</f>
        <v>0</v>
      </c>
      <c r="F9834" s="42"/>
    </row>
    <row r="9835" spans="1:6">
      <c r="A9835" s="39">
        <f>A9834</f>
        <v>46048</v>
      </c>
      <c r="B9835" s="40"/>
      <c r="C9835" s="40"/>
      <c r="D9835" s="41"/>
      <c r="E9835" s="43">
        <f>C9835</f>
        <v>0</v>
      </c>
      <c r="F9835" s="42"/>
    </row>
    <row r="9836" spans="1:6">
      <c r="A9836" s="39">
        <f>A9835</f>
        <v>46048</v>
      </c>
      <c r="B9836" s="40"/>
      <c r="C9836" s="40"/>
      <c r="D9836" s="41"/>
      <c r="E9836" s="43">
        <f>C9836</f>
        <v>0</v>
      </c>
      <c r="F9836" s="42"/>
    </row>
    <row r="9837" spans="1:6">
      <c r="A9837" s="39">
        <f>A9836</f>
        <v>46048</v>
      </c>
      <c r="B9837" s="40"/>
      <c r="C9837" s="40"/>
      <c r="D9837" s="41"/>
      <c r="E9837" s="43">
        <f>C9837</f>
        <v>0</v>
      </c>
      <c r="F9837" s="42"/>
    </row>
    <row r="9838" spans="1:6">
      <c r="A9838" s="39">
        <f>A9837</f>
        <v>46048</v>
      </c>
      <c r="B9838" s="40"/>
      <c r="C9838" s="40"/>
      <c r="D9838" s="41"/>
      <c r="E9838" s="43">
        <f>C9838</f>
        <v>0</v>
      </c>
      <c r="F9838" s="42"/>
    </row>
    <row r="9839" spans="1:6">
      <c r="A9839" s="39">
        <f>A9838</f>
        <v>46048</v>
      </c>
      <c r="B9839" s="40"/>
      <c r="C9839" s="40"/>
      <c r="D9839" s="41"/>
      <c r="E9839" s="43">
        <f>C9839</f>
        <v>0</v>
      </c>
      <c r="F9839" s="42"/>
    </row>
    <row r="9840" spans="1:6">
      <c r="A9840" s="39">
        <f>A9839</f>
        <v>46048</v>
      </c>
      <c r="B9840" s="40"/>
      <c r="C9840" s="40"/>
      <c r="D9840" s="41"/>
      <c r="E9840" s="43">
        <f>C9840</f>
        <v>0</v>
      </c>
      <c r="F9840" s="42"/>
    </row>
    <row r="9841" spans="1:6">
      <c r="A9841" s="39">
        <f>A9840</f>
        <v>46048</v>
      </c>
      <c r="B9841" s="40"/>
      <c r="C9841" s="40"/>
      <c r="D9841" s="41"/>
      <c r="E9841" s="43">
        <f>C9841</f>
        <v>0</v>
      </c>
      <c r="F9841" s="42"/>
    </row>
    <row r="9842" spans="1:6">
      <c r="A9842" s="39">
        <f>A9841</f>
        <v>46048</v>
      </c>
      <c r="B9842" s="40"/>
      <c r="C9842" s="40"/>
      <c r="D9842" s="41"/>
      <c r="E9842" s="43">
        <f>C9842</f>
        <v>0</v>
      </c>
      <c r="F9842" s="42"/>
    </row>
    <row r="9843" spans="1:6">
      <c r="A9843" s="39">
        <f>A9842</f>
        <v>46048</v>
      </c>
      <c r="B9843" s="40"/>
      <c r="C9843" s="40"/>
      <c r="D9843" s="41"/>
      <c r="E9843" s="43">
        <f>C9843</f>
        <v>0</v>
      </c>
      <c r="F9843" s="42"/>
    </row>
    <row r="9844" spans="1:6">
      <c r="A9844" s="39">
        <f>A9843</f>
        <v>46048</v>
      </c>
      <c r="B9844" s="40"/>
      <c r="C9844" s="40"/>
      <c r="D9844" s="41"/>
      <c r="E9844" s="43">
        <f>C9844</f>
        <v>0</v>
      </c>
      <c r="F9844" s="42"/>
    </row>
    <row r="9845" spans="1:6">
      <c r="A9845" s="39">
        <f>A9844</f>
        <v>46048</v>
      </c>
      <c r="B9845" s="40"/>
      <c r="C9845" s="40"/>
      <c r="D9845" s="41"/>
      <c r="E9845" s="43">
        <f>C9845</f>
        <v>0</v>
      </c>
      <c r="F9845" s="42"/>
    </row>
    <row r="9846" spans="1:6">
      <c r="A9846" s="39">
        <f>A9845</f>
        <v>46048</v>
      </c>
      <c r="B9846" s="40"/>
      <c r="C9846" s="40"/>
      <c r="D9846" s="41"/>
      <c r="E9846" s="43">
        <f>C9846</f>
        <v>0</v>
      </c>
      <c r="F9846" s="42"/>
    </row>
    <row r="9847" spans="1:6">
      <c r="A9847" s="39">
        <f>A9846</f>
        <v>46048</v>
      </c>
      <c r="B9847" s="40"/>
      <c r="C9847" s="40"/>
      <c r="D9847" s="41"/>
      <c r="E9847" s="43">
        <f>C9847</f>
        <v>0</v>
      </c>
      <c r="F9847" s="42"/>
    </row>
    <row r="9848" spans="1:6">
      <c r="A9848" s="39">
        <f>A9847</f>
        <v>46048</v>
      </c>
      <c r="B9848" s="40"/>
      <c r="C9848" s="40"/>
      <c r="D9848" s="41"/>
      <c r="E9848" s="43">
        <f>C9848</f>
        <v>0</v>
      </c>
      <c r="F9848" s="42"/>
    </row>
    <row r="9849" spans="1:6">
      <c r="A9849" s="39">
        <f>A9848</f>
        <v>46048</v>
      </c>
      <c r="B9849" s="40"/>
      <c r="C9849" s="40"/>
      <c r="D9849" s="41"/>
      <c r="E9849" s="43">
        <f>C9849</f>
        <v>0</v>
      </c>
      <c r="F9849" s="42"/>
    </row>
    <row r="9850" spans="1:6">
      <c r="A9850" s="39">
        <f>A9849</f>
        <v>46048</v>
      </c>
      <c r="B9850" s="40"/>
      <c r="C9850" s="40"/>
      <c r="D9850" s="41"/>
      <c r="E9850" s="43">
        <f>C9850</f>
        <v>0</v>
      </c>
      <c r="F9850" s="42"/>
    </row>
    <row r="9851" spans="1:6">
      <c r="A9851" s="39">
        <f>A9850</f>
        <v>46048</v>
      </c>
      <c r="B9851" s="40"/>
      <c r="C9851" s="40"/>
      <c r="D9851" s="41"/>
      <c r="E9851" s="43">
        <f>C9851</f>
        <v>0</v>
      </c>
      <c r="F9851" s="42"/>
    </row>
    <row r="9852" spans="1:6">
      <c r="A9852" s="39">
        <f>A9851</f>
        <v>46048</v>
      </c>
      <c r="B9852" s="40"/>
      <c r="C9852" s="40"/>
      <c r="D9852" s="41"/>
      <c r="E9852" s="43">
        <f>C9852</f>
        <v>0</v>
      </c>
      <c r="F9852" s="42"/>
    </row>
    <row r="9853" spans="1:6">
      <c r="A9853" s="39">
        <f>A9852</f>
        <v>46048</v>
      </c>
      <c r="B9853" s="40"/>
      <c r="C9853" s="40"/>
      <c r="D9853" s="41"/>
      <c r="E9853" s="43">
        <f>C9853</f>
        <v>0</v>
      </c>
      <c r="F9853" s="42"/>
    </row>
    <row r="9854" spans="1:6">
      <c r="A9854" s="39">
        <f>A9853</f>
        <v>46048</v>
      </c>
      <c r="B9854" s="40"/>
      <c r="C9854" s="40"/>
      <c r="D9854" s="41"/>
      <c r="E9854" s="43">
        <f>C9854</f>
        <v>0</v>
      </c>
      <c r="F9854" s="42"/>
    </row>
    <row r="9855" spans="1:6">
      <c r="A9855" s="39">
        <f>A9854</f>
        <v>46048</v>
      </c>
      <c r="B9855" s="40"/>
      <c r="C9855" s="40"/>
      <c r="D9855" s="41"/>
      <c r="E9855" s="43">
        <f>C9855</f>
        <v>0</v>
      </c>
      <c r="F9855" s="42"/>
    </row>
    <row r="9856" spans="1:6">
      <c r="A9856" s="39">
        <f>A9855</f>
        <v>46048</v>
      </c>
      <c r="B9856" s="40"/>
      <c r="C9856" s="40"/>
      <c r="D9856" s="41"/>
      <c r="E9856" s="43">
        <f>C9856</f>
        <v>0</v>
      </c>
      <c r="F9856" s="42"/>
    </row>
    <row r="9857" spans="1:6">
      <c r="A9857" s="39">
        <f>A9856</f>
        <v>46048</v>
      </c>
      <c r="B9857" s="40"/>
      <c r="C9857" s="40"/>
      <c r="D9857" s="41"/>
      <c r="E9857" s="43">
        <f>C9857</f>
        <v>0</v>
      </c>
      <c r="F9857" s="42"/>
    </row>
    <row r="9858" spans="1:6">
      <c r="A9858" s="39">
        <f>A9857</f>
        <v>46048</v>
      </c>
      <c r="B9858" s="40"/>
      <c r="C9858" s="40"/>
      <c r="D9858" s="41"/>
      <c r="E9858" s="43">
        <f>C9858</f>
        <v>0</v>
      </c>
      <c r="F9858" s="42"/>
    </row>
    <row r="9859" spans="1:6">
      <c r="A9859" s="39">
        <f>A9858</f>
        <v>46048</v>
      </c>
      <c r="B9859" s="40"/>
      <c r="C9859" s="40"/>
      <c r="D9859" s="41"/>
      <c r="E9859" s="43">
        <f>C9859</f>
        <v>0</v>
      </c>
      <c r="F9859" s="42"/>
    </row>
    <row r="9860" spans="1:6">
      <c r="A9860" s="39">
        <f>A9859</f>
        <v>46048</v>
      </c>
      <c r="B9860" s="40"/>
      <c r="C9860" s="40"/>
      <c r="D9860" s="41"/>
      <c r="E9860" s="43">
        <f>C9860</f>
        <v>0</v>
      </c>
      <c r="F9860" s="42"/>
    </row>
    <row r="9861" spans="1:6">
      <c r="A9861" s="39">
        <f>A9860</f>
        <v>46048</v>
      </c>
      <c r="B9861" s="40"/>
      <c r="C9861" s="40"/>
      <c r="D9861" s="41"/>
      <c r="E9861" s="43">
        <f>C9861</f>
        <v>0</v>
      </c>
      <c r="F9861" s="42"/>
    </row>
    <row r="9862" spans="1:6">
      <c r="A9862" s="39">
        <f>A9861</f>
        <v>46048</v>
      </c>
      <c r="B9862" s="40"/>
      <c r="C9862" s="40"/>
      <c r="D9862" s="41"/>
      <c r="E9862" s="43">
        <f>C9862</f>
        <v>0</v>
      </c>
      <c r="F9862" s="42"/>
    </row>
    <row r="9863" spans="1:6">
      <c r="A9863" s="39">
        <f>A9862</f>
        <v>46048</v>
      </c>
      <c r="B9863" s="40"/>
      <c r="C9863" s="40"/>
      <c r="D9863" s="41"/>
      <c r="E9863" s="43">
        <f>C9863</f>
        <v>0</v>
      </c>
      <c r="F9863" s="42"/>
    </row>
    <row r="9864" spans="1:6">
      <c r="A9864" s="39">
        <f>A9863</f>
        <v>46048</v>
      </c>
      <c r="B9864" s="40"/>
      <c r="C9864" s="40"/>
      <c r="D9864" s="41"/>
      <c r="E9864" s="43">
        <f>C9864</f>
        <v>0</v>
      </c>
      <c r="F9864" s="42"/>
    </row>
    <row r="9865" spans="1:6">
      <c r="A9865" s="39">
        <f>A9864</f>
        <v>46048</v>
      </c>
      <c r="B9865" s="40"/>
      <c r="C9865" s="40"/>
      <c r="D9865" s="41"/>
      <c r="E9865" s="43">
        <f>C9865</f>
        <v>0</v>
      </c>
      <c r="F9865" s="42"/>
    </row>
    <row r="9866" spans="1:6">
      <c r="A9866" s="39">
        <f>A9865</f>
        <v>46048</v>
      </c>
      <c r="B9866" s="40"/>
      <c r="C9866" s="40"/>
      <c r="D9866" s="41"/>
      <c r="E9866" s="43">
        <f>C9866</f>
        <v>0</v>
      </c>
      <c r="F9866" s="42"/>
    </row>
    <row r="9867" spans="1:6">
      <c r="A9867" s="39">
        <f>A9866</f>
        <v>46048</v>
      </c>
      <c r="B9867" s="40"/>
      <c r="C9867" s="40"/>
      <c r="D9867" s="41"/>
      <c r="E9867" s="43">
        <f>C9867</f>
        <v>0</v>
      </c>
      <c r="F9867" s="42"/>
    </row>
    <row r="9868" spans="1:6">
      <c r="A9868" s="39">
        <f>A9867</f>
        <v>46048</v>
      </c>
      <c r="B9868" s="40"/>
      <c r="C9868" s="40"/>
      <c r="D9868" s="41"/>
      <c r="E9868" s="43">
        <f>C9868</f>
        <v>0</v>
      </c>
      <c r="F9868" s="42"/>
    </row>
    <row r="9869" spans="1:6">
      <c r="A9869" s="39">
        <f>A9868</f>
        <v>46048</v>
      </c>
      <c r="B9869" s="40"/>
      <c r="C9869" s="40"/>
      <c r="D9869" s="41"/>
      <c r="E9869" s="43">
        <f>C9869</f>
        <v>0</v>
      </c>
      <c r="F9869" s="42"/>
    </row>
    <row r="9870" spans="1:6">
      <c r="A9870" s="39">
        <f>A9869</f>
        <v>46048</v>
      </c>
      <c r="B9870" s="40"/>
      <c r="C9870" s="40"/>
      <c r="D9870" s="41"/>
      <c r="E9870" s="43">
        <f>C9870</f>
        <v>0</v>
      </c>
      <c r="F9870" s="42"/>
    </row>
    <row r="9871" spans="1:6">
      <c r="A9871" s="39">
        <f>A9870</f>
        <v>46048</v>
      </c>
      <c r="B9871" s="40"/>
      <c r="C9871" s="40"/>
      <c r="D9871" s="41"/>
      <c r="E9871" s="43">
        <f>C9871</f>
        <v>0</v>
      </c>
      <c r="F9871" s="42"/>
    </row>
    <row r="9872" spans="1:6">
      <c r="A9872" s="39">
        <f>A9871</f>
        <v>46048</v>
      </c>
      <c r="B9872" s="40"/>
      <c r="C9872" s="40"/>
      <c r="D9872" s="41"/>
      <c r="E9872" s="43">
        <f>C9872</f>
        <v>0</v>
      </c>
      <c r="F9872" s="42"/>
    </row>
    <row r="9873" spans="1:6">
      <c r="A9873" s="39">
        <f>A9872</f>
        <v>46048</v>
      </c>
      <c r="B9873" s="40"/>
      <c r="C9873" s="40"/>
      <c r="D9873" s="41"/>
      <c r="E9873" s="43">
        <f>C9873</f>
        <v>0</v>
      </c>
      <c r="F9873" s="42"/>
    </row>
    <row r="9874" spans="1:6">
      <c r="A9874" s="39">
        <f>A9873</f>
        <v>46048</v>
      </c>
      <c r="B9874" s="40"/>
      <c r="C9874" s="40"/>
      <c r="D9874" s="41"/>
      <c r="E9874" s="43">
        <f>C9874</f>
        <v>0</v>
      </c>
      <c r="F9874" s="42"/>
    </row>
    <row r="9875" spans="1:6">
      <c r="A9875" s="39">
        <f>A9874</f>
        <v>46048</v>
      </c>
      <c r="B9875" s="40"/>
      <c r="C9875" s="40"/>
      <c r="D9875" s="41"/>
      <c r="E9875" s="43">
        <f>C9875</f>
        <v>0</v>
      </c>
      <c r="F9875" s="42"/>
    </row>
    <row r="9876" spans="1:6">
      <c r="A9876" s="39">
        <f>A9875</f>
        <v>46048</v>
      </c>
      <c r="B9876" s="40"/>
      <c r="C9876" s="40"/>
      <c r="D9876" s="41"/>
      <c r="E9876" s="43">
        <f>C9876</f>
        <v>0</v>
      </c>
      <c r="F9876" s="42"/>
    </row>
    <row r="9877" spans="1:6">
      <c r="A9877" s="39">
        <f>A9876</f>
        <v>46048</v>
      </c>
      <c r="B9877" s="40"/>
      <c r="C9877" s="40"/>
      <c r="D9877" s="41"/>
      <c r="E9877" s="43">
        <f>C9877</f>
        <v>0</v>
      </c>
      <c r="F9877" s="42"/>
    </row>
    <row r="9878" spans="1:6">
      <c r="A9878" s="39">
        <f>A9877</f>
        <v>46048</v>
      </c>
      <c r="B9878" s="40"/>
      <c r="C9878" s="40"/>
      <c r="D9878" s="41"/>
      <c r="E9878" s="43">
        <f>C9878</f>
        <v>0</v>
      </c>
      <c r="F9878" s="42"/>
    </row>
    <row r="9879" spans="1:6">
      <c r="A9879" s="39">
        <f>A9878</f>
        <v>46048</v>
      </c>
      <c r="B9879" s="40"/>
      <c r="C9879" s="40"/>
      <c r="D9879" s="41"/>
      <c r="E9879" s="43">
        <f>C9879</f>
        <v>0</v>
      </c>
      <c r="F9879" s="42"/>
    </row>
    <row r="9880" spans="1:6">
      <c r="A9880" s="39">
        <f>A9879</f>
        <v>46048</v>
      </c>
      <c r="B9880" s="40"/>
      <c r="C9880" s="40"/>
      <c r="D9880" s="41"/>
      <c r="E9880" s="43">
        <f>C9880</f>
        <v>0</v>
      </c>
      <c r="F9880" s="42"/>
    </row>
    <row r="9881" spans="1:6">
      <c r="A9881" s="39">
        <f>A9880</f>
        <v>46048</v>
      </c>
      <c r="B9881" s="40"/>
      <c r="C9881" s="40"/>
      <c r="D9881" s="41"/>
      <c r="E9881" s="43">
        <f>C9881</f>
        <v>0</v>
      </c>
      <c r="F9881" s="42"/>
    </row>
    <row r="9882" spans="1:6">
      <c r="A9882" s="39">
        <f>A9881</f>
        <v>46048</v>
      </c>
      <c r="B9882" s="40"/>
      <c r="C9882" s="40"/>
      <c r="D9882" s="41"/>
      <c r="E9882" s="43">
        <f>C9882</f>
        <v>0</v>
      </c>
      <c r="F9882" s="42"/>
    </row>
    <row r="9883" spans="1:6">
      <c r="A9883" s="39">
        <f>A9882</f>
        <v>46048</v>
      </c>
      <c r="B9883" s="40"/>
      <c r="C9883" s="40"/>
      <c r="D9883" s="41"/>
      <c r="E9883" s="43">
        <f>C9883</f>
        <v>0</v>
      </c>
      <c r="F9883" s="42"/>
    </row>
    <row r="9884" spans="1:6">
      <c r="A9884" s="39">
        <f>A9883</f>
        <v>46048</v>
      </c>
      <c r="B9884" s="40"/>
      <c r="C9884" s="40"/>
      <c r="D9884" s="41"/>
      <c r="E9884" s="43">
        <f>C9884</f>
        <v>0</v>
      </c>
      <c r="F9884" s="42"/>
    </row>
    <row r="9885" spans="1:6">
      <c r="A9885" s="39">
        <f>A9884</f>
        <v>46048</v>
      </c>
      <c r="B9885" s="40"/>
      <c r="C9885" s="40"/>
      <c r="D9885" s="41"/>
      <c r="E9885" s="43">
        <f>C9885</f>
        <v>0</v>
      </c>
      <c r="F9885" s="42"/>
    </row>
    <row r="9886" spans="1:6">
      <c r="A9886" s="39">
        <f>A9885</f>
        <v>46048</v>
      </c>
      <c r="B9886" s="40"/>
      <c r="C9886" s="40"/>
      <c r="D9886" s="41"/>
      <c r="E9886" s="43">
        <f>C9886</f>
        <v>0</v>
      </c>
      <c r="F9886" s="42"/>
    </row>
    <row r="9887" spans="1:6">
      <c r="A9887" s="39">
        <f>A9886</f>
        <v>46048</v>
      </c>
      <c r="B9887" s="40"/>
      <c r="C9887" s="40"/>
      <c r="D9887" s="41"/>
      <c r="E9887" s="43">
        <f>C9887</f>
        <v>0</v>
      </c>
      <c r="F9887" s="42"/>
    </row>
    <row r="9888" spans="1:6">
      <c r="A9888" s="39">
        <f>A9887</f>
        <v>46048</v>
      </c>
      <c r="B9888" s="40"/>
      <c r="C9888" s="40"/>
      <c r="D9888" s="41"/>
      <c r="E9888" s="43">
        <f>C9888</f>
        <v>0</v>
      </c>
      <c r="F9888" s="42"/>
    </row>
    <row r="9889" spans="1:6">
      <c r="A9889" s="39">
        <f>A9888</f>
        <v>46048</v>
      </c>
      <c r="B9889" s="40"/>
      <c r="C9889" s="40"/>
      <c r="D9889" s="41"/>
      <c r="E9889" s="43">
        <f>C9889</f>
        <v>0</v>
      </c>
      <c r="F9889" s="42"/>
    </row>
    <row r="9890" spans="1:6">
      <c r="A9890" s="39">
        <f>A9889</f>
        <v>46048</v>
      </c>
      <c r="B9890" s="40"/>
      <c r="C9890" s="40"/>
      <c r="D9890" s="41"/>
      <c r="E9890" s="43">
        <f>C9890</f>
        <v>0</v>
      </c>
      <c r="F9890" s="42"/>
    </row>
    <row r="9891" spans="1:6">
      <c r="A9891" s="39">
        <f>A9890</f>
        <v>46048</v>
      </c>
      <c r="B9891" s="40"/>
      <c r="C9891" s="40"/>
      <c r="D9891" s="41"/>
      <c r="E9891" s="43">
        <f>C9891</f>
        <v>0</v>
      </c>
      <c r="F9891" s="42"/>
    </row>
    <row r="9892" spans="1:6">
      <c r="A9892" s="39">
        <f>A9891</f>
        <v>46048</v>
      </c>
      <c r="B9892" s="40"/>
      <c r="C9892" s="40"/>
      <c r="D9892" s="41"/>
      <c r="E9892" s="43">
        <f>C9892</f>
        <v>0</v>
      </c>
      <c r="F9892" s="42"/>
    </row>
    <row r="9893" spans="1:6">
      <c r="A9893" s="39">
        <f>A9892</f>
        <v>46048</v>
      </c>
      <c r="B9893" s="40"/>
      <c r="C9893" s="40"/>
      <c r="D9893" s="41"/>
      <c r="E9893" s="43">
        <f>C9893</f>
        <v>0</v>
      </c>
      <c r="F9893" s="42"/>
    </row>
    <row r="9894" spans="1:6">
      <c r="A9894" s="39">
        <f>A9893</f>
        <v>46048</v>
      </c>
      <c r="B9894" s="40"/>
      <c r="C9894" s="40"/>
      <c r="D9894" s="41"/>
      <c r="E9894" s="43">
        <f>C9894</f>
        <v>0</v>
      </c>
      <c r="F9894" s="42"/>
    </row>
    <row r="9895" spans="1:6">
      <c r="A9895" s="39">
        <f>A9894</f>
        <v>46048</v>
      </c>
      <c r="B9895" s="40"/>
      <c r="C9895" s="40"/>
      <c r="D9895" s="41"/>
      <c r="E9895" s="43">
        <f>C9895</f>
        <v>0</v>
      </c>
      <c r="F9895" s="42"/>
    </row>
    <row r="9896" spans="1:6">
      <c r="A9896" s="39">
        <f>A9895</f>
        <v>46048</v>
      </c>
      <c r="B9896" s="40"/>
      <c r="C9896" s="40"/>
      <c r="D9896" s="41"/>
      <c r="E9896" s="43">
        <f>C9896</f>
        <v>0</v>
      </c>
      <c r="F9896" s="42"/>
    </row>
    <row r="9897" spans="1:6">
      <c r="A9897" s="39">
        <f>A9896</f>
        <v>46048</v>
      </c>
      <c r="B9897" s="40"/>
      <c r="C9897" s="40"/>
      <c r="D9897" s="41"/>
      <c r="E9897" s="43">
        <f>C9897</f>
        <v>0</v>
      </c>
      <c r="F9897" s="42"/>
    </row>
    <row r="9898" spans="1:6">
      <c r="A9898" s="39">
        <f>A9897</f>
        <v>46048</v>
      </c>
      <c r="B9898" s="40"/>
      <c r="C9898" s="40"/>
      <c r="D9898" s="41"/>
      <c r="E9898" s="43">
        <f>C9898</f>
        <v>0</v>
      </c>
      <c r="F9898" s="42"/>
    </row>
    <row r="9899" spans="1:6">
      <c r="A9899" s="39">
        <f>A9898</f>
        <v>46048</v>
      </c>
      <c r="B9899" s="40"/>
      <c r="C9899" s="40"/>
      <c r="D9899" s="41"/>
      <c r="E9899" s="43">
        <f>C9899</f>
        <v>0</v>
      </c>
      <c r="F9899" s="42"/>
    </row>
    <row r="9900" spans="1:6">
      <c r="A9900" s="39">
        <f>A9899</f>
        <v>46048</v>
      </c>
      <c r="B9900" s="40"/>
      <c r="C9900" s="40"/>
      <c r="D9900" s="41"/>
      <c r="E9900" s="43">
        <f>C9900</f>
        <v>0</v>
      </c>
      <c r="F9900" s="42"/>
    </row>
    <row r="9901" spans="1:6">
      <c r="A9901" s="39">
        <f>A9900</f>
        <v>46048</v>
      </c>
      <c r="B9901" s="40"/>
      <c r="C9901" s="40"/>
      <c r="D9901" s="41"/>
      <c r="E9901" s="43">
        <f>C9901</f>
        <v>0</v>
      </c>
      <c r="F9901" s="42"/>
    </row>
    <row r="9902" spans="1:6">
      <c r="A9902" s="39">
        <f>A9901</f>
        <v>46048</v>
      </c>
      <c r="B9902" s="40"/>
      <c r="C9902" s="40"/>
      <c r="D9902" s="41"/>
      <c r="E9902" s="43">
        <f>C9902</f>
        <v>0</v>
      </c>
      <c r="F9902" s="42"/>
    </row>
    <row r="9903" spans="1:6">
      <c r="A9903" s="39">
        <f>A9902</f>
        <v>46048</v>
      </c>
      <c r="B9903" s="40"/>
      <c r="C9903" s="40"/>
      <c r="D9903" s="41"/>
      <c r="E9903" s="43">
        <f>C9903</f>
        <v>0</v>
      </c>
      <c r="F9903" s="42"/>
    </row>
    <row r="9904" spans="1:6">
      <c r="A9904" s="39">
        <f>A9903</f>
        <v>46048</v>
      </c>
      <c r="B9904" s="40"/>
      <c r="C9904" s="40"/>
      <c r="D9904" s="41"/>
      <c r="E9904" s="43">
        <f>C9904</f>
        <v>0</v>
      </c>
      <c r="F9904" s="42"/>
    </row>
    <row r="9905" spans="1:6">
      <c r="A9905" s="39">
        <f>A9904</f>
        <v>46048</v>
      </c>
      <c r="B9905" s="40"/>
      <c r="C9905" s="40"/>
      <c r="D9905" s="41"/>
      <c r="E9905" s="43">
        <f>C9905</f>
        <v>0</v>
      </c>
      <c r="F9905" s="42"/>
    </row>
    <row r="9906" spans="1:6">
      <c r="A9906" s="39">
        <f>A9905</f>
        <v>46048</v>
      </c>
      <c r="B9906" s="40"/>
      <c r="C9906" s="40"/>
      <c r="D9906" s="41"/>
      <c r="E9906" s="43">
        <f>C9906</f>
        <v>0</v>
      </c>
      <c r="F9906" s="42"/>
    </row>
    <row r="9907" spans="1:6">
      <c r="A9907" s="39">
        <f>A9906</f>
        <v>46048</v>
      </c>
      <c r="B9907" s="40"/>
      <c r="C9907" s="40"/>
      <c r="D9907" s="41"/>
      <c r="E9907" s="43">
        <f>C9907</f>
        <v>0</v>
      </c>
      <c r="F9907" s="42"/>
    </row>
    <row r="9908" spans="1:6">
      <c r="A9908" s="39">
        <f>A9907</f>
        <v>46048</v>
      </c>
      <c r="B9908" s="40"/>
      <c r="C9908" s="40"/>
      <c r="D9908" s="41"/>
      <c r="E9908" s="43">
        <f>C9908</f>
        <v>0</v>
      </c>
      <c r="F9908" s="42"/>
    </row>
    <row r="9909" spans="1:6">
      <c r="A9909" s="39">
        <f>A9908</f>
        <v>46048</v>
      </c>
      <c r="B9909" s="40"/>
      <c r="C9909" s="40"/>
      <c r="D9909" s="41"/>
      <c r="E9909" s="43">
        <f>C9909</f>
        <v>0</v>
      </c>
      <c r="F9909" s="42"/>
    </row>
    <row r="9910" spans="1:6">
      <c r="A9910" s="39">
        <f>A9909</f>
        <v>46048</v>
      </c>
      <c r="B9910" s="40"/>
      <c r="C9910" s="40"/>
      <c r="D9910" s="41"/>
      <c r="E9910" s="43">
        <f>C9910</f>
        <v>0</v>
      </c>
      <c r="F9910" s="42"/>
    </row>
    <row r="9911" spans="1:6">
      <c r="A9911" s="39">
        <f>A9910</f>
        <v>46048</v>
      </c>
      <c r="B9911" s="40"/>
      <c r="C9911" s="40"/>
      <c r="D9911" s="41"/>
      <c r="E9911" s="43">
        <f>C9911</f>
        <v>0</v>
      </c>
      <c r="F9911" s="42"/>
    </row>
    <row r="9912" spans="1:6">
      <c r="A9912" s="39">
        <f>A9911</f>
        <v>46048</v>
      </c>
      <c r="B9912" s="40"/>
      <c r="C9912" s="40"/>
      <c r="D9912" s="41"/>
      <c r="E9912" s="43">
        <f>C9912</f>
        <v>0</v>
      </c>
      <c r="F9912" s="42"/>
    </row>
    <row r="9913" spans="1:6">
      <c r="A9913" s="39">
        <f>A9912</f>
        <v>46048</v>
      </c>
      <c r="B9913" s="40"/>
      <c r="C9913" s="40"/>
      <c r="D9913" s="41"/>
      <c r="E9913" s="43">
        <f>C9913</f>
        <v>0</v>
      </c>
      <c r="F9913" s="42"/>
    </row>
    <row r="9914" spans="1:6">
      <c r="A9914" s="39">
        <f>A9913</f>
        <v>46048</v>
      </c>
      <c r="B9914" s="40"/>
      <c r="C9914" s="40"/>
      <c r="D9914" s="41"/>
      <c r="E9914" s="43">
        <f>C9914</f>
        <v>0</v>
      </c>
      <c r="F9914" s="42"/>
    </row>
    <row r="9915" spans="1:6">
      <c r="A9915" s="39">
        <f>A9914</f>
        <v>46048</v>
      </c>
      <c r="B9915" s="40"/>
      <c r="C9915" s="40"/>
      <c r="D9915" s="41"/>
      <c r="E9915" s="43">
        <f>C9915</f>
        <v>0</v>
      </c>
      <c r="F9915" s="42"/>
    </row>
    <row r="9916" spans="1:6">
      <c r="A9916" s="39">
        <f>A9915</f>
        <v>46048</v>
      </c>
      <c r="B9916" s="40"/>
      <c r="C9916" s="40"/>
      <c r="D9916" s="41"/>
      <c r="E9916" s="43">
        <f>C9916</f>
        <v>0</v>
      </c>
      <c r="F9916" s="42"/>
    </row>
    <row r="9917" spans="1:6">
      <c r="A9917" s="39">
        <f>A9916</f>
        <v>46048</v>
      </c>
      <c r="B9917" s="40"/>
      <c r="C9917" s="40"/>
      <c r="D9917" s="41"/>
      <c r="E9917" s="43">
        <f>C9917</f>
        <v>0</v>
      </c>
      <c r="F9917" s="42"/>
    </row>
    <row r="9918" spans="1:6">
      <c r="A9918" s="39">
        <f>A9917</f>
        <v>46048</v>
      </c>
      <c r="B9918" s="40"/>
      <c r="C9918" s="40"/>
      <c r="D9918" s="41"/>
      <c r="E9918" s="43">
        <f>C9918</f>
        <v>0</v>
      </c>
      <c r="F9918" s="42"/>
    </row>
    <row r="9919" spans="1:6">
      <c r="A9919" s="39">
        <f>A9918</f>
        <v>46048</v>
      </c>
      <c r="B9919" s="40"/>
      <c r="C9919" s="40"/>
      <c r="D9919" s="41"/>
      <c r="E9919" s="43">
        <f>C9919</f>
        <v>0</v>
      </c>
      <c r="F9919" s="42"/>
    </row>
    <row r="9920" spans="1:6">
      <c r="A9920" s="39">
        <f>A9919</f>
        <v>46048</v>
      </c>
      <c r="B9920" s="40"/>
      <c r="C9920" s="40"/>
      <c r="D9920" s="41"/>
      <c r="E9920" s="43">
        <f>C9920</f>
        <v>0</v>
      </c>
      <c r="F9920" s="42"/>
    </row>
    <row r="9921" spans="1:6">
      <c r="A9921" s="39">
        <f>A9920</f>
        <v>46048</v>
      </c>
      <c r="B9921" s="40"/>
      <c r="C9921" s="40"/>
      <c r="D9921" s="41"/>
      <c r="E9921" s="43">
        <f>C9921</f>
        <v>0</v>
      </c>
      <c r="F9921" s="42"/>
    </row>
    <row r="9922" spans="1:6">
      <c r="A9922" s="39">
        <f>A9921</f>
        <v>46048</v>
      </c>
      <c r="B9922" s="40"/>
      <c r="C9922" s="40"/>
      <c r="D9922" s="41"/>
      <c r="E9922" s="43">
        <f>C9922</f>
        <v>0</v>
      </c>
      <c r="F9922" s="42"/>
    </row>
    <row r="9923" spans="1:6">
      <c r="A9923" s="39">
        <f>A9922</f>
        <v>46048</v>
      </c>
      <c r="B9923" s="40"/>
      <c r="C9923" s="40"/>
      <c r="D9923" s="41"/>
      <c r="E9923" s="43">
        <f>C9923</f>
        <v>0</v>
      </c>
      <c r="F9923" s="42"/>
    </row>
    <row r="9924" spans="1:6">
      <c r="A9924" s="39">
        <f>A9923</f>
        <v>46048</v>
      </c>
      <c r="B9924" s="40"/>
      <c r="C9924" s="40"/>
      <c r="D9924" s="41"/>
      <c r="E9924" s="43">
        <f>C9924</f>
        <v>0</v>
      </c>
      <c r="F9924" s="42"/>
    </row>
    <row r="9925" spans="1:6">
      <c r="A9925" s="39">
        <f>A9924</f>
        <v>46048</v>
      </c>
      <c r="B9925" s="40"/>
      <c r="C9925" s="40"/>
      <c r="D9925" s="41"/>
      <c r="E9925" s="43">
        <f>C9925</f>
        <v>0</v>
      </c>
      <c r="F9925" s="42"/>
    </row>
    <row r="9926" spans="1:6">
      <c r="A9926" s="39">
        <f>A9925</f>
        <v>46048</v>
      </c>
      <c r="B9926" s="40"/>
      <c r="C9926" s="40"/>
      <c r="D9926" s="41"/>
      <c r="E9926" s="43">
        <f>C9926</f>
        <v>0</v>
      </c>
      <c r="F9926" s="42"/>
    </row>
    <row r="9927" spans="1:6">
      <c r="A9927" s="39">
        <f>A9926</f>
        <v>46048</v>
      </c>
      <c r="B9927" s="40"/>
      <c r="C9927" s="40"/>
      <c r="D9927" s="41"/>
      <c r="E9927" s="43">
        <f>C9927</f>
        <v>0</v>
      </c>
      <c r="F9927" s="42"/>
    </row>
    <row r="9928" spans="1:6">
      <c r="A9928" s="39">
        <f>A9927</f>
        <v>46048</v>
      </c>
      <c r="B9928" s="40"/>
      <c r="C9928" s="40"/>
      <c r="D9928" s="41"/>
      <c r="E9928" s="43">
        <f>C9928</f>
        <v>0</v>
      </c>
      <c r="F9928" s="42"/>
    </row>
    <row r="9929" spans="1:6">
      <c r="A9929" s="39">
        <f>A9928</f>
        <v>46048</v>
      </c>
      <c r="B9929" s="40"/>
      <c r="C9929" s="40"/>
      <c r="D9929" s="41"/>
      <c r="E9929" s="43">
        <f>C9929</f>
        <v>0</v>
      </c>
      <c r="F9929" s="42"/>
    </row>
    <row r="9930" spans="1:6">
      <c r="A9930" s="39">
        <f>A9929</f>
        <v>46048</v>
      </c>
      <c r="B9930" s="40"/>
      <c r="C9930" s="40"/>
      <c r="D9930" s="41"/>
      <c r="E9930" s="43">
        <f>C9930</f>
        <v>0</v>
      </c>
      <c r="F9930" s="42"/>
    </row>
    <row r="9931" spans="1:6">
      <c r="A9931" s="39">
        <f>A9930</f>
        <v>46048</v>
      </c>
      <c r="B9931" s="40"/>
      <c r="C9931" s="40"/>
      <c r="D9931" s="41"/>
      <c r="E9931" s="43">
        <f>C9931</f>
        <v>0</v>
      </c>
      <c r="F9931" s="42"/>
    </row>
    <row r="9932" spans="1:6">
      <c r="A9932" s="39">
        <f>A9931</f>
        <v>46048</v>
      </c>
      <c r="B9932" s="40"/>
      <c r="C9932" s="40"/>
      <c r="D9932" s="41"/>
      <c r="E9932" s="43">
        <f>C9932</f>
        <v>0</v>
      </c>
      <c r="F9932" s="42"/>
    </row>
    <row r="9933" spans="1:6">
      <c r="A9933" s="39">
        <f>A9932</f>
        <v>46048</v>
      </c>
      <c r="B9933" s="40"/>
      <c r="C9933" s="40"/>
      <c r="D9933" s="41"/>
      <c r="E9933" s="43">
        <f>C9933</f>
        <v>0</v>
      </c>
      <c r="F9933" s="42"/>
    </row>
    <row r="9934" spans="1:6">
      <c r="A9934" s="39">
        <f>A9933</f>
        <v>46048</v>
      </c>
      <c r="B9934" s="40"/>
      <c r="C9934" s="40"/>
      <c r="D9934" s="41"/>
      <c r="E9934" s="43">
        <f>C9934</f>
        <v>0</v>
      </c>
      <c r="F9934" s="42"/>
    </row>
    <row r="9935" spans="1:6">
      <c r="A9935" s="39">
        <f>A9934</f>
        <v>46048</v>
      </c>
      <c r="B9935" s="40"/>
      <c r="C9935" s="40"/>
      <c r="D9935" s="41"/>
      <c r="E9935" s="43">
        <f>C9935</f>
        <v>0</v>
      </c>
      <c r="F9935" s="42"/>
    </row>
    <row r="9936" spans="1:6">
      <c r="A9936" s="39">
        <f>A9935</f>
        <v>46048</v>
      </c>
      <c r="B9936" s="40"/>
      <c r="C9936" s="40"/>
      <c r="D9936" s="41"/>
      <c r="E9936" s="43">
        <f>C9936</f>
        <v>0</v>
      </c>
      <c r="F9936" s="42"/>
    </row>
    <row r="9937" spans="1:6">
      <c r="A9937" s="39">
        <f>A9936</f>
        <v>46048</v>
      </c>
      <c r="B9937" s="40"/>
      <c r="C9937" s="40"/>
      <c r="D9937" s="41"/>
      <c r="E9937" s="43">
        <f>C9937</f>
        <v>0</v>
      </c>
      <c r="F9937" s="42"/>
    </row>
    <row r="9938" spans="1:6">
      <c r="A9938" s="39">
        <f>A9937</f>
        <v>46048</v>
      </c>
      <c r="B9938" s="40"/>
      <c r="C9938" s="40"/>
      <c r="D9938" s="41"/>
      <c r="E9938" s="43">
        <f>C9938</f>
        <v>0</v>
      </c>
      <c r="F9938" s="42"/>
    </row>
    <row r="9939" spans="1:6">
      <c r="A9939" s="39">
        <f>A9938</f>
        <v>46048</v>
      </c>
      <c r="B9939" s="40"/>
      <c r="C9939" s="40"/>
      <c r="D9939" s="41"/>
      <c r="E9939" s="43">
        <f>C9939</f>
        <v>0</v>
      </c>
      <c r="F9939" s="42"/>
    </row>
    <row r="9940" spans="1:6">
      <c r="A9940" s="39">
        <f>A9939</f>
        <v>46048</v>
      </c>
      <c r="B9940" s="40"/>
      <c r="C9940" s="40"/>
      <c r="D9940" s="41"/>
      <c r="E9940" s="43">
        <f>C9940</f>
        <v>0</v>
      </c>
      <c r="F9940" s="42"/>
    </row>
    <row r="9941" spans="1:6">
      <c r="A9941" s="39">
        <f>A9940</f>
        <v>46048</v>
      </c>
      <c r="B9941" s="40"/>
      <c r="C9941" s="40"/>
      <c r="D9941" s="41"/>
      <c r="E9941" s="43">
        <f>C9941</f>
        <v>0</v>
      </c>
      <c r="F9941" s="42"/>
    </row>
    <row r="9942" spans="1:6">
      <c r="A9942" s="39">
        <f>A9941</f>
        <v>46048</v>
      </c>
      <c r="B9942" s="40"/>
      <c r="C9942" s="40"/>
      <c r="D9942" s="41"/>
      <c r="E9942" s="43">
        <f>C9942</f>
        <v>0</v>
      </c>
      <c r="F9942" s="42"/>
    </row>
    <row r="9943" spans="1:6">
      <c r="A9943" s="39">
        <f>A9942</f>
        <v>46048</v>
      </c>
      <c r="B9943" s="40"/>
      <c r="C9943" s="40"/>
      <c r="D9943" s="41"/>
      <c r="E9943" s="43">
        <f>C9943</f>
        <v>0</v>
      </c>
      <c r="F9943" s="42"/>
    </row>
    <row r="9944" spans="1:6">
      <c r="A9944" s="39">
        <f>A9943</f>
        <v>46048</v>
      </c>
      <c r="B9944" s="40"/>
      <c r="C9944" s="40"/>
      <c r="D9944" s="41"/>
      <c r="E9944" s="43">
        <f>C9944</f>
        <v>0</v>
      </c>
      <c r="F9944" s="42"/>
    </row>
    <row r="9945" spans="1:6">
      <c r="A9945" s="39">
        <f>A9944</f>
        <v>46048</v>
      </c>
      <c r="B9945" s="40"/>
      <c r="C9945" s="40"/>
      <c r="D9945" s="41"/>
      <c r="E9945" s="43">
        <f>C9945</f>
        <v>0</v>
      </c>
      <c r="F9945" s="42"/>
    </row>
    <row r="9946" spans="1:6">
      <c r="A9946" s="39">
        <f>A9945</f>
        <v>46048</v>
      </c>
      <c r="B9946" s="40"/>
      <c r="C9946" s="40"/>
      <c r="D9946" s="41"/>
      <c r="E9946" s="43">
        <f>C9946</f>
        <v>0</v>
      </c>
      <c r="F9946" s="42"/>
    </row>
    <row r="9947" spans="1:6">
      <c r="A9947" s="39">
        <f>A9946</f>
        <v>46048</v>
      </c>
      <c r="B9947" s="40"/>
      <c r="C9947" s="40"/>
      <c r="D9947" s="41"/>
      <c r="E9947" s="43">
        <f>C9947</f>
        <v>0</v>
      </c>
      <c r="F9947" s="42"/>
    </row>
    <row r="9948" spans="1:6">
      <c r="A9948" s="39">
        <f>A9947</f>
        <v>46048</v>
      </c>
      <c r="B9948" s="40"/>
      <c r="C9948" s="40"/>
      <c r="D9948" s="41"/>
      <c r="E9948" s="43">
        <f>C9948</f>
        <v>0</v>
      </c>
      <c r="F9948" s="42"/>
    </row>
    <row r="9949" spans="1:6">
      <c r="A9949" s="39">
        <f>A9948</f>
        <v>46048</v>
      </c>
      <c r="B9949" s="40"/>
      <c r="C9949" s="40"/>
      <c r="D9949" s="41"/>
      <c r="E9949" s="43">
        <f>C9949</f>
        <v>0</v>
      </c>
      <c r="F9949" s="42"/>
    </row>
    <row r="9950" spans="1:6">
      <c r="A9950" s="39">
        <f>A9949</f>
        <v>46048</v>
      </c>
      <c r="B9950" s="40"/>
      <c r="C9950" s="40"/>
      <c r="D9950" s="41"/>
      <c r="E9950" s="43">
        <f>C9950</f>
        <v>0</v>
      </c>
      <c r="F9950" s="42"/>
    </row>
    <row r="9951" spans="1:6">
      <c r="A9951" s="39">
        <f>A9950</f>
        <v>46048</v>
      </c>
      <c r="B9951" s="40"/>
      <c r="C9951" s="40"/>
      <c r="D9951" s="41"/>
      <c r="E9951" s="43">
        <f>C9951</f>
        <v>0</v>
      </c>
      <c r="F9951" s="42"/>
    </row>
    <row r="9952" spans="1:6">
      <c r="A9952" s="39">
        <f>A9951</f>
        <v>46048</v>
      </c>
      <c r="B9952" s="40"/>
      <c r="C9952" s="40"/>
      <c r="D9952" s="41"/>
      <c r="E9952" s="43">
        <f>C9952</f>
        <v>0</v>
      </c>
      <c r="F9952" s="42"/>
    </row>
    <row r="9953" spans="1:6">
      <c r="A9953" s="39">
        <f>A9952</f>
        <v>46048</v>
      </c>
      <c r="B9953" s="40"/>
      <c r="C9953" s="40"/>
      <c r="D9953" s="41"/>
      <c r="E9953" s="43">
        <f>C9953</f>
        <v>0</v>
      </c>
      <c r="F9953" s="42"/>
    </row>
    <row r="9954" spans="1:6">
      <c r="A9954" s="39">
        <f>A9953</f>
        <v>46048</v>
      </c>
      <c r="B9954" s="40"/>
      <c r="C9954" s="40"/>
      <c r="D9954" s="41"/>
      <c r="E9954" s="43">
        <f>C9954</f>
        <v>0</v>
      </c>
      <c r="F9954" s="42"/>
    </row>
    <row r="9955" spans="1:6">
      <c r="A9955" s="39">
        <f>A9954</f>
        <v>46048</v>
      </c>
      <c r="B9955" s="40"/>
      <c r="C9955" s="40"/>
      <c r="D9955" s="41"/>
      <c r="E9955" s="43">
        <f>C9955</f>
        <v>0</v>
      </c>
      <c r="F9955" s="42"/>
    </row>
    <row r="9956" spans="1:6">
      <c r="A9956" s="39">
        <f>A9955</f>
        <v>46048</v>
      </c>
      <c r="B9956" s="40"/>
      <c r="C9956" s="40"/>
      <c r="D9956" s="41"/>
      <c r="E9956" s="43">
        <f>C9956</f>
        <v>0</v>
      </c>
      <c r="F9956" s="42"/>
    </row>
    <row r="9957" spans="1:6">
      <c r="A9957" s="39">
        <f>A9956</f>
        <v>46048</v>
      </c>
      <c r="B9957" s="40"/>
      <c r="C9957" s="40"/>
      <c r="D9957" s="41"/>
      <c r="E9957" s="43">
        <f>C9957</f>
        <v>0</v>
      </c>
      <c r="F9957" s="42"/>
    </row>
    <row r="9958" spans="1:6">
      <c r="A9958" s="39">
        <f>A9957</f>
        <v>46048</v>
      </c>
      <c r="B9958" s="40"/>
      <c r="C9958" s="40"/>
      <c r="D9958" s="41"/>
      <c r="E9958" s="43">
        <f>C9958</f>
        <v>0</v>
      </c>
      <c r="F9958" s="42"/>
    </row>
    <row r="9959" spans="1:6">
      <c r="A9959" s="39">
        <f>A9958</f>
        <v>46048</v>
      </c>
      <c r="B9959" s="40"/>
      <c r="C9959" s="40"/>
      <c r="D9959" s="41"/>
      <c r="E9959" s="43">
        <f>C9959</f>
        <v>0</v>
      </c>
      <c r="F9959" s="42"/>
    </row>
    <row r="9960" spans="1:6">
      <c r="A9960" s="39">
        <f>A9959</f>
        <v>46048</v>
      </c>
      <c r="B9960" s="40"/>
      <c r="C9960" s="40"/>
      <c r="D9960" s="41"/>
      <c r="E9960" s="43">
        <f>C9960</f>
        <v>0</v>
      </c>
      <c r="F9960" s="42"/>
    </row>
    <row r="9961" spans="1:6">
      <c r="A9961" s="39">
        <f>A9960</f>
        <v>46048</v>
      </c>
      <c r="B9961" s="40"/>
      <c r="C9961" s="40"/>
      <c r="D9961" s="41"/>
      <c r="E9961" s="43">
        <f>C9961</f>
        <v>0</v>
      </c>
      <c r="F9961" s="42"/>
    </row>
    <row r="9962" spans="1:6">
      <c r="A9962" s="39">
        <f>A9961</f>
        <v>46048</v>
      </c>
      <c r="B9962" s="40"/>
      <c r="C9962" s="40"/>
      <c r="D9962" s="41"/>
      <c r="E9962" s="43">
        <f>C9962</f>
        <v>0</v>
      </c>
      <c r="F9962" s="42"/>
    </row>
    <row r="9963" spans="1:6">
      <c r="A9963" s="39">
        <f>A9962</f>
        <v>46048</v>
      </c>
      <c r="B9963" s="40"/>
      <c r="C9963" s="40"/>
      <c r="D9963" s="41"/>
      <c r="E9963" s="43">
        <f>C9963</f>
        <v>0</v>
      </c>
      <c r="F9963" s="42"/>
    </row>
    <row r="9964" spans="1:6">
      <c r="A9964" s="39">
        <f>A9963</f>
        <v>46048</v>
      </c>
      <c r="B9964" s="40"/>
      <c r="C9964" s="40"/>
      <c r="D9964" s="41"/>
      <c r="E9964" s="43">
        <f>C9964</f>
        <v>0</v>
      </c>
      <c r="F9964" s="42"/>
    </row>
    <row r="9965" spans="1:6">
      <c r="A9965" s="39">
        <f>A9964</f>
        <v>46048</v>
      </c>
      <c r="B9965" s="40"/>
      <c r="C9965" s="40"/>
      <c r="D9965" s="41"/>
      <c r="E9965" s="43">
        <f>C9965</f>
        <v>0</v>
      </c>
      <c r="F9965" s="42"/>
    </row>
    <row r="9966" spans="1:6">
      <c r="A9966" s="39">
        <f>A9965</f>
        <v>46048</v>
      </c>
      <c r="B9966" s="40"/>
      <c r="C9966" s="40"/>
      <c r="D9966" s="41"/>
      <c r="E9966" s="43">
        <f>C9966</f>
        <v>0</v>
      </c>
      <c r="F9966" s="42"/>
    </row>
    <row r="9967" spans="1:6">
      <c r="A9967" s="39">
        <f>A9966</f>
        <v>46048</v>
      </c>
      <c r="B9967" s="40"/>
      <c r="C9967" s="40"/>
      <c r="D9967" s="41"/>
      <c r="E9967" s="43">
        <f>C9967</f>
        <v>0</v>
      </c>
      <c r="F9967" s="42"/>
    </row>
    <row r="9968" spans="1:6">
      <c r="A9968" s="39">
        <f>A9967</f>
        <v>46048</v>
      </c>
      <c r="B9968" s="40"/>
      <c r="C9968" s="40"/>
      <c r="D9968" s="41"/>
      <c r="E9968" s="43">
        <f>C9968</f>
        <v>0</v>
      </c>
      <c r="F9968" s="42"/>
    </row>
    <row r="9969" spans="1:6">
      <c r="A9969" s="39">
        <f>A9968</f>
        <v>46048</v>
      </c>
      <c r="B9969" s="40"/>
      <c r="C9969" s="40"/>
      <c r="D9969" s="41"/>
      <c r="E9969" s="43">
        <f>C9969</f>
        <v>0</v>
      </c>
      <c r="F9969" s="42"/>
    </row>
    <row r="9970" spans="1:6">
      <c r="A9970" s="39">
        <f>A9969</f>
        <v>46048</v>
      </c>
      <c r="B9970" s="40"/>
      <c r="C9970" s="40"/>
      <c r="D9970" s="41"/>
      <c r="E9970" s="43">
        <f>C9970</f>
        <v>0</v>
      </c>
      <c r="F9970" s="42"/>
    </row>
    <row r="9971" spans="1:6">
      <c r="A9971" s="39">
        <f>A9970</f>
        <v>46048</v>
      </c>
      <c r="B9971" s="40"/>
      <c r="C9971" s="40"/>
      <c r="D9971" s="41"/>
      <c r="E9971" s="43">
        <f>C9971</f>
        <v>0</v>
      </c>
      <c r="F9971" s="42"/>
    </row>
    <row r="9972" spans="1:6">
      <c r="A9972" s="39">
        <f>A9971</f>
        <v>46048</v>
      </c>
      <c r="B9972" s="40"/>
      <c r="C9972" s="40"/>
      <c r="D9972" s="41"/>
      <c r="E9972" s="43">
        <f>C9972</f>
        <v>0</v>
      </c>
      <c r="F9972" s="42"/>
    </row>
    <row r="9973" spans="1:6">
      <c r="A9973" s="39">
        <f>A9972</f>
        <v>46048</v>
      </c>
      <c r="B9973" s="40"/>
      <c r="C9973" s="40"/>
      <c r="D9973" s="41"/>
      <c r="E9973" s="43">
        <f>C9973</f>
        <v>0</v>
      </c>
      <c r="F9973" s="42"/>
    </row>
    <row r="9974" spans="1:6">
      <c r="A9974" s="39">
        <f>A9973</f>
        <v>46048</v>
      </c>
      <c r="B9974" s="40"/>
      <c r="C9974" s="40"/>
      <c r="D9974" s="41"/>
      <c r="E9974" s="43">
        <f>C9974</f>
        <v>0</v>
      </c>
      <c r="F9974" s="42"/>
    </row>
    <row r="9975" spans="1:6">
      <c r="A9975" s="39">
        <f>A9974</f>
        <v>46048</v>
      </c>
      <c r="B9975" s="40"/>
      <c r="C9975" s="40"/>
      <c r="D9975" s="41"/>
      <c r="E9975" s="43">
        <f>C9975</f>
        <v>0</v>
      </c>
      <c r="F9975" s="42"/>
    </row>
    <row r="9976" spans="1:6">
      <c r="A9976" s="39">
        <f>A9975</f>
        <v>46048</v>
      </c>
      <c r="B9976" s="40"/>
      <c r="C9976" s="40"/>
      <c r="D9976" s="41"/>
      <c r="E9976" s="43">
        <f>C9976</f>
        <v>0</v>
      </c>
      <c r="F9976" s="42"/>
    </row>
    <row r="9977" spans="1:6">
      <c r="A9977" s="39">
        <f>A9976</f>
        <v>46048</v>
      </c>
      <c r="B9977" s="40"/>
      <c r="C9977" s="40"/>
      <c r="D9977" s="41"/>
      <c r="E9977" s="43">
        <f>C9977</f>
        <v>0</v>
      </c>
      <c r="F9977" s="42"/>
    </row>
    <row r="9978" spans="1:6">
      <c r="A9978" s="39">
        <f>A9977</f>
        <v>46048</v>
      </c>
      <c r="B9978" s="40"/>
      <c r="C9978" s="40"/>
      <c r="D9978" s="41"/>
      <c r="E9978" s="43">
        <f>C9978</f>
        <v>0</v>
      </c>
      <c r="F9978" s="42"/>
    </row>
    <row r="9979" spans="1:6">
      <c r="A9979" s="39">
        <f>A9978</f>
        <v>46048</v>
      </c>
      <c r="B9979" s="40"/>
      <c r="C9979" s="40"/>
      <c r="D9979" s="41"/>
      <c r="E9979" s="43">
        <f>C9979</f>
        <v>0</v>
      </c>
      <c r="F9979" s="42"/>
    </row>
    <row r="9980" spans="1:6">
      <c r="A9980" s="39">
        <f>A9979</f>
        <v>46048</v>
      </c>
      <c r="B9980" s="40"/>
      <c r="C9980" s="40"/>
      <c r="D9980" s="41"/>
      <c r="E9980" s="43">
        <f>C9980</f>
        <v>0</v>
      </c>
      <c r="F9980" s="42"/>
    </row>
    <row r="9981" spans="1:6">
      <c r="A9981" s="39">
        <f>A9980</f>
        <v>46048</v>
      </c>
      <c r="B9981" s="40"/>
      <c r="C9981" s="40"/>
      <c r="D9981" s="41"/>
      <c r="E9981" s="43">
        <f>C9981</f>
        <v>0</v>
      </c>
      <c r="F9981" s="42"/>
    </row>
    <row r="9982" spans="1:6">
      <c r="A9982" s="39">
        <f>A9981</f>
        <v>46048</v>
      </c>
      <c r="B9982" s="40"/>
      <c r="C9982" s="40"/>
      <c r="D9982" s="41"/>
      <c r="E9982" s="43">
        <f>C9982</f>
        <v>0</v>
      </c>
      <c r="F9982" s="42"/>
    </row>
    <row r="9983" spans="1:6">
      <c r="A9983" s="39">
        <f>A9982</f>
        <v>46048</v>
      </c>
      <c r="B9983" s="40"/>
      <c r="C9983" s="40"/>
      <c r="D9983" s="41"/>
      <c r="E9983" s="43">
        <f>C9983</f>
        <v>0</v>
      </c>
      <c r="F9983" s="42"/>
    </row>
    <row r="9984" spans="1:6">
      <c r="A9984" s="39">
        <f>A9983</f>
        <v>46048</v>
      </c>
      <c r="B9984" s="40"/>
      <c r="C9984" s="40"/>
      <c r="D9984" s="41"/>
      <c r="E9984" s="43">
        <f>C9984</f>
        <v>0</v>
      </c>
      <c r="F9984" s="42"/>
    </row>
    <row r="9985" spans="1:6">
      <c r="A9985" s="39">
        <f>A9984</f>
        <v>46048</v>
      </c>
      <c r="B9985" s="40"/>
      <c r="C9985" s="40"/>
      <c r="D9985" s="41"/>
      <c r="E9985" s="43">
        <f>C9985</f>
        <v>0</v>
      </c>
      <c r="F9985" s="42"/>
    </row>
    <row r="9986" spans="1:6">
      <c r="A9986" s="39">
        <f>A9985</f>
        <v>46048</v>
      </c>
      <c r="B9986" s="40"/>
      <c r="C9986" s="40"/>
      <c r="D9986" s="41"/>
      <c r="E9986" s="43">
        <f>C9986</f>
        <v>0</v>
      </c>
      <c r="F9986" s="42"/>
    </row>
    <row r="9987" spans="1:6">
      <c r="A9987" s="39">
        <f>A9986</f>
        <v>46048</v>
      </c>
      <c r="B9987" s="40"/>
      <c r="C9987" s="40"/>
      <c r="D9987" s="41"/>
      <c r="E9987" s="43">
        <f>C9987</f>
        <v>0</v>
      </c>
      <c r="F9987" s="42"/>
    </row>
    <row r="9988" spans="1:6">
      <c r="A9988" s="39">
        <f>A9987</f>
        <v>46048</v>
      </c>
      <c r="B9988" s="40"/>
      <c r="C9988" s="40"/>
      <c r="D9988" s="41"/>
      <c r="E9988" s="43">
        <f>C9988</f>
        <v>0</v>
      </c>
      <c r="F9988" s="42"/>
    </row>
    <row r="9989" spans="1:6">
      <c r="A9989" s="39">
        <f>A9988</f>
        <v>46048</v>
      </c>
      <c r="B9989" s="40"/>
      <c r="C9989" s="40"/>
      <c r="D9989" s="41"/>
      <c r="E9989" s="43">
        <f>C9989</f>
        <v>0</v>
      </c>
      <c r="F9989" s="42"/>
    </row>
    <row r="9990" spans="1:6">
      <c r="A9990" s="39">
        <f>A9989</f>
        <v>46048</v>
      </c>
      <c r="B9990" s="40"/>
      <c r="C9990" s="40"/>
      <c r="D9990" s="41"/>
      <c r="E9990" s="43">
        <f>C9990</f>
        <v>0</v>
      </c>
      <c r="F9990" s="42"/>
    </row>
    <row r="9991" spans="1:6">
      <c r="A9991" s="39">
        <f>A9990</f>
        <v>46048</v>
      </c>
      <c r="B9991" s="40"/>
      <c r="C9991" s="40"/>
      <c r="D9991" s="41"/>
      <c r="E9991" s="43">
        <f>C9991</f>
        <v>0</v>
      </c>
      <c r="F9991" s="42"/>
    </row>
    <row r="9992" spans="1:6">
      <c r="A9992" s="39">
        <f>A9991</f>
        <v>46048</v>
      </c>
      <c r="B9992" s="40"/>
      <c r="C9992" s="40"/>
      <c r="D9992" s="41"/>
      <c r="E9992" s="43">
        <f>C9992</f>
        <v>0</v>
      </c>
      <c r="F9992" s="42"/>
    </row>
    <row r="9993" spans="1:6">
      <c r="A9993" s="39">
        <f>A9992</f>
        <v>46048</v>
      </c>
      <c r="B9993" s="40"/>
      <c r="C9993" s="40"/>
      <c r="D9993" s="41"/>
      <c r="E9993" s="43">
        <f>C9993</f>
        <v>0</v>
      </c>
      <c r="F9993" s="42"/>
    </row>
    <row r="9994" spans="1:6">
      <c r="A9994" s="39">
        <f>A9993</f>
        <v>46048</v>
      </c>
      <c r="B9994" s="40"/>
      <c r="C9994" s="40"/>
      <c r="D9994" s="41"/>
      <c r="E9994" s="43">
        <f>C9994</f>
        <v>0</v>
      </c>
      <c r="F9994" s="42"/>
    </row>
    <row r="9995" spans="1:6">
      <c r="A9995" s="39">
        <f>A9994</f>
        <v>46048</v>
      </c>
      <c r="B9995" s="40"/>
      <c r="C9995" s="40"/>
      <c r="D9995" s="41"/>
      <c r="E9995" s="43">
        <f>C9995</f>
        <v>0</v>
      </c>
      <c r="F9995" s="42"/>
    </row>
    <row r="9996" spans="1:6">
      <c r="A9996" s="39">
        <f>A9995</f>
        <v>46048</v>
      </c>
      <c r="B9996" s="40"/>
      <c r="C9996" s="40"/>
      <c r="D9996" s="41"/>
      <c r="E9996" s="43">
        <f>C9996</f>
        <v>0</v>
      </c>
      <c r="F9996" s="42"/>
    </row>
    <row r="9997" spans="1:6">
      <c r="A9997" s="39">
        <f>A9996</f>
        <v>46048</v>
      </c>
      <c r="B9997" s="40"/>
      <c r="C9997" s="40"/>
      <c r="D9997" s="41"/>
      <c r="E9997" s="43">
        <f>C9997</f>
        <v>0</v>
      </c>
      <c r="F9997" s="42"/>
    </row>
    <row r="9998" spans="1:6">
      <c r="A9998" s="39">
        <f>A9997</f>
        <v>46048</v>
      </c>
      <c r="B9998" s="40"/>
      <c r="C9998" s="40"/>
      <c r="D9998" s="41"/>
      <c r="E9998" s="43">
        <f>C9998</f>
        <v>0</v>
      </c>
      <c r="F9998" s="42"/>
    </row>
    <row r="9999" spans="1:6">
      <c r="A9999" s="39">
        <f>A9998</f>
        <v>46048</v>
      </c>
      <c r="B9999" s="40"/>
      <c r="C9999" s="40"/>
      <c r="D9999" s="41"/>
      <c r="E9999" s="43">
        <f>C9999</f>
        <v>0</v>
      </c>
      <c r="F9999" s="42"/>
    </row>
    <row r="10000" spans="1:6">
      <c r="A10000" s="39">
        <f>A9999</f>
        <v>46048</v>
      </c>
      <c r="B10000" s="40"/>
      <c r="C10000" s="40"/>
      <c r="D10000" s="41"/>
      <c r="E10000" s="43">
        <f>C10000</f>
        <v>0</v>
      </c>
      <c r="F10000" s="42"/>
    </row>
    <row r="10001" spans="1:6">
      <c r="A10001" s="39">
        <f>A10000</f>
        <v>46048</v>
      </c>
      <c r="B10001" s="40"/>
      <c r="C10001" s="40"/>
      <c r="D10001" s="41"/>
      <c r="E10001" s="43">
        <f>C10001</f>
        <v>0</v>
      </c>
      <c r="F10001" s="42"/>
    </row>
    <row r="10002" spans="1:6">
      <c r="A10002" s="39">
        <f>A10001</f>
        <v>46048</v>
      </c>
      <c r="B10002" s="40"/>
      <c r="C10002" s="40"/>
      <c r="D10002" s="41"/>
      <c r="E10002" s="43">
        <f>C10002</f>
        <v>0</v>
      </c>
      <c r="F10002" s="42"/>
    </row>
    <row r="10003" spans="1:6">
      <c r="A10003" s="39">
        <f>A10002</f>
        <v>46048</v>
      </c>
      <c r="B10003" s="40"/>
      <c r="C10003" s="40"/>
      <c r="D10003" s="41"/>
      <c r="E10003" s="43">
        <f>C10003</f>
        <v>0</v>
      </c>
      <c r="F10003" s="42"/>
    </row>
    <row r="10004" spans="1:6">
      <c r="A10004" s="39">
        <f>A10003</f>
        <v>46048</v>
      </c>
      <c r="B10004" s="40"/>
      <c r="C10004" s="40"/>
      <c r="D10004" s="41"/>
      <c r="E10004" s="43">
        <f>C10004</f>
        <v>0</v>
      </c>
      <c r="F10004" s="42"/>
    </row>
    <row r="10005" spans="1:6">
      <c r="A10005" s="39">
        <f>A10004</f>
        <v>46048</v>
      </c>
      <c r="B10005" s="40"/>
      <c r="C10005" s="40"/>
      <c r="D10005" s="41"/>
      <c r="E10005" s="43">
        <f>C10005</f>
        <v>0</v>
      </c>
      <c r="F10005" s="42"/>
    </row>
    <row r="10006" spans="1:6">
      <c r="A10006" s="39">
        <f>A10005</f>
        <v>46048</v>
      </c>
      <c r="B10006" s="40"/>
      <c r="C10006" s="40"/>
      <c r="D10006" s="41"/>
      <c r="E10006" s="43">
        <f>C10006</f>
        <v>0</v>
      </c>
      <c r="F10006" s="42"/>
    </row>
    <row r="10007" spans="1:6">
      <c r="A10007" s="39">
        <f>A10006</f>
        <v>46048</v>
      </c>
      <c r="B10007" s="40"/>
      <c r="C10007" s="40"/>
      <c r="D10007" s="41"/>
      <c r="E10007" s="43">
        <f>C10007</f>
        <v>0</v>
      </c>
      <c r="F10007" s="42"/>
    </row>
    <row r="10008" spans="1:6">
      <c r="A10008" s="39">
        <f>A10007</f>
        <v>46048</v>
      </c>
      <c r="B10008" s="40"/>
      <c r="C10008" s="40"/>
      <c r="D10008" s="41"/>
      <c r="E10008" s="43">
        <f>C10008</f>
        <v>0</v>
      </c>
      <c r="F10008" s="42"/>
    </row>
    <row r="10009" spans="1:6">
      <c r="A10009" s="39">
        <f>A10008</f>
        <v>46048</v>
      </c>
      <c r="B10009" s="40"/>
      <c r="C10009" s="40"/>
      <c r="D10009" s="41"/>
      <c r="E10009" s="43">
        <f>C10009</f>
        <v>0</v>
      </c>
      <c r="F10009" s="42"/>
    </row>
    <row r="10010" spans="1:6">
      <c r="A10010" s="39">
        <f>A10009</f>
        <v>46048</v>
      </c>
      <c r="B10010" s="40"/>
      <c r="C10010" s="40"/>
      <c r="D10010" s="41"/>
      <c r="E10010" s="43">
        <f>C10010</f>
        <v>0</v>
      </c>
      <c r="F10010" s="42"/>
    </row>
    <row r="10011" spans="1:6">
      <c r="A10011" s="39">
        <f>A10010</f>
        <v>46048</v>
      </c>
      <c r="B10011" s="40"/>
      <c r="C10011" s="40"/>
      <c r="D10011" s="41"/>
      <c r="E10011" s="43">
        <f>C10011</f>
        <v>0</v>
      </c>
      <c r="F10011" s="42"/>
    </row>
    <row r="10012" spans="1:6">
      <c r="A10012" s="39">
        <f>A10011</f>
        <v>46048</v>
      </c>
      <c r="B10012" s="40"/>
      <c r="C10012" s="40"/>
      <c r="D10012" s="41"/>
      <c r="E10012" s="43">
        <f>C10012</f>
        <v>0</v>
      </c>
      <c r="F10012" s="42"/>
    </row>
    <row r="10013" spans="1:6">
      <c r="A10013" s="39">
        <f>A10012</f>
        <v>46048</v>
      </c>
      <c r="B10013" s="40"/>
      <c r="C10013" s="40"/>
      <c r="D10013" s="41"/>
      <c r="E10013" s="43">
        <f>C10013</f>
        <v>0</v>
      </c>
      <c r="F10013" s="42"/>
    </row>
    <row r="10014" spans="1:6">
      <c r="A10014" s="39">
        <f>A10013</f>
        <v>46048</v>
      </c>
      <c r="B10014" s="40"/>
      <c r="C10014" s="40"/>
      <c r="D10014" s="41"/>
      <c r="E10014" s="43">
        <f>C10014</f>
        <v>0</v>
      </c>
      <c r="F10014" s="42"/>
    </row>
    <row r="10015" spans="1:6">
      <c r="A10015" s="39">
        <f>A10014</f>
        <v>46048</v>
      </c>
      <c r="B10015" s="40"/>
      <c r="C10015" s="40"/>
      <c r="D10015" s="41"/>
      <c r="E10015" s="43">
        <f>C10015</f>
        <v>0</v>
      </c>
      <c r="F10015" s="42"/>
    </row>
    <row r="10016" spans="1:6">
      <c r="A10016" s="39">
        <f>A10015</f>
        <v>46048</v>
      </c>
      <c r="B10016" s="40"/>
      <c r="C10016" s="40"/>
      <c r="D10016" s="41"/>
      <c r="E10016" s="43">
        <f>C10016</f>
        <v>0</v>
      </c>
      <c r="F10016" s="42"/>
    </row>
    <row r="10017" spans="1:6">
      <c r="A10017" s="39">
        <f>A10016</f>
        <v>46048</v>
      </c>
      <c r="B10017" s="40"/>
      <c r="C10017" s="40"/>
      <c r="D10017" s="41"/>
      <c r="E10017" s="43">
        <f>C10017</f>
        <v>0</v>
      </c>
      <c r="F10017" s="42"/>
    </row>
    <row r="10018" spans="1:6">
      <c r="A10018" s="39">
        <f>A10017</f>
        <v>46048</v>
      </c>
      <c r="B10018" s="40"/>
      <c r="C10018" s="40"/>
      <c r="D10018" s="41"/>
      <c r="E10018" s="43">
        <f>C10018</f>
        <v>0</v>
      </c>
      <c r="F10018" s="42"/>
    </row>
    <row r="10019" spans="1:6">
      <c r="A10019" s="39">
        <f>A10018</f>
        <v>46048</v>
      </c>
      <c r="B10019" s="40"/>
      <c r="C10019" s="40"/>
      <c r="D10019" s="41"/>
      <c r="E10019" s="43">
        <f>C10019</f>
        <v>0</v>
      </c>
      <c r="F10019" s="42"/>
    </row>
    <row r="10020" spans="1:6">
      <c r="A10020" s="39">
        <f>A10019</f>
        <v>46048</v>
      </c>
      <c r="B10020" s="40"/>
      <c r="C10020" s="40"/>
      <c r="D10020" s="41"/>
      <c r="E10020" s="43">
        <f>C10020</f>
        <v>0</v>
      </c>
      <c r="F10020" s="42"/>
    </row>
    <row r="10021" spans="1:6">
      <c r="A10021" s="39">
        <f>A10020</f>
        <v>46048</v>
      </c>
      <c r="B10021" s="40"/>
      <c r="C10021" s="40"/>
      <c r="D10021" s="41"/>
      <c r="E10021" s="43">
        <f>C10021</f>
        <v>0</v>
      </c>
      <c r="F10021" s="42"/>
    </row>
    <row r="10022" spans="1:6">
      <c r="A10022" s="39">
        <f>A10021</f>
        <v>46048</v>
      </c>
      <c r="B10022" s="40"/>
      <c r="C10022" s="40"/>
      <c r="D10022" s="41"/>
      <c r="E10022" s="43">
        <f>C10022</f>
        <v>0</v>
      </c>
      <c r="F10022" s="42"/>
    </row>
    <row r="10023" spans="1:6">
      <c r="A10023" s="39">
        <f>A10022</f>
        <v>46048</v>
      </c>
      <c r="B10023" s="40"/>
      <c r="C10023" s="40"/>
      <c r="D10023" s="41"/>
      <c r="E10023" s="43">
        <f>C10023</f>
        <v>0</v>
      </c>
      <c r="F10023" s="42"/>
    </row>
    <row r="10024" spans="1:6">
      <c r="A10024" s="39">
        <f>A10023</f>
        <v>46048</v>
      </c>
      <c r="B10024" s="40"/>
      <c r="C10024" s="40"/>
      <c r="D10024" s="41"/>
      <c r="E10024" s="43">
        <f>C10024</f>
        <v>0</v>
      </c>
      <c r="F10024" s="42"/>
    </row>
    <row r="10025" spans="1:6">
      <c r="A10025" s="39">
        <f>A10024</f>
        <v>46048</v>
      </c>
      <c r="B10025" s="40"/>
      <c r="C10025" s="40"/>
      <c r="D10025" s="41"/>
      <c r="E10025" s="43">
        <f>C10025</f>
        <v>0</v>
      </c>
      <c r="F10025" s="42"/>
    </row>
    <row r="10026" spans="1:6">
      <c r="A10026" s="39">
        <f>A10025</f>
        <v>46048</v>
      </c>
      <c r="B10026" s="40"/>
      <c r="C10026" s="40"/>
      <c r="D10026" s="41"/>
      <c r="E10026" s="43">
        <f>C10026</f>
        <v>0</v>
      </c>
      <c r="F10026" s="42"/>
    </row>
    <row r="10027" spans="1:6">
      <c r="A10027" s="39">
        <f>A10026</f>
        <v>46048</v>
      </c>
      <c r="B10027" s="40"/>
      <c r="C10027" s="40"/>
      <c r="D10027" s="41"/>
      <c r="E10027" s="43">
        <f>C10027</f>
        <v>0</v>
      </c>
      <c r="F10027" s="42"/>
    </row>
    <row r="10028" spans="1:6">
      <c r="A10028" s="39">
        <f>A10027</f>
        <v>46048</v>
      </c>
      <c r="B10028" s="40"/>
      <c r="C10028" s="40"/>
      <c r="D10028" s="41"/>
      <c r="E10028" s="43">
        <f>C10028</f>
        <v>0</v>
      </c>
      <c r="F10028" s="42"/>
    </row>
    <row r="10029" spans="1:6">
      <c r="A10029" s="39">
        <f>A10028</f>
        <v>46048</v>
      </c>
      <c r="B10029" s="40"/>
      <c r="C10029" s="40"/>
      <c r="D10029" s="41"/>
      <c r="E10029" s="43">
        <f>C10029</f>
        <v>0</v>
      </c>
      <c r="F10029" s="42"/>
    </row>
    <row r="10030" spans="1:6">
      <c r="A10030" s="39">
        <f>A10029</f>
        <v>46048</v>
      </c>
      <c r="B10030" s="40"/>
      <c r="C10030" s="40"/>
      <c r="D10030" s="41"/>
      <c r="E10030" s="43">
        <f>C10030</f>
        <v>0</v>
      </c>
      <c r="F10030" s="42"/>
    </row>
    <row r="10031" spans="1:6">
      <c r="A10031" s="39">
        <f>A10030</f>
        <v>46048</v>
      </c>
      <c r="B10031" s="40"/>
      <c r="C10031" s="40"/>
      <c r="D10031" s="41"/>
      <c r="E10031" s="43">
        <f>C10031</f>
        <v>0</v>
      </c>
      <c r="F10031" s="42"/>
    </row>
    <row r="10032" spans="1:6">
      <c r="A10032" s="39">
        <f>A10031</f>
        <v>46048</v>
      </c>
      <c r="B10032" s="40"/>
      <c r="C10032" s="40"/>
      <c r="D10032" s="41"/>
      <c r="E10032" s="43">
        <f>C10032</f>
        <v>0</v>
      </c>
      <c r="F10032" s="42"/>
    </row>
    <row r="10033" spans="1:6">
      <c r="A10033" s="39">
        <f>A10032</f>
        <v>46048</v>
      </c>
      <c r="B10033" s="40"/>
      <c r="C10033" s="40"/>
      <c r="D10033" s="41"/>
      <c r="E10033" s="43">
        <f>C10033</f>
        <v>0</v>
      </c>
      <c r="F10033" s="42"/>
    </row>
    <row r="10034" spans="1:6">
      <c r="A10034" s="39">
        <f>A10033</f>
        <v>46048</v>
      </c>
      <c r="B10034" s="40"/>
      <c r="C10034" s="40"/>
      <c r="D10034" s="41"/>
      <c r="E10034" s="43">
        <f>C10034</f>
        <v>0</v>
      </c>
      <c r="F10034" s="42"/>
    </row>
    <row r="10035" spans="1:6">
      <c r="A10035" s="39">
        <f>A10034</f>
        <v>46048</v>
      </c>
      <c r="B10035" s="40"/>
      <c r="C10035" s="40"/>
      <c r="D10035" s="41"/>
      <c r="E10035" s="43">
        <f>C10035</f>
        <v>0</v>
      </c>
      <c r="F10035" s="42"/>
    </row>
    <row r="10036" spans="1:6">
      <c r="A10036" s="39">
        <f>A10035</f>
        <v>46048</v>
      </c>
      <c r="B10036" s="40"/>
      <c r="C10036" s="40"/>
      <c r="D10036" s="41"/>
      <c r="E10036" s="43">
        <f>C10036</f>
        <v>0</v>
      </c>
      <c r="F10036" s="42"/>
    </row>
    <row r="10037" spans="1:6">
      <c r="A10037" s="39">
        <f>A10036</f>
        <v>46048</v>
      </c>
      <c r="B10037" s="40"/>
      <c r="C10037" s="40"/>
      <c r="D10037" s="41"/>
      <c r="E10037" s="43">
        <f>C10037</f>
        <v>0</v>
      </c>
      <c r="F10037" s="42"/>
    </row>
    <row r="10038" spans="1:6">
      <c r="A10038" s="39">
        <f>A10037</f>
        <v>46048</v>
      </c>
      <c r="B10038" s="40"/>
      <c r="C10038" s="40"/>
      <c r="D10038" s="41"/>
      <c r="E10038" s="43">
        <f>C10038</f>
        <v>0</v>
      </c>
      <c r="F10038" s="42"/>
    </row>
    <row r="10039" spans="1:6">
      <c r="A10039" s="39">
        <f>A10038</f>
        <v>46048</v>
      </c>
      <c r="B10039" s="40"/>
      <c r="C10039" s="40"/>
      <c r="D10039" s="41"/>
      <c r="E10039" s="43">
        <f>C10039</f>
        <v>0</v>
      </c>
      <c r="F10039" s="42"/>
    </row>
    <row r="10040" spans="1:6">
      <c r="A10040" s="39">
        <f>A10039</f>
        <v>46048</v>
      </c>
      <c r="B10040" s="40"/>
      <c r="C10040" s="40"/>
      <c r="D10040" s="41"/>
      <c r="E10040" s="43">
        <f>C10040</f>
        <v>0</v>
      </c>
      <c r="F10040" s="42"/>
    </row>
    <row r="10041" spans="1:6">
      <c r="A10041" s="39">
        <f>A10040</f>
        <v>46048</v>
      </c>
      <c r="B10041" s="40"/>
      <c r="C10041" s="40"/>
      <c r="D10041" s="41"/>
      <c r="E10041" s="43">
        <f>C10041</f>
        <v>0</v>
      </c>
      <c r="F10041" s="42"/>
    </row>
    <row r="10042" spans="1:6">
      <c r="A10042" s="39">
        <f>A10041</f>
        <v>46048</v>
      </c>
      <c r="B10042" s="40"/>
      <c r="C10042" s="40"/>
      <c r="D10042" s="41"/>
      <c r="E10042" s="43">
        <f>C10042</f>
        <v>0</v>
      </c>
      <c r="F10042" s="42"/>
    </row>
    <row r="10043" spans="1:6">
      <c r="A10043" s="39">
        <f>A10042</f>
        <v>46048</v>
      </c>
      <c r="B10043" s="40"/>
      <c r="C10043" s="40"/>
      <c r="D10043" s="41"/>
      <c r="E10043" s="43">
        <f>C10043</f>
        <v>0</v>
      </c>
      <c r="F10043" s="42"/>
    </row>
    <row r="10044" spans="1:6">
      <c r="A10044" s="39">
        <f>A10043</f>
        <v>46048</v>
      </c>
      <c r="B10044" s="40"/>
      <c r="C10044" s="40"/>
      <c r="D10044" s="41"/>
      <c r="E10044" s="43">
        <f>C10044</f>
        <v>0</v>
      </c>
      <c r="F10044" s="42"/>
    </row>
    <row r="10045" spans="1:6">
      <c r="A10045" s="39">
        <f>A10044</f>
        <v>46048</v>
      </c>
      <c r="B10045" s="40"/>
      <c r="C10045" s="40"/>
      <c r="D10045" s="41"/>
      <c r="E10045" s="43">
        <f>C10045</f>
        <v>0</v>
      </c>
      <c r="F10045" s="42"/>
    </row>
    <row r="10046" spans="1:6">
      <c r="A10046" s="39">
        <f>A10045</f>
        <v>46048</v>
      </c>
      <c r="B10046" s="40"/>
      <c r="C10046" s="40"/>
      <c r="D10046" s="41"/>
      <c r="E10046" s="43">
        <f>C10046</f>
        <v>0</v>
      </c>
      <c r="F10046" s="42"/>
    </row>
    <row r="10047" spans="1:6">
      <c r="A10047" s="39">
        <f>A10046</f>
        <v>46048</v>
      </c>
      <c r="B10047" s="40"/>
      <c r="C10047" s="40"/>
      <c r="D10047" s="41"/>
      <c r="E10047" s="43">
        <f>C10047</f>
        <v>0</v>
      </c>
      <c r="F10047" s="42"/>
    </row>
    <row r="10048" spans="1:6">
      <c r="A10048" s="39">
        <f>A10047</f>
        <v>46048</v>
      </c>
      <c r="B10048" s="40"/>
      <c r="C10048" s="40"/>
      <c r="D10048" s="41"/>
      <c r="E10048" s="43">
        <f>C10048</f>
        <v>0</v>
      </c>
      <c r="F10048" s="42"/>
    </row>
    <row r="10049" spans="1:6">
      <c r="A10049" s="39">
        <f>A10048</f>
        <v>46048</v>
      </c>
      <c r="B10049" s="40"/>
      <c r="C10049" s="40"/>
      <c r="D10049" s="41"/>
      <c r="E10049" s="43">
        <f>C10049</f>
        <v>0</v>
      </c>
      <c r="F10049" s="42"/>
    </row>
    <row r="10050" spans="1:6">
      <c r="A10050" s="39">
        <f>A10049</f>
        <v>46048</v>
      </c>
      <c r="B10050" s="40"/>
      <c r="C10050" s="40"/>
      <c r="D10050" s="41"/>
      <c r="E10050" s="43">
        <f>C10050</f>
        <v>0</v>
      </c>
      <c r="F10050" s="42"/>
    </row>
    <row r="10051" spans="1:6">
      <c r="A10051" s="39">
        <f>A10050</f>
        <v>46048</v>
      </c>
      <c r="B10051" s="40"/>
      <c r="C10051" s="40"/>
      <c r="D10051" s="41"/>
      <c r="E10051" s="43">
        <f>C10051</f>
        <v>0</v>
      </c>
      <c r="F10051" s="42"/>
    </row>
    <row r="10052" spans="1:6">
      <c r="A10052" s="39">
        <f>A10051</f>
        <v>46048</v>
      </c>
      <c r="B10052" s="40"/>
      <c r="C10052" s="40"/>
      <c r="D10052" s="41"/>
      <c r="E10052" s="43">
        <f>C10052</f>
        <v>0</v>
      </c>
      <c r="F10052" s="42"/>
    </row>
    <row r="10053" spans="1:6">
      <c r="A10053" s="39">
        <f>A10052</f>
        <v>46048</v>
      </c>
      <c r="B10053" s="40"/>
      <c r="C10053" s="40"/>
      <c r="D10053" s="41"/>
      <c r="E10053" s="43">
        <f>C10053</f>
        <v>0</v>
      </c>
      <c r="F10053" s="42"/>
    </row>
    <row r="10054" spans="1:6">
      <c r="A10054" s="39">
        <f>A10053</f>
        <v>46048</v>
      </c>
      <c r="B10054" s="40"/>
      <c r="C10054" s="40"/>
      <c r="D10054" s="41"/>
      <c r="E10054" s="43">
        <f>C10054</f>
        <v>0</v>
      </c>
      <c r="F10054" s="42"/>
    </row>
    <row r="10055" spans="1:6">
      <c r="A10055" s="39">
        <f>A10054</f>
        <v>46048</v>
      </c>
      <c r="B10055" s="40"/>
      <c r="C10055" s="40"/>
      <c r="D10055" s="41"/>
      <c r="E10055" s="43">
        <f>C10055</f>
        <v>0</v>
      </c>
      <c r="F10055" s="42"/>
    </row>
    <row r="10056" spans="1:6">
      <c r="A10056" s="39">
        <f>A10055</f>
        <v>46048</v>
      </c>
      <c r="B10056" s="40"/>
      <c r="C10056" s="40"/>
      <c r="D10056" s="41"/>
      <c r="E10056" s="43">
        <f>C10056</f>
        <v>0</v>
      </c>
      <c r="F10056" s="42"/>
    </row>
    <row r="10057" spans="1:6">
      <c r="A10057" s="39">
        <f>A10056</f>
        <v>46048</v>
      </c>
      <c r="B10057" s="40"/>
      <c r="C10057" s="40"/>
      <c r="D10057" s="41"/>
      <c r="E10057" s="43">
        <f>C10057</f>
        <v>0</v>
      </c>
      <c r="F10057" s="42"/>
    </row>
    <row r="10058" spans="1:6">
      <c r="A10058" s="39">
        <f>A10057</f>
        <v>46048</v>
      </c>
      <c r="B10058" s="40"/>
      <c r="C10058" s="40"/>
      <c r="D10058" s="41"/>
      <c r="E10058" s="43">
        <f>C10058</f>
        <v>0</v>
      </c>
      <c r="F10058" s="42"/>
    </row>
    <row r="10059" spans="1:6">
      <c r="A10059" s="39">
        <f>A10058</f>
        <v>46048</v>
      </c>
      <c r="B10059" s="40"/>
      <c r="C10059" s="40"/>
      <c r="D10059" s="41"/>
      <c r="E10059" s="43">
        <f>C10059</f>
        <v>0</v>
      </c>
      <c r="F10059" s="42"/>
    </row>
    <row r="10060" spans="1:6">
      <c r="A10060" s="39">
        <f>A10059</f>
        <v>46048</v>
      </c>
      <c r="B10060" s="40"/>
      <c r="C10060" s="40"/>
      <c r="D10060" s="41"/>
      <c r="E10060" s="43">
        <f>C10060</f>
        <v>0</v>
      </c>
      <c r="F10060" s="42"/>
    </row>
    <row r="10061" spans="1:6">
      <c r="A10061" s="39">
        <f>A10060</f>
        <v>46048</v>
      </c>
      <c r="B10061" s="40"/>
      <c r="C10061" s="40"/>
      <c r="D10061" s="41"/>
      <c r="E10061" s="43">
        <f>C10061</f>
        <v>0</v>
      </c>
      <c r="F10061" s="42"/>
    </row>
    <row r="10062" spans="1:6">
      <c r="A10062" s="39">
        <f>A10061</f>
        <v>46048</v>
      </c>
      <c r="B10062" s="40"/>
      <c r="C10062" s="40"/>
      <c r="D10062" s="41"/>
      <c r="E10062" s="43">
        <f>C10062</f>
        <v>0</v>
      </c>
      <c r="F10062" s="42"/>
    </row>
    <row r="10063" spans="1:6">
      <c r="A10063" s="39">
        <f>A10062</f>
        <v>46048</v>
      </c>
      <c r="B10063" s="40"/>
      <c r="C10063" s="40"/>
      <c r="D10063" s="41"/>
      <c r="E10063" s="43">
        <f>C10063</f>
        <v>0</v>
      </c>
      <c r="F10063" s="42"/>
    </row>
    <row r="10064" spans="1:6">
      <c r="A10064" s="39">
        <f>A10063</f>
        <v>46048</v>
      </c>
      <c r="B10064" s="40"/>
      <c r="C10064" s="40"/>
      <c r="D10064" s="41"/>
      <c r="E10064" s="43">
        <f>C10064</f>
        <v>0</v>
      </c>
      <c r="F10064" s="42"/>
    </row>
    <row r="10065" spans="1:6">
      <c r="A10065" s="39">
        <f>A10064</f>
        <v>46048</v>
      </c>
      <c r="B10065" s="40"/>
      <c r="C10065" s="40"/>
      <c r="D10065" s="41"/>
      <c r="E10065" s="43">
        <f>C10065</f>
        <v>0</v>
      </c>
      <c r="F10065" s="42"/>
    </row>
    <row r="10066" spans="1:6">
      <c r="A10066" s="39">
        <f>A10065</f>
        <v>46048</v>
      </c>
      <c r="B10066" s="40"/>
      <c r="C10066" s="40"/>
      <c r="D10066" s="41"/>
      <c r="E10066" s="43">
        <f>C10066</f>
        <v>0</v>
      </c>
      <c r="F10066" s="42"/>
    </row>
    <row r="10067" spans="1:6">
      <c r="A10067" s="39">
        <f>A10066</f>
        <v>46048</v>
      </c>
      <c r="B10067" s="40"/>
      <c r="C10067" s="40"/>
      <c r="D10067" s="41"/>
      <c r="E10067" s="43">
        <f>C10067</f>
        <v>0</v>
      </c>
      <c r="F10067" s="42"/>
    </row>
    <row r="10068" spans="1:6">
      <c r="A10068" s="39">
        <f>A10067</f>
        <v>46048</v>
      </c>
      <c r="B10068" s="40"/>
      <c r="C10068" s="40"/>
      <c r="D10068" s="41"/>
      <c r="E10068" s="43">
        <f>C10068</f>
        <v>0</v>
      </c>
      <c r="F10068" s="42"/>
    </row>
    <row r="10069" spans="1:6">
      <c r="A10069" s="39">
        <f>A10068</f>
        <v>46048</v>
      </c>
      <c r="B10069" s="40"/>
      <c r="C10069" s="40"/>
      <c r="D10069" s="41"/>
      <c r="E10069" s="43">
        <f>C10069</f>
        <v>0</v>
      </c>
      <c r="F10069" s="42"/>
    </row>
    <row r="10070" spans="1:6">
      <c r="A10070" s="39">
        <f>A10069</f>
        <v>46048</v>
      </c>
      <c r="B10070" s="40"/>
      <c r="C10070" s="40"/>
      <c r="D10070" s="41"/>
      <c r="E10070" s="43">
        <f>C10070</f>
        <v>0</v>
      </c>
      <c r="F10070" s="42"/>
    </row>
    <row r="10071" spans="1:6">
      <c r="A10071" s="39">
        <f>A10070</f>
        <v>46048</v>
      </c>
      <c r="B10071" s="40"/>
      <c r="C10071" s="40"/>
      <c r="D10071" s="41"/>
      <c r="E10071" s="43">
        <f>C10071</f>
        <v>0</v>
      </c>
      <c r="F10071" s="42"/>
    </row>
    <row r="10072" spans="1:6">
      <c r="A10072" s="39">
        <f>A10071</f>
        <v>46048</v>
      </c>
      <c r="B10072" s="40"/>
      <c r="C10072" s="40"/>
      <c r="D10072" s="41"/>
      <c r="E10072" s="43">
        <f>C10072</f>
        <v>0</v>
      </c>
      <c r="F10072" s="42"/>
    </row>
    <row r="10073" spans="1:6">
      <c r="A10073" s="39">
        <f>A10072</f>
        <v>46048</v>
      </c>
      <c r="B10073" s="40"/>
      <c r="C10073" s="40"/>
      <c r="D10073" s="41"/>
      <c r="E10073" s="43">
        <f>C10073</f>
        <v>0</v>
      </c>
      <c r="F10073" s="42"/>
    </row>
    <row r="10074" spans="1:6">
      <c r="A10074" s="39">
        <f>A10073</f>
        <v>46048</v>
      </c>
      <c r="B10074" s="40"/>
      <c r="C10074" s="40"/>
      <c r="D10074" s="41"/>
      <c r="E10074" s="43">
        <f>C10074</f>
        <v>0</v>
      </c>
      <c r="F10074" s="42"/>
    </row>
    <row r="10075" spans="1:6">
      <c r="A10075" s="39">
        <f>A10074</f>
        <v>46048</v>
      </c>
      <c r="B10075" s="40"/>
      <c r="C10075" s="40"/>
      <c r="D10075" s="41"/>
      <c r="E10075" s="43">
        <f>C10075</f>
        <v>0</v>
      </c>
      <c r="F10075" s="42"/>
    </row>
    <row r="10076" spans="1:6">
      <c r="A10076" s="39">
        <f>A10075</f>
        <v>46048</v>
      </c>
      <c r="B10076" s="40"/>
      <c r="C10076" s="40"/>
      <c r="D10076" s="41"/>
      <c r="E10076" s="43">
        <f>C10076</f>
        <v>0</v>
      </c>
      <c r="F10076" s="42"/>
    </row>
    <row r="10077" spans="1:6">
      <c r="A10077" s="39">
        <f>A10076</f>
        <v>46048</v>
      </c>
      <c r="B10077" s="40"/>
      <c r="C10077" s="40"/>
      <c r="D10077" s="41"/>
      <c r="E10077" s="43">
        <f>C10077</f>
        <v>0</v>
      </c>
      <c r="F10077" s="42"/>
    </row>
    <row r="10078" spans="1:6">
      <c r="A10078" s="39">
        <f>A10077</f>
        <v>46048</v>
      </c>
      <c r="B10078" s="40"/>
      <c r="C10078" s="40"/>
      <c r="D10078" s="41"/>
      <c r="E10078" s="43">
        <f>C10078</f>
        <v>0</v>
      </c>
      <c r="F10078" s="42"/>
    </row>
    <row r="10079" spans="1:6">
      <c r="A10079" s="39">
        <f>A10078</f>
        <v>46048</v>
      </c>
      <c r="B10079" s="40"/>
      <c r="C10079" s="40"/>
      <c r="D10079" s="41"/>
      <c r="E10079" s="43">
        <f>C10079</f>
        <v>0</v>
      </c>
      <c r="F10079" s="42"/>
    </row>
    <row r="10080" spans="1:6">
      <c r="A10080" s="39">
        <f>A10079</f>
        <v>46048</v>
      </c>
      <c r="B10080" s="40"/>
      <c r="C10080" s="40"/>
      <c r="D10080" s="41"/>
      <c r="E10080" s="43">
        <f>C10080</f>
        <v>0</v>
      </c>
      <c r="F10080" s="42"/>
    </row>
    <row r="10081" spans="1:6">
      <c r="A10081" s="39">
        <f>A10080</f>
        <v>46048</v>
      </c>
      <c r="B10081" s="40"/>
      <c r="C10081" s="40"/>
      <c r="D10081" s="41"/>
      <c r="E10081" s="43">
        <f>C10081</f>
        <v>0</v>
      </c>
      <c r="F10081" s="42"/>
    </row>
    <row r="10082" spans="1:6">
      <c r="A10082" s="39">
        <f>A10081</f>
        <v>46048</v>
      </c>
      <c r="B10082" s="40"/>
      <c r="C10082" s="40"/>
      <c r="D10082" s="41"/>
      <c r="E10082" s="43">
        <f>C10082</f>
        <v>0</v>
      </c>
      <c r="F10082" s="42"/>
    </row>
    <row r="10083" spans="1:6">
      <c r="A10083" s="39">
        <f>A10082</f>
        <v>46048</v>
      </c>
      <c r="B10083" s="40"/>
      <c r="C10083" s="40"/>
      <c r="D10083" s="41"/>
      <c r="E10083" s="43">
        <f>C10083</f>
        <v>0</v>
      </c>
      <c r="F10083" s="42"/>
    </row>
    <row r="10084" spans="1:6">
      <c r="A10084" s="39">
        <f>A10083</f>
        <v>46048</v>
      </c>
      <c r="B10084" s="40"/>
      <c r="C10084" s="40"/>
      <c r="D10084" s="41"/>
      <c r="E10084" s="43">
        <f>C10084</f>
        <v>0</v>
      </c>
      <c r="F10084" s="42"/>
    </row>
    <row r="10085" spans="1:6">
      <c r="A10085" s="39">
        <f>A10084</f>
        <v>46048</v>
      </c>
      <c r="B10085" s="40"/>
      <c r="C10085" s="40"/>
      <c r="D10085" s="41"/>
      <c r="E10085" s="43">
        <f>C10085</f>
        <v>0</v>
      </c>
      <c r="F10085" s="42"/>
    </row>
    <row r="10086" spans="1:6">
      <c r="A10086" s="39">
        <f>A10085</f>
        <v>46048</v>
      </c>
      <c r="B10086" s="40"/>
      <c r="C10086" s="40"/>
      <c r="D10086" s="41"/>
      <c r="E10086" s="43">
        <f>C10086</f>
        <v>0</v>
      </c>
      <c r="F10086" s="42"/>
    </row>
    <row r="10087" spans="1:6">
      <c r="A10087" s="39">
        <f>A10086</f>
        <v>46048</v>
      </c>
      <c r="B10087" s="40"/>
      <c r="C10087" s="40"/>
      <c r="D10087" s="41"/>
      <c r="E10087" s="43">
        <f>C10087</f>
        <v>0</v>
      </c>
      <c r="F10087" s="42"/>
    </row>
    <row r="10088" spans="1:6">
      <c r="A10088" s="39">
        <f>A10087</f>
        <v>46048</v>
      </c>
      <c r="B10088" s="40"/>
      <c r="C10088" s="40"/>
      <c r="D10088" s="41"/>
      <c r="E10088" s="43">
        <f>C10088</f>
        <v>0</v>
      </c>
      <c r="F10088" s="42"/>
    </row>
    <row r="10089" spans="1:6">
      <c r="A10089" s="39">
        <f>A10088</f>
        <v>46048</v>
      </c>
      <c r="B10089" s="40"/>
      <c r="C10089" s="40"/>
      <c r="D10089" s="41"/>
      <c r="E10089" s="43">
        <f>C10089</f>
        <v>0</v>
      </c>
      <c r="F10089" s="42"/>
    </row>
    <row r="10090" spans="1:6">
      <c r="A10090" s="39">
        <f>A10089</f>
        <v>46048</v>
      </c>
      <c r="B10090" s="40"/>
      <c r="C10090" s="40"/>
      <c r="D10090" s="41"/>
      <c r="E10090" s="43">
        <f>C10090</f>
        <v>0</v>
      </c>
      <c r="F10090" s="42"/>
    </row>
    <row r="10091" spans="1:6">
      <c r="A10091" s="39">
        <f>A10090</f>
        <v>46048</v>
      </c>
      <c r="B10091" s="40"/>
      <c r="C10091" s="40"/>
      <c r="D10091" s="41"/>
      <c r="E10091" s="43">
        <f>C10091</f>
        <v>0</v>
      </c>
      <c r="F10091" s="42"/>
    </row>
    <row r="10092" spans="1:6">
      <c r="A10092" s="39">
        <f>A10091</f>
        <v>46048</v>
      </c>
      <c r="B10092" s="40"/>
      <c r="C10092" s="40"/>
      <c r="D10092" s="41"/>
      <c r="E10092" s="43">
        <f>C10092</f>
        <v>0</v>
      </c>
      <c r="F10092" s="42"/>
    </row>
    <row r="10093" spans="1:6">
      <c r="A10093" s="39">
        <f>A10092</f>
        <v>46048</v>
      </c>
      <c r="B10093" s="40"/>
      <c r="C10093" s="40"/>
      <c r="D10093" s="41"/>
      <c r="E10093" s="43">
        <f>C10093</f>
        <v>0</v>
      </c>
      <c r="F10093" s="42"/>
    </row>
    <row r="10094" spans="1:6">
      <c r="A10094" s="39">
        <f>A10093</f>
        <v>46048</v>
      </c>
      <c r="B10094" s="40"/>
      <c r="C10094" s="40"/>
      <c r="D10094" s="41"/>
      <c r="E10094" s="43">
        <f>C10094</f>
        <v>0</v>
      </c>
      <c r="F10094" s="42"/>
    </row>
    <row r="10095" spans="1:6">
      <c r="A10095" s="39">
        <f>A10094</f>
        <v>46048</v>
      </c>
      <c r="B10095" s="40"/>
      <c r="C10095" s="40"/>
      <c r="D10095" s="41"/>
      <c r="E10095" s="43">
        <f>C10095</f>
        <v>0</v>
      </c>
      <c r="F10095" s="42"/>
    </row>
    <row r="10096" spans="1:6">
      <c r="A10096" s="39">
        <f>A10095</f>
        <v>46048</v>
      </c>
      <c r="B10096" s="40"/>
      <c r="C10096" s="40"/>
      <c r="D10096" s="41"/>
      <c r="E10096" s="43">
        <f>C10096</f>
        <v>0</v>
      </c>
      <c r="F10096" s="42"/>
    </row>
    <row r="10097" spans="1:6">
      <c r="A10097" s="39">
        <f>A10096</f>
        <v>46048</v>
      </c>
      <c r="B10097" s="40"/>
      <c r="C10097" s="40"/>
      <c r="D10097" s="41"/>
      <c r="E10097" s="43">
        <f>C10097</f>
        <v>0</v>
      </c>
      <c r="F10097" s="42"/>
    </row>
    <row r="10098" spans="1:6">
      <c r="A10098" s="39">
        <f>A10097</f>
        <v>46048</v>
      </c>
      <c r="B10098" s="40"/>
      <c r="C10098" s="40"/>
      <c r="D10098" s="41"/>
      <c r="E10098" s="43">
        <f>C10098</f>
        <v>0</v>
      </c>
      <c r="F10098" s="42"/>
    </row>
    <row r="10099" spans="1:6">
      <c r="A10099" s="39">
        <f>A10098</f>
        <v>46048</v>
      </c>
      <c r="B10099" s="40"/>
      <c r="C10099" s="40"/>
      <c r="D10099" s="41"/>
      <c r="E10099" s="43">
        <f>C10099</f>
        <v>0</v>
      </c>
      <c r="F10099" s="42"/>
    </row>
    <row r="10100" spans="1:6">
      <c r="A10100" s="39">
        <f>A10099</f>
        <v>46048</v>
      </c>
      <c r="B10100" s="40"/>
      <c r="C10100" s="40"/>
      <c r="D10100" s="41"/>
      <c r="E10100" s="43">
        <f>C10100</f>
        <v>0</v>
      </c>
      <c r="F10100" s="42"/>
    </row>
    <row r="10101" spans="1:6">
      <c r="A10101" s="39">
        <f>A10100</f>
        <v>46048</v>
      </c>
      <c r="B10101" s="40"/>
      <c r="C10101" s="40"/>
      <c r="D10101" s="41"/>
      <c r="E10101" s="43">
        <f>C10101</f>
        <v>0</v>
      </c>
      <c r="F10101" s="42"/>
    </row>
    <row r="10102" spans="1:6">
      <c r="A10102" s="39">
        <f>A10101</f>
        <v>46048</v>
      </c>
      <c r="B10102" s="40"/>
      <c r="C10102" s="40"/>
      <c r="D10102" s="41"/>
      <c r="E10102" s="43">
        <f>C10102</f>
        <v>0</v>
      </c>
      <c r="F10102" s="42"/>
    </row>
    <row r="10103" spans="1:6">
      <c r="A10103" s="39">
        <f>A10102</f>
        <v>46048</v>
      </c>
      <c r="B10103" s="40"/>
      <c r="C10103" s="40"/>
      <c r="D10103" s="41"/>
      <c r="E10103" s="43">
        <f>C10103</f>
        <v>0</v>
      </c>
      <c r="F10103" s="42"/>
    </row>
    <row r="10104" spans="1:6">
      <c r="A10104" s="39">
        <f>A10103</f>
        <v>46048</v>
      </c>
      <c r="B10104" s="40"/>
      <c r="C10104" s="40"/>
      <c r="D10104" s="41"/>
      <c r="E10104" s="43">
        <f>C10104</f>
        <v>0</v>
      </c>
      <c r="F10104" s="42"/>
    </row>
    <row r="10105" spans="1:6">
      <c r="A10105" s="39">
        <f>A10104</f>
        <v>46048</v>
      </c>
      <c r="B10105" s="40"/>
      <c r="C10105" s="40"/>
      <c r="D10105" s="41"/>
      <c r="E10105" s="43">
        <f>C10105</f>
        <v>0</v>
      </c>
      <c r="F10105" s="42"/>
    </row>
    <row r="10106" spans="1:6">
      <c r="A10106" s="39">
        <f>A10105</f>
        <v>46048</v>
      </c>
      <c r="B10106" s="40"/>
      <c r="C10106" s="40"/>
      <c r="D10106" s="41"/>
      <c r="E10106" s="43">
        <f>C10106</f>
        <v>0</v>
      </c>
      <c r="F10106" s="42"/>
    </row>
    <row r="10107" spans="1:6">
      <c r="A10107" s="39">
        <f>A10106</f>
        <v>46048</v>
      </c>
      <c r="B10107" s="40"/>
      <c r="C10107" s="40"/>
      <c r="D10107" s="41"/>
      <c r="E10107" s="43">
        <f>C10107</f>
        <v>0</v>
      </c>
      <c r="F10107" s="42"/>
    </row>
    <row r="10108" spans="1:6">
      <c r="A10108" s="39">
        <f>A10107</f>
        <v>46048</v>
      </c>
      <c r="B10108" s="40"/>
      <c r="C10108" s="40"/>
      <c r="D10108" s="41"/>
      <c r="E10108" s="43">
        <f>C10108</f>
        <v>0</v>
      </c>
      <c r="F10108" s="42"/>
    </row>
    <row r="10109" spans="1:6">
      <c r="A10109" s="39">
        <f>A10108</f>
        <v>46048</v>
      </c>
      <c r="B10109" s="40"/>
      <c r="C10109" s="40"/>
      <c r="D10109" s="41"/>
      <c r="E10109" s="43">
        <f>C10109</f>
        <v>0</v>
      </c>
      <c r="F10109" s="42"/>
    </row>
    <row r="10110" spans="1:6">
      <c r="A10110" s="39">
        <f>A10109</f>
        <v>46048</v>
      </c>
      <c r="B10110" s="40"/>
      <c r="C10110" s="40"/>
      <c r="D10110" s="41"/>
      <c r="E10110" s="43">
        <f>C10110</f>
        <v>0</v>
      </c>
      <c r="F10110" s="42"/>
    </row>
    <row r="10111" spans="1:6">
      <c r="A10111" s="39">
        <f>A10110</f>
        <v>46048</v>
      </c>
      <c r="B10111" s="40"/>
      <c r="C10111" s="40"/>
      <c r="D10111" s="41"/>
      <c r="E10111" s="43">
        <f>C10111</f>
        <v>0</v>
      </c>
      <c r="F10111" s="42"/>
    </row>
    <row r="10112" spans="1:6">
      <c r="A10112" s="39">
        <f>A10111</f>
        <v>46048</v>
      </c>
      <c r="B10112" s="40"/>
      <c r="C10112" s="40"/>
      <c r="D10112" s="41"/>
      <c r="E10112" s="43">
        <f>C10112</f>
        <v>0</v>
      </c>
      <c r="F10112" s="42"/>
    </row>
    <row r="10113" spans="1:6">
      <c r="A10113" s="39">
        <f>A10112</f>
        <v>46048</v>
      </c>
      <c r="B10113" s="40"/>
      <c r="C10113" s="40"/>
      <c r="D10113" s="41"/>
      <c r="E10113" s="43">
        <f>C10113</f>
        <v>0</v>
      </c>
      <c r="F10113" s="42"/>
    </row>
    <row r="10114" spans="1:6">
      <c r="A10114" s="39">
        <f>A10113</f>
        <v>46048</v>
      </c>
      <c r="B10114" s="40"/>
      <c r="C10114" s="40"/>
      <c r="D10114" s="41"/>
      <c r="E10114" s="43">
        <f>C10114</f>
        <v>0</v>
      </c>
      <c r="F10114" s="42"/>
    </row>
    <row r="10115" spans="1:6">
      <c r="A10115" s="39">
        <f>A10114</f>
        <v>46048</v>
      </c>
      <c r="B10115" s="40"/>
      <c r="C10115" s="40"/>
      <c r="D10115" s="41"/>
      <c r="E10115" s="43">
        <f>C10115</f>
        <v>0</v>
      </c>
      <c r="F10115" s="42"/>
    </row>
    <row r="10116" spans="1:6">
      <c r="A10116" s="39">
        <f>A10115</f>
        <v>46048</v>
      </c>
      <c r="B10116" s="40"/>
      <c r="C10116" s="40"/>
      <c r="D10116" s="41"/>
      <c r="E10116" s="43">
        <f>C10116</f>
        <v>0</v>
      </c>
      <c r="F10116" s="42"/>
    </row>
    <row r="10117" spans="1:6">
      <c r="A10117" s="39">
        <f>A10116</f>
        <v>46048</v>
      </c>
      <c r="B10117" s="40"/>
      <c r="C10117" s="40"/>
      <c r="D10117" s="41"/>
      <c r="E10117" s="43">
        <f>C10117</f>
        <v>0</v>
      </c>
      <c r="F10117" s="42"/>
    </row>
    <row r="10118" spans="1:6">
      <c r="A10118" s="39">
        <f>A10117</f>
        <v>46048</v>
      </c>
      <c r="B10118" s="40"/>
      <c r="C10118" s="40"/>
      <c r="D10118" s="41"/>
      <c r="E10118" s="43">
        <f>C10118</f>
        <v>0</v>
      </c>
      <c r="F10118" s="42"/>
    </row>
    <row r="10119" spans="1:6">
      <c r="A10119" s="39">
        <f>A10118</f>
        <v>46048</v>
      </c>
      <c r="B10119" s="40"/>
      <c r="C10119" s="40"/>
      <c r="D10119" s="41"/>
      <c r="E10119" s="43">
        <f>C10119</f>
        <v>0</v>
      </c>
      <c r="F10119" s="42"/>
    </row>
    <row r="10120" spans="1:6">
      <c r="A10120" s="39">
        <f>A10119</f>
        <v>46048</v>
      </c>
      <c r="B10120" s="40"/>
      <c r="C10120" s="40"/>
      <c r="D10120" s="41"/>
      <c r="E10120" s="43">
        <f>C10120</f>
        <v>0</v>
      </c>
      <c r="F10120" s="42"/>
    </row>
    <row r="10121" spans="1:6">
      <c r="A10121" s="39">
        <f>A10120</f>
        <v>46048</v>
      </c>
      <c r="B10121" s="40"/>
      <c r="C10121" s="40"/>
      <c r="D10121" s="41"/>
      <c r="E10121" s="43">
        <f>C10121</f>
        <v>0</v>
      </c>
      <c r="F10121" s="42"/>
    </row>
    <row r="10122" spans="1:6">
      <c r="A10122" s="39">
        <f>A10121</f>
        <v>46048</v>
      </c>
      <c r="B10122" s="40"/>
      <c r="C10122" s="40"/>
      <c r="D10122" s="41"/>
      <c r="E10122" s="43">
        <f>C10122</f>
        <v>0</v>
      </c>
      <c r="F10122" s="42"/>
    </row>
    <row r="10123" spans="1:6">
      <c r="A10123" s="39">
        <f>A10122</f>
        <v>46048</v>
      </c>
      <c r="B10123" s="40"/>
      <c r="C10123" s="40"/>
      <c r="D10123" s="41"/>
      <c r="E10123" s="43">
        <f>C10123</f>
        <v>0</v>
      </c>
      <c r="F10123" s="42"/>
    </row>
    <row r="10124" spans="1:6">
      <c r="A10124" s="39">
        <f>A10123</f>
        <v>46048</v>
      </c>
      <c r="B10124" s="40"/>
      <c r="C10124" s="40"/>
      <c r="D10124" s="41"/>
      <c r="E10124" s="43">
        <f>C10124</f>
        <v>0</v>
      </c>
      <c r="F10124" s="42"/>
    </row>
    <row r="10125" spans="1:6">
      <c r="A10125" s="39">
        <f>A10124</f>
        <v>46048</v>
      </c>
      <c r="B10125" s="40"/>
      <c r="C10125" s="40"/>
      <c r="D10125" s="41"/>
      <c r="E10125" s="43">
        <f>C10125</f>
        <v>0</v>
      </c>
      <c r="F10125" s="42"/>
    </row>
    <row r="10126" spans="1:6">
      <c r="A10126" s="39">
        <f>A10125</f>
        <v>46048</v>
      </c>
      <c r="B10126" s="40"/>
      <c r="C10126" s="40"/>
      <c r="D10126" s="41"/>
      <c r="E10126" s="43">
        <f>C10126</f>
        <v>0</v>
      </c>
      <c r="F10126" s="42"/>
    </row>
    <row r="10127" spans="1:6">
      <c r="A10127" s="39">
        <f>A10126</f>
        <v>46048</v>
      </c>
      <c r="B10127" s="40"/>
      <c r="C10127" s="40"/>
      <c r="D10127" s="41"/>
      <c r="E10127" s="43">
        <f>C10127</f>
        <v>0</v>
      </c>
      <c r="F10127" s="42"/>
    </row>
    <row r="10128" spans="1:6">
      <c r="A10128" s="39">
        <f>A10127</f>
        <v>46048</v>
      </c>
      <c r="B10128" s="40"/>
      <c r="C10128" s="40"/>
      <c r="D10128" s="41"/>
      <c r="E10128" s="43">
        <f>C10128</f>
        <v>0</v>
      </c>
      <c r="F10128" s="42"/>
    </row>
    <row r="10129" spans="1:6">
      <c r="A10129" s="39">
        <f>A10128</f>
        <v>46048</v>
      </c>
      <c r="B10129" s="40"/>
      <c r="C10129" s="40"/>
      <c r="D10129" s="41"/>
      <c r="E10129" s="43">
        <f>C10129</f>
        <v>0</v>
      </c>
      <c r="F10129" s="42"/>
    </row>
    <row r="10130" spans="1:6">
      <c r="A10130" s="39">
        <f>A10129</f>
        <v>46048</v>
      </c>
      <c r="B10130" s="40"/>
      <c r="C10130" s="40"/>
      <c r="D10130" s="41"/>
      <c r="E10130" s="43">
        <f>C10130</f>
        <v>0</v>
      </c>
      <c r="F10130" s="42"/>
    </row>
    <row r="10131" spans="1:6">
      <c r="A10131" s="39">
        <f>A10130</f>
        <v>46048</v>
      </c>
      <c r="B10131" s="40"/>
      <c r="C10131" s="40"/>
      <c r="D10131" s="41"/>
      <c r="E10131" s="43">
        <f>C10131</f>
        <v>0</v>
      </c>
      <c r="F10131" s="42"/>
    </row>
    <row r="10132" spans="1:6">
      <c r="A10132" s="39">
        <f>A10131</f>
        <v>46048</v>
      </c>
      <c r="B10132" s="40"/>
      <c r="C10132" s="40"/>
      <c r="D10132" s="41"/>
      <c r="E10132" s="43">
        <f>C10132</f>
        <v>0</v>
      </c>
      <c r="F10132" s="42"/>
    </row>
    <row r="10133" spans="1:6">
      <c r="A10133" s="39">
        <f>A10132</f>
        <v>46048</v>
      </c>
      <c r="B10133" s="40"/>
      <c r="C10133" s="40"/>
      <c r="D10133" s="41"/>
      <c r="E10133" s="43">
        <f>C10133</f>
        <v>0</v>
      </c>
      <c r="F10133" s="42"/>
    </row>
    <row r="10134" spans="1:6">
      <c r="A10134" s="39">
        <f>A10133</f>
        <v>46048</v>
      </c>
      <c r="B10134" s="40"/>
      <c r="C10134" s="40"/>
      <c r="D10134" s="41"/>
      <c r="E10134" s="43">
        <f>C10134</f>
        <v>0</v>
      </c>
      <c r="F10134" s="42"/>
    </row>
    <row r="10135" spans="1:6">
      <c r="A10135" s="39">
        <f>A10134</f>
        <v>46048</v>
      </c>
      <c r="B10135" s="40"/>
      <c r="C10135" s="40"/>
      <c r="D10135" s="41"/>
      <c r="E10135" s="43">
        <f>C10135</f>
        <v>0</v>
      </c>
      <c r="F10135" s="42"/>
    </row>
    <row r="10136" spans="1:6">
      <c r="A10136" s="39">
        <f>A10135</f>
        <v>46048</v>
      </c>
      <c r="B10136" s="40"/>
      <c r="C10136" s="40"/>
      <c r="D10136" s="41"/>
      <c r="E10136" s="43">
        <f>C10136</f>
        <v>0</v>
      </c>
      <c r="F10136" s="42"/>
    </row>
    <row r="10137" spans="1:6">
      <c r="A10137" s="39">
        <f>A10136</f>
        <v>46048</v>
      </c>
      <c r="B10137" s="40"/>
      <c r="C10137" s="40"/>
      <c r="D10137" s="41"/>
      <c r="E10137" s="43">
        <f>C10137</f>
        <v>0</v>
      </c>
      <c r="F10137" s="42"/>
    </row>
    <row r="10138" spans="1:6">
      <c r="A10138" s="39">
        <f>A10137</f>
        <v>46048</v>
      </c>
      <c r="B10138" s="40"/>
      <c r="C10138" s="40"/>
      <c r="D10138" s="41"/>
      <c r="E10138" s="43">
        <f>C10138</f>
        <v>0</v>
      </c>
      <c r="F10138" s="42"/>
    </row>
    <row r="10139" spans="1:6">
      <c r="A10139" s="39">
        <f>A10138</f>
        <v>46048</v>
      </c>
      <c r="B10139" s="40"/>
      <c r="C10139" s="40"/>
      <c r="D10139" s="41"/>
      <c r="E10139" s="43">
        <f>C10139</f>
        <v>0</v>
      </c>
      <c r="F10139" s="42"/>
    </row>
    <row r="10140" spans="1:6">
      <c r="A10140" s="39">
        <f>A10139</f>
        <v>46048</v>
      </c>
      <c r="B10140" s="40"/>
      <c r="C10140" s="40"/>
      <c r="D10140" s="41"/>
      <c r="E10140" s="43">
        <f>C10140</f>
        <v>0</v>
      </c>
      <c r="F10140" s="42"/>
    </row>
    <row r="10141" spans="1:6">
      <c r="A10141" s="39">
        <f>A10140</f>
        <v>46048</v>
      </c>
      <c r="B10141" s="40"/>
      <c r="C10141" s="40"/>
      <c r="D10141" s="41"/>
      <c r="E10141" s="43">
        <f>C10141</f>
        <v>0</v>
      </c>
      <c r="F10141" s="42"/>
    </row>
    <row r="10142" spans="1:6">
      <c r="A10142" s="39">
        <f>A10141</f>
        <v>46048</v>
      </c>
      <c r="B10142" s="40"/>
      <c r="C10142" s="40"/>
      <c r="D10142" s="41"/>
      <c r="E10142" s="43">
        <f>C10142</f>
        <v>0</v>
      </c>
      <c r="F10142" s="42"/>
    </row>
    <row r="10143" spans="1:6">
      <c r="A10143" s="39">
        <f>A10142</f>
        <v>46048</v>
      </c>
      <c r="B10143" s="40"/>
      <c r="C10143" s="40"/>
      <c r="D10143" s="41"/>
      <c r="E10143" s="43">
        <f>C10143</f>
        <v>0</v>
      </c>
      <c r="F10143" s="42"/>
    </row>
    <row r="10144" spans="1:6">
      <c r="A10144" s="39">
        <f>A10143</f>
        <v>46048</v>
      </c>
      <c r="B10144" s="40"/>
      <c r="C10144" s="40"/>
      <c r="D10144" s="41"/>
      <c r="E10144" s="43">
        <f>C10144</f>
        <v>0</v>
      </c>
      <c r="F10144" s="42"/>
    </row>
    <row r="10145" spans="1:6">
      <c r="A10145" s="39">
        <f>A10144</f>
        <v>46048</v>
      </c>
      <c r="B10145" s="40"/>
      <c r="C10145" s="40"/>
      <c r="D10145" s="41"/>
      <c r="E10145" s="43">
        <f>C10145</f>
        <v>0</v>
      </c>
      <c r="F10145" s="42"/>
    </row>
    <row r="10146" spans="1:6">
      <c r="A10146" s="39">
        <f>A10145</f>
        <v>46048</v>
      </c>
      <c r="B10146" s="40"/>
      <c r="C10146" s="40"/>
      <c r="D10146" s="41"/>
      <c r="E10146" s="43">
        <f>C10146</f>
        <v>0</v>
      </c>
      <c r="F10146" s="42"/>
    </row>
    <row r="10147" spans="1:6">
      <c r="A10147" s="39">
        <f>A10146</f>
        <v>46048</v>
      </c>
      <c r="B10147" s="40"/>
      <c r="C10147" s="40"/>
      <c r="D10147" s="41"/>
      <c r="E10147" s="43">
        <f>C10147</f>
        <v>0</v>
      </c>
      <c r="F10147" s="42"/>
    </row>
    <row r="10148" spans="1:6">
      <c r="A10148" s="39">
        <f>A10147</f>
        <v>46048</v>
      </c>
      <c r="B10148" s="40"/>
      <c r="C10148" s="40"/>
      <c r="D10148" s="41"/>
      <c r="E10148" s="43">
        <f>C10148</f>
        <v>0</v>
      </c>
      <c r="F10148" s="42"/>
    </row>
    <row r="10149" spans="1:6">
      <c r="A10149" s="39">
        <f>A10148</f>
        <v>46048</v>
      </c>
      <c r="B10149" s="40"/>
      <c r="C10149" s="40"/>
      <c r="D10149" s="41"/>
      <c r="E10149" s="43">
        <f>C10149</f>
        <v>0</v>
      </c>
      <c r="F10149" s="42"/>
    </row>
    <row r="10150" spans="1:6">
      <c r="A10150" s="39">
        <f>A10149</f>
        <v>46048</v>
      </c>
      <c r="B10150" s="40"/>
      <c r="C10150" s="40"/>
      <c r="D10150" s="41"/>
      <c r="E10150" s="43">
        <f>C10150</f>
        <v>0</v>
      </c>
      <c r="F10150" s="42"/>
    </row>
    <row r="10151" spans="1:6">
      <c r="A10151" s="39">
        <f>A10150</f>
        <v>46048</v>
      </c>
      <c r="B10151" s="40"/>
      <c r="C10151" s="40"/>
      <c r="D10151" s="41"/>
      <c r="E10151" s="43">
        <f>C10151</f>
        <v>0</v>
      </c>
      <c r="F10151" s="42"/>
    </row>
    <row r="10152" spans="1:6">
      <c r="A10152" s="39">
        <f>A10151</f>
        <v>46048</v>
      </c>
      <c r="B10152" s="40"/>
      <c r="C10152" s="40"/>
      <c r="D10152" s="41"/>
      <c r="E10152" s="43">
        <f>C10152</f>
        <v>0</v>
      </c>
      <c r="F10152" s="42"/>
    </row>
    <row r="10153" spans="1:6">
      <c r="A10153" s="39">
        <f>A10152</f>
        <v>46048</v>
      </c>
      <c r="B10153" s="40"/>
      <c r="C10153" s="40"/>
      <c r="D10153" s="41"/>
      <c r="E10153" s="43">
        <f>C10153</f>
        <v>0</v>
      </c>
      <c r="F10153" s="42"/>
    </row>
    <row r="10154" spans="1:6">
      <c r="A10154" s="39">
        <f>A10153</f>
        <v>46048</v>
      </c>
      <c r="B10154" s="40"/>
      <c r="C10154" s="40"/>
      <c r="D10154" s="41"/>
      <c r="E10154" s="43">
        <f>C10154</f>
        <v>0</v>
      </c>
      <c r="F10154" s="42"/>
    </row>
    <row r="10155" spans="1:6">
      <c r="A10155" s="39">
        <f>A10154</f>
        <v>46048</v>
      </c>
      <c r="B10155" s="40"/>
      <c r="C10155" s="40"/>
      <c r="D10155" s="41"/>
      <c r="E10155" s="43">
        <f>C10155</f>
        <v>0</v>
      </c>
      <c r="F10155" s="42"/>
    </row>
    <row r="10156" spans="1:6">
      <c r="A10156" s="39">
        <f>A10155</f>
        <v>46048</v>
      </c>
      <c r="B10156" s="40"/>
      <c r="C10156" s="40"/>
      <c r="D10156" s="41"/>
      <c r="E10156" s="43">
        <f>C10156</f>
        <v>0</v>
      </c>
      <c r="F10156" s="42"/>
    </row>
    <row r="10157" spans="1:6">
      <c r="A10157" s="39">
        <f>A10156</f>
        <v>46048</v>
      </c>
      <c r="B10157" s="40"/>
      <c r="C10157" s="40"/>
      <c r="D10157" s="41"/>
      <c r="E10157" s="43">
        <f>C10157</f>
        <v>0</v>
      </c>
      <c r="F10157" s="42"/>
    </row>
    <row r="10158" spans="1:6">
      <c r="A10158" s="39">
        <f>A10157</f>
        <v>46048</v>
      </c>
      <c r="B10158" s="40"/>
      <c r="C10158" s="40"/>
      <c r="D10158" s="41"/>
      <c r="E10158" s="43">
        <f>C10158</f>
        <v>0</v>
      </c>
      <c r="F10158" s="42"/>
    </row>
    <row r="10159" spans="1:6">
      <c r="A10159" s="39">
        <f>A10158</f>
        <v>46048</v>
      </c>
      <c r="B10159" s="40"/>
      <c r="C10159" s="40"/>
      <c r="D10159" s="41"/>
      <c r="E10159" s="43">
        <f>C10159</f>
        <v>0</v>
      </c>
      <c r="F10159" s="42"/>
    </row>
    <row r="10160" spans="1:6">
      <c r="A10160" s="39">
        <f>A10159</f>
        <v>46048</v>
      </c>
      <c r="B10160" s="40"/>
      <c r="C10160" s="40"/>
      <c r="D10160" s="41"/>
      <c r="E10160" s="43">
        <f>C10160</f>
        <v>0</v>
      </c>
      <c r="F10160" s="42"/>
    </row>
    <row r="10161" spans="1:6">
      <c r="A10161" s="39">
        <f>A10160</f>
        <v>46048</v>
      </c>
      <c r="B10161" s="40"/>
      <c r="C10161" s="40"/>
      <c r="D10161" s="41"/>
      <c r="E10161" s="43">
        <f>C10161</f>
        <v>0</v>
      </c>
      <c r="F10161" s="42"/>
    </row>
    <row r="10162" spans="1:6">
      <c r="A10162" s="39">
        <f>A10161</f>
        <v>46048</v>
      </c>
      <c r="B10162" s="40"/>
      <c r="C10162" s="40"/>
      <c r="D10162" s="41"/>
      <c r="E10162" s="43">
        <f>C10162</f>
        <v>0</v>
      </c>
      <c r="F10162" s="42"/>
    </row>
    <row r="10163" spans="1:6">
      <c r="A10163" s="39">
        <f>A10162</f>
        <v>46048</v>
      </c>
      <c r="B10163" s="40"/>
      <c r="C10163" s="40"/>
      <c r="D10163" s="41"/>
      <c r="E10163" s="43">
        <f>C10163</f>
        <v>0</v>
      </c>
      <c r="F10163" s="42"/>
    </row>
    <row r="10164" spans="1:6">
      <c r="A10164" s="39">
        <f>A10163</f>
        <v>46048</v>
      </c>
      <c r="B10164" s="40"/>
      <c r="C10164" s="40"/>
      <c r="D10164" s="41"/>
      <c r="E10164" s="43">
        <f>C10164</f>
        <v>0</v>
      </c>
      <c r="F10164" s="42"/>
    </row>
    <row r="10165" spans="1:6">
      <c r="A10165" s="39">
        <f>A10164</f>
        <v>46048</v>
      </c>
      <c r="B10165" s="40"/>
      <c r="C10165" s="40"/>
      <c r="D10165" s="41"/>
      <c r="E10165" s="43">
        <f>C10165</f>
        <v>0</v>
      </c>
      <c r="F10165" s="42"/>
    </row>
    <row r="10166" spans="1:6">
      <c r="A10166" s="39">
        <f>A10165</f>
        <v>46048</v>
      </c>
      <c r="B10166" s="40"/>
      <c r="C10166" s="40"/>
      <c r="D10166" s="41"/>
      <c r="E10166" s="43">
        <f>C10166</f>
        <v>0</v>
      </c>
      <c r="F10166" s="42"/>
    </row>
    <row r="10167" spans="1:6">
      <c r="A10167" s="39">
        <f>A10166</f>
        <v>46048</v>
      </c>
      <c r="B10167" s="40"/>
      <c r="C10167" s="40"/>
      <c r="D10167" s="41"/>
      <c r="E10167" s="43">
        <f>C10167</f>
        <v>0</v>
      </c>
      <c r="F10167" s="42"/>
    </row>
    <row r="10168" spans="1:6">
      <c r="A10168" s="39">
        <f>A10167</f>
        <v>46048</v>
      </c>
      <c r="B10168" s="40"/>
      <c r="C10168" s="40"/>
      <c r="D10168" s="41"/>
      <c r="E10168" s="43">
        <f>C10168</f>
        <v>0</v>
      </c>
      <c r="F10168" s="42"/>
    </row>
    <row r="10169" spans="1:6">
      <c r="A10169" s="39">
        <f>A10168</f>
        <v>46048</v>
      </c>
      <c r="B10169" s="40"/>
      <c r="C10169" s="40"/>
      <c r="D10169" s="41"/>
      <c r="E10169" s="43">
        <f>C10169</f>
        <v>0</v>
      </c>
      <c r="F10169" s="42"/>
    </row>
    <row r="10170" spans="1:6">
      <c r="A10170" s="39">
        <f>A10169</f>
        <v>46048</v>
      </c>
      <c r="B10170" s="40"/>
      <c r="C10170" s="40"/>
      <c r="D10170" s="41"/>
      <c r="E10170" s="43">
        <f>C10170</f>
        <v>0</v>
      </c>
      <c r="F10170" s="42"/>
    </row>
    <row r="10171" spans="1:6">
      <c r="A10171" s="39">
        <f>A10170</f>
        <v>46048</v>
      </c>
      <c r="B10171" s="40"/>
      <c r="C10171" s="40"/>
      <c r="D10171" s="41"/>
      <c r="E10171" s="43">
        <f>C10171</f>
        <v>0</v>
      </c>
      <c r="F10171" s="42"/>
    </row>
    <row r="10172" spans="1:6">
      <c r="A10172" s="39">
        <f>A10171</f>
        <v>46048</v>
      </c>
      <c r="B10172" s="40"/>
      <c r="C10172" s="40"/>
      <c r="D10172" s="41"/>
      <c r="E10172" s="43">
        <f>C10172</f>
        <v>0</v>
      </c>
      <c r="F10172" s="42"/>
    </row>
    <row r="10173" spans="1:6">
      <c r="A10173" s="39">
        <f>A10172</f>
        <v>46048</v>
      </c>
      <c r="B10173" s="40"/>
      <c r="C10173" s="40"/>
      <c r="D10173" s="41"/>
      <c r="E10173" s="43">
        <f>C10173</f>
        <v>0</v>
      </c>
      <c r="F10173" s="42"/>
    </row>
    <row r="10174" spans="1:6">
      <c r="A10174" s="39">
        <f>A10173</f>
        <v>46048</v>
      </c>
      <c r="B10174" s="40"/>
      <c r="C10174" s="40"/>
      <c r="D10174" s="41"/>
      <c r="E10174" s="43">
        <f>C10174</f>
        <v>0</v>
      </c>
      <c r="F10174" s="42"/>
    </row>
    <row r="10175" spans="1:6">
      <c r="A10175" s="39">
        <f>A10174</f>
        <v>46048</v>
      </c>
      <c r="B10175" s="40"/>
      <c r="C10175" s="40"/>
      <c r="D10175" s="41"/>
      <c r="E10175" s="43">
        <f>C10175</f>
        <v>0</v>
      </c>
      <c r="F10175" s="42"/>
    </row>
    <row r="10176" spans="1:6">
      <c r="A10176" s="39">
        <f>A10175</f>
        <v>46048</v>
      </c>
      <c r="B10176" s="40"/>
      <c r="C10176" s="40"/>
      <c r="D10176" s="41"/>
      <c r="E10176" s="43">
        <f>C10176</f>
        <v>0</v>
      </c>
      <c r="F10176" s="42"/>
    </row>
    <row r="10177" spans="1:6">
      <c r="A10177" s="39">
        <f>A10176</f>
        <v>46048</v>
      </c>
      <c r="B10177" s="40"/>
      <c r="C10177" s="40"/>
      <c r="D10177" s="41"/>
      <c r="E10177" s="43">
        <f>C10177</f>
        <v>0</v>
      </c>
      <c r="F10177" s="42"/>
    </row>
    <row r="10178" spans="1:6">
      <c r="A10178" s="39">
        <f>A10177</f>
        <v>46048</v>
      </c>
      <c r="B10178" s="40"/>
      <c r="C10178" s="40"/>
      <c r="D10178" s="41"/>
      <c r="E10178" s="43">
        <f>C10178</f>
        <v>0</v>
      </c>
      <c r="F10178" s="42"/>
    </row>
    <row r="10179" spans="1:6">
      <c r="A10179" s="39">
        <f>A10178</f>
        <v>46048</v>
      </c>
      <c r="B10179" s="40"/>
      <c r="C10179" s="40"/>
      <c r="D10179" s="41"/>
      <c r="E10179" s="43">
        <f>C10179</f>
        <v>0</v>
      </c>
      <c r="F10179" s="42"/>
    </row>
    <row r="10180" spans="1:6">
      <c r="A10180" s="39">
        <f>A10179</f>
        <v>46048</v>
      </c>
      <c r="B10180" s="40"/>
      <c r="C10180" s="40"/>
      <c r="D10180" s="41"/>
      <c r="E10180" s="43">
        <f>C10180</f>
        <v>0</v>
      </c>
      <c r="F10180" s="42"/>
    </row>
    <row r="10181" spans="1:6">
      <c r="A10181" s="39">
        <f>A10180</f>
        <v>46048</v>
      </c>
      <c r="B10181" s="40"/>
      <c r="C10181" s="40"/>
      <c r="D10181" s="41"/>
      <c r="E10181" s="43">
        <f>C10181</f>
        <v>0</v>
      </c>
      <c r="F10181" s="42"/>
    </row>
    <row r="10182" spans="1:6">
      <c r="A10182" s="39">
        <f>A10181</f>
        <v>46048</v>
      </c>
      <c r="B10182" s="40"/>
      <c r="C10182" s="40"/>
      <c r="D10182" s="41"/>
      <c r="E10182" s="43">
        <f>C10182</f>
        <v>0</v>
      </c>
      <c r="F10182" s="42"/>
    </row>
    <row r="10183" spans="1:6">
      <c r="A10183" s="39">
        <f>A10182</f>
        <v>46048</v>
      </c>
      <c r="B10183" s="40"/>
      <c r="C10183" s="40"/>
      <c r="D10183" s="41"/>
      <c r="E10183" s="43">
        <f>C10183</f>
        <v>0</v>
      </c>
      <c r="F10183" s="42"/>
    </row>
    <row r="10184" spans="1:6">
      <c r="A10184" s="39">
        <f>A10183</f>
        <v>46048</v>
      </c>
      <c r="B10184" s="40"/>
      <c r="C10184" s="40"/>
      <c r="D10184" s="41"/>
      <c r="E10184" s="43">
        <f>C10184</f>
        <v>0</v>
      </c>
      <c r="F10184" s="42"/>
    </row>
    <row r="10185" spans="1:6">
      <c r="A10185" s="39">
        <f>A10184</f>
        <v>46048</v>
      </c>
      <c r="B10185" s="40"/>
      <c r="C10185" s="40"/>
      <c r="D10185" s="41"/>
      <c r="E10185" s="43">
        <f>C10185</f>
        <v>0</v>
      </c>
      <c r="F10185" s="42"/>
    </row>
    <row r="10186" spans="1:6">
      <c r="A10186" s="39">
        <f>A10185</f>
        <v>46048</v>
      </c>
      <c r="B10186" s="40"/>
      <c r="C10186" s="40"/>
      <c r="D10186" s="41"/>
      <c r="E10186" s="43">
        <f>C10186</f>
        <v>0</v>
      </c>
      <c r="F10186" s="42"/>
    </row>
    <row r="10187" spans="1:6">
      <c r="A10187" s="39">
        <f>A10186</f>
        <v>46048</v>
      </c>
      <c r="B10187" s="40"/>
      <c r="C10187" s="40"/>
      <c r="D10187" s="41"/>
      <c r="E10187" s="43">
        <f>C10187</f>
        <v>0</v>
      </c>
      <c r="F10187" s="42"/>
    </row>
    <row r="10188" spans="1:6">
      <c r="A10188" s="39">
        <f>A10187</f>
        <v>46048</v>
      </c>
      <c r="B10188" s="40"/>
      <c r="C10188" s="40"/>
      <c r="D10188" s="41"/>
      <c r="E10188" s="43">
        <f>C10188</f>
        <v>0</v>
      </c>
      <c r="F10188" s="42"/>
    </row>
    <row r="10189" spans="1:6">
      <c r="A10189" s="39">
        <f>A10188</f>
        <v>46048</v>
      </c>
      <c r="B10189" s="40"/>
      <c r="C10189" s="40"/>
      <c r="D10189" s="41"/>
      <c r="E10189" s="43">
        <f>C10189</f>
        <v>0</v>
      </c>
      <c r="F10189" s="42"/>
    </row>
    <row r="10190" spans="1:6">
      <c r="A10190" s="39">
        <f>A10189</f>
        <v>46048</v>
      </c>
      <c r="B10190" s="40"/>
      <c r="C10190" s="40"/>
      <c r="D10190" s="41"/>
      <c r="E10190" s="43">
        <f>C10190</f>
        <v>0</v>
      </c>
      <c r="F10190" s="42"/>
    </row>
    <row r="10191" spans="1:6">
      <c r="A10191" s="39">
        <f>A10190</f>
        <v>46048</v>
      </c>
      <c r="B10191" s="40"/>
      <c r="C10191" s="40"/>
      <c r="D10191" s="41"/>
      <c r="E10191" s="43">
        <f>C10191</f>
        <v>0</v>
      </c>
      <c r="F10191" s="42"/>
    </row>
    <row r="10192" spans="1:6">
      <c r="A10192" s="39">
        <f>A10191</f>
        <v>46048</v>
      </c>
      <c r="B10192" s="40"/>
      <c r="C10192" s="40"/>
      <c r="D10192" s="41"/>
      <c r="E10192" s="43">
        <f>C10192</f>
        <v>0</v>
      </c>
      <c r="F10192" s="42"/>
    </row>
    <row r="10193" spans="1:6">
      <c r="A10193" s="39">
        <f>A10192</f>
        <v>46048</v>
      </c>
      <c r="B10193" s="40"/>
      <c r="C10193" s="40"/>
      <c r="D10193" s="41"/>
      <c r="E10193" s="43">
        <f>C10193</f>
        <v>0</v>
      </c>
      <c r="F10193" s="42"/>
    </row>
    <row r="10194" spans="1:6">
      <c r="A10194" s="39">
        <f>A10193</f>
        <v>46048</v>
      </c>
      <c r="B10194" s="40"/>
      <c r="C10194" s="40"/>
      <c r="D10194" s="41"/>
      <c r="E10194" s="43">
        <f>C10194</f>
        <v>0</v>
      </c>
      <c r="F10194" s="42"/>
    </row>
    <row r="10195" spans="1:6">
      <c r="A10195" s="39">
        <f>A10194</f>
        <v>46048</v>
      </c>
      <c r="B10195" s="40"/>
      <c r="C10195" s="40"/>
      <c r="D10195" s="41"/>
      <c r="E10195" s="43">
        <f>C10195</f>
        <v>0</v>
      </c>
      <c r="F10195" s="42"/>
    </row>
    <row r="10196" spans="1:6">
      <c r="A10196" s="39">
        <f>A10195</f>
        <v>46048</v>
      </c>
      <c r="B10196" s="40"/>
      <c r="C10196" s="40"/>
      <c r="D10196" s="41"/>
      <c r="E10196" s="43">
        <f>C10196</f>
        <v>0</v>
      </c>
      <c r="F10196" s="42"/>
    </row>
    <row r="10197" spans="1:6">
      <c r="A10197" s="39">
        <f>A10196</f>
        <v>46048</v>
      </c>
      <c r="B10197" s="40"/>
      <c r="C10197" s="40"/>
      <c r="D10197" s="41"/>
      <c r="E10197" s="43">
        <f>C10197</f>
        <v>0</v>
      </c>
      <c r="F10197" s="42"/>
    </row>
    <row r="10198" spans="1:6">
      <c r="A10198" s="39">
        <f>A10197</f>
        <v>46048</v>
      </c>
      <c r="B10198" s="40"/>
      <c r="C10198" s="40"/>
      <c r="D10198" s="41"/>
      <c r="E10198" s="43">
        <f>C10198</f>
        <v>0</v>
      </c>
      <c r="F10198" s="42"/>
    </row>
    <row r="10199" spans="1:6">
      <c r="A10199" s="39">
        <f>A10198</f>
        <v>46048</v>
      </c>
      <c r="B10199" s="40"/>
      <c r="C10199" s="40"/>
      <c r="D10199" s="41"/>
      <c r="E10199" s="43">
        <f>C10199</f>
        <v>0</v>
      </c>
      <c r="F10199" s="42"/>
    </row>
    <row r="10200" spans="1:6">
      <c r="A10200" s="39">
        <f>A10199</f>
        <v>46048</v>
      </c>
      <c r="B10200" s="40"/>
      <c r="C10200" s="40"/>
      <c r="D10200" s="41"/>
      <c r="E10200" s="43">
        <f>C10200</f>
        <v>0</v>
      </c>
      <c r="F10200" s="42"/>
    </row>
    <row r="10201" spans="1:6">
      <c r="A10201" s="39">
        <f>A10200</f>
        <v>46048</v>
      </c>
      <c r="B10201" s="40"/>
      <c r="C10201" s="40"/>
      <c r="D10201" s="41"/>
      <c r="E10201" s="43">
        <f>C10201</f>
        <v>0</v>
      </c>
      <c r="F10201" s="42"/>
    </row>
    <row r="10202" spans="1:6">
      <c r="A10202" s="39">
        <f>A10201</f>
        <v>46048</v>
      </c>
      <c r="B10202" s="40"/>
      <c r="C10202" s="40"/>
      <c r="D10202" s="41"/>
      <c r="E10202" s="43">
        <f>C10202</f>
        <v>0</v>
      </c>
      <c r="F10202" s="42"/>
    </row>
    <row r="10203" spans="1:6">
      <c r="A10203" s="39">
        <f>A10202</f>
        <v>46048</v>
      </c>
      <c r="B10203" s="40"/>
      <c r="C10203" s="40"/>
      <c r="D10203" s="41"/>
      <c r="E10203" s="43">
        <f>C10203</f>
        <v>0</v>
      </c>
      <c r="F10203" s="42"/>
    </row>
    <row r="10204" spans="1:6">
      <c r="A10204" s="39">
        <f>A10203</f>
        <v>46048</v>
      </c>
      <c r="B10204" s="40"/>
      <c r="C10204" s="40"/>
      <c r="D10204" s="41"/>
      <c r="E10204" s="43">
        <f>C10204</f>
        <v>0</v>
      </c>
      <c r="F10204" s="42"/>
    </row>
    <row r="10205" spans="1:6">
      <c r="A10205" s="39">
        <f>A10204</f>
        <v>46048</v>
      </c>
      <c r="B10205" s="40"/>
      <c r="C10205" s="40"/>
      <c r="D10205" s="41"/>
      <c r="E10205" s="43">
        <f>C10205</f>
        <v>0</v>
      </c>
      <c r="F10205" s="42"/>
    </row>
    <row r="10206" spans="1:6">
      <c r="A10206" s="39">
        <f>A10205</f>
        <v>46048</v>
      </c>
      <c r="B10206" s="40"/>
      <c r="C10206" s="40"/>
      <c r="D10206" s="41"/>
      <c r="E10206" s="43">
        <f>C10206</f>
        <v>0</v>
      </c>
      <c r="F10206" s="42"/>
    </row>
    <row r="10207" spans="1:6">
      <c r="A10207" s="39">
        <f>A10206</f>
        <v>46048</v>
      </c>
      <c r="B10207" s="40"/>
      <c r="C10207" s="40"/>
      <c r="D10207" s="41"/>
      <c r="E10207" s="43">
        <f>C10207</f>
        <v>0</v>
      </c>
      <c r="F10207" s="42"/>
    </row>
    <row r="10208" spans="1:6">
      <c r="A10208" s="39">
        <f>A10207</f>
        <v>46048</v>
      </c>
      <c r="B10208" s="40"/>
      <c r="C10208" s="40"/>
      <c r="D10208" s="41"/>
      <c r="E10208" s="43">
        <f>C10208</f>
        <v>0</v>
      </c>
      <c r="F10208" s="42"/>
    </row>
    <row r="10209" spans="1:6">
      <c r="A10209" s="39">
        <f>A10208</f>
        <v>46048</v>
      </c>
      <c r="B10209" s="40"/>
      <c r="C10209" s="40"/>
      <c r="D10209" s="41"/>
      <c r="E10209" s="43">
        <f>C10209</f>
        <v>0</v>
      </c>
      <c r="F10209" s="42"/>
    </row>
    <row r="10210" spans="1:6">
      <c r="A10210" s="39">
        <f>A10209</f>
        <v>46048</v>
      </c>
      <c r="B10210" s="40"/>
      <c r="C10210" s="40"/>
      <c r="D10210" s="41"/>
      <c r="E10210" s="43">
        <f>C10210</f>
        <v>0</v>
      </c>
      <c r="F10210" s="42"/>
    </row>
    <row r="10211" spans="1:6">
      <c r="A10211" s="39">
        <f>A10210</f>
        <v>46048</v>
      </c>
      <c r="B10211" s="40"/>
      <c r="C10211" s="40"/>
      <c r="D10211" s="41"/>
      <c r="E10211" s="43">
        <f>C10211</f>
        <v>0</v>
      </c>
      <c r="F10211" s="42"/>
    </row>
    <row r="10212" spans="1:6">
      <c r="A10212" s="39">
        <f>A10211</f>
        <v>46048</v>
      </c>
      <c r="B10212" s="40"/>
      <c r="C10212" s="40"/>
      <c r="D10212" s="41"/>
      <c r="E10212" s="43">
        <f>C10212</f>
        <v>0</v>
      </c>
      <c r="F10212" s="42"/>
    </row>
    <row r="10213" spans="1:6">
      <c r="A10213" s="39">
        <f>A10212</f>
        <v>46048</v>
      </c>
      <c r="B10213" s="40"/>
      <c r="C10213" s="40"/>
      <c r="D10213" s="41"/>
      <c r="E10213" s="43">
        <f>C10213</f>
        <v>0</v>
      </c>
      <c r="F10213" s="42"/>
    </row>
    <row r="10214" spans="1:6">
      <c r="A10214" s="39">
        <f>A10213</f>
        <v>46048</v>
      </c>
      <c r="B10214" s="40"/>
      <c r="C10214" s="40"/>
      <c r="D10214" s="41"/>
      <c r="E10214" s="43">
        <f>C10214</f>
        <v>0</v>
      </c>
      <c r="F10214" s="42"/>
    </row>
    <row r="10215" spans="1:6">
      <c r="A10215" s="39">
        <f>A10214</f>
        <v>46048</v>
      </c>
      <c r="B10215" s="40"/>
      <c r="C10215" s="40"/>
      <c r="D10215" s="41"/>
      <c r="E10215" s="43">
        <f>C10215</f>
        <v>0</v>
      </c>
      <c r="F10215" s="42"/>
    </row>
    <row r="10216" spans="1:6">
      <c r="A10216" s="39">
        <f>A10215</f>
        <v>46048</v>
      </c>
      <c r="B10216" s="40"/>
      <c r="C10216" s="40"/>
      <c r="D10216" s="41"/>
      <c r="E10216" s="43">
        <f>C10216</f>
        <v>0</v>
      </c>
      <c r="F10216" s="42"/>
    </row>
    <row r="10217" spans="1:6">
      <c r="A10217" s="39">
        <f>A10216</f>
        <v>46048</v>
      </c>
      <c r="B10217" s="40"/>
      <c r="C10217" s="40"/>
      <c r="D10217" s="41"/>
      <c r="E10217" s="43">
        <f>C10217</f>
        <v>0</v>
      </c>
      <c r="F10217" s="42"/>
    </row>
    <row r="10218" spans="1:6">
      <c r="A10218" s="39">
        <f>A10217</f>
        <v>46048</v>
      </c>
      <c r="B10218" s="40"/>
      <c r="C10218" s="40"/>
      <c r="D10218" s="41"/>
      <c r="E10218" s="43">
        <f>C10218</f>
        <v>0</v>
      </c>
      <c r="F10218" s="42"/>
    </row>
    <row r="10219" spans="1:6">
      <c r="A10219" s="39">
        <f>A10218</f>
        <v>46048</v>
      </c>
      <c r="B10219" s="40"/>
      <c r="C10219" s="40"/>
      <c r="D10219" s="41"/>
      <c r="E10219" s="43">
        <f>C10219</f>
        <v>0</v>
      </c>
      <c r="F10219" s="42"/>
    </row>
    <row r="10220" spans="1:6">
      <c r="A10220" s="39">
        <f>A10219</f>
        <v>46048</v>
      </c>
      <c r="B10220" s="40"/>
      <c r="C10220" s="40"/>
      <c r="D10220" s="41"/>
      <c r="E10220" s="43">
        <f>C10220</f>
        <v>0</v>
      </c>
      <c r="F10220" s="42"/>
    </row>
    <row r="10221" spans="1:6">
      <c r="A10221" s="39">
        <f>A10220</f>
        <v>46048</v>
      </c>
      <c r="B10221" s="40"/>
      <c r="C10221" s="40"/>
      <c r="D10221" s="41"/>
      <c r="E10221" s="43">
        <f>C10221</f>
        <v>0</v>
      </c>
      <c r="F10221" s="42"/>
    </row>
    <row r="10222" spans="1:6">
      <c r="A10222" s="39">
        <f>A10221</f>
        <v>46048</v>
      </c>
      <c r="B10222" s="40"/>
      <c r="C10222" s="40"/>
      <c r="D10222" s="41"/>
      <c r="E10222" s="43">
        <f>C10222</f>
        <v>0</v>
      </c>
      <c r="F10222" s="42"/>
    </row>
    <row r="10223" spans="1:6">
      <c r="A10223" s="39">
        <f>A10222</f>
        <v>46048</v>
      </c>
      <c r="B10223" s="40"/>
      <c r="C10223" s="40"/>
      <c r="D10223" s="41"/>
      <c r="E10223" s="43">
        <f>C10223</f>
        <v>0</v>
      </c>
      <c r="F10223" s="42"/>
    </row>
    <row r="10224" spans="1:6">
      <c r="A10224" s="39">
        <f>A10223</f>
        <v>46048</v>
      </c>
      <c r="B10224" s="40"/>
      <c r="C10224" s="40"/>
      <c r="D10224" s="41"/>
      <c r="E10224" s="43">
        <f>C10224</f>
        <v>0</v>
      </c>
      <c r="F10224" s="42"/>
    </row>
    <row r="10225" spans="1:6">
      <c r="A10225" s="39">
        <f>A10224</f>
        <v>46048</v>
      </c>
      <c r="B10225" s="40"/>
      <c r="C10225" s="40"/>
      <c r="D10225" s="41"/>
      <c r="E10225" s="43">
        <f>C10225</f>
        <v>0</v>
      </c>
      <c r="F10225" s="42"/>
    </row>
    <row r="10226" spans="1:6">
      <c r="A10226" s="39">
        <f>A10225</f>
        <v>46048</v>
      </c>
      <c r="B10226" s="40"/>
      <c r="C10226" s="40"/>
      <c r="D10226" s="41"/>
      <c r="E10226" s="43">
        <f>C10226</f>
        <v>0</v>
      </c>
      <c r="F10226" s="42"/>
    </row>
    <row r="10227" spans="1:6">
      <c r="A10227" s="39">
        <f>A10226</f>
        <v>46048</v>
      </c>
      <c r="B10227" s="40"/>
      <c r="C10227" s="40"/>
      <c r="D10227" s="41"/>
      <c r="E10227" s="43">
        <f>C10227</f>
        <v>0</v>
      </c>
      <c r="F10227" s="42"/>
    </row>
    <row r="10228" spans="1:6">
      <c r="A10228" s="39">
        <f>A10227</f>
        <v>46048</v>
      </c>
      <c r="B10228" s="40"/>
      <c r="C10228" s="40"/>
      <c r="D10228" s="41"/>
      <c r="E10228" s="43">
        <f>C10228</f>
        <v>0</v>
      </c>
      <c r="F10228" s="42"/>
    </row>
    <row r="10229" spans="1:6">
      <c r="A10229" s="39">
        <f>A10228</f>
        <v>46048</v>
      </c>
      <c r="B10229" s="40"/>
      <c r="C10229" s="40"/>
      <c r="D10229" s="41"/>
      <c r="E10229" s="43">
        <f>C10229</f>
        <v>0</v>
      </c>
      <c r="F10229" s="42"/>
    </row>
    <row r="10230" spans="1:6">
      <c r="A10230" s="39">
        <f>A10229</f>
        <v>46048</v>
      </c>
      <c r="B10230" s="40"/>
      <c r="C10230" s="40"/>
      <c r="D10230" s="41"/>
      <c r="E10230" s="43">
        <f>C10230</f>
        <v>0</v>
      </c>
      <c r="F10230" s="42"/>
    </row>
    <row r="10231" spans="1:6">
      <c r="A10231" s="39">
        <f>A10230</f>
        <v>46048</v>
      </c>
      <c r="B10231" s="40"/>
      <c r="C10231" s="40"/>
      <c r="D10231" s="41"/>
      <c r="E10231" s="43">
        <f>C10231</f>
        <v>0</v>
      </c>
      <c r="F10231" s="42"/>
    </row>
    <row r="10232" spans="1:6">
      <c r="A10232" s="39">
        <f>A10231</f>
        <v>46048</v>
      </c>
      <c r="B10232" s="40"/>
      <c r="C10232" s="40"/>
      <c r="D10232" s="41"/>
      <c r="E10232" s="43">
        <f>C10232</f>
        <v>0</v>
      </c>
      <c r="F10232" s="42"/>
    </row>
    <row r="10233" spans="1:6">
      <c r="A10233" s="39">
        <f>A10232</f>
        <v>46048</v>
      </c>
      <c r="B10233" s="40"/>
      <c r="C10233" s="40"/>
      <c r="D10233" s="41"/>
      <c r="E10233" s="43">
        <f>C10233</f>
        <v>0</v>
      </c>
      <c r="F10233" s="42"/>
    </row>
    <row r="10234" spans="1:6">
      <c r="A10234" s="39">
        <f>A10233</f>
        <v>46048</v>
      </c>
      <c r="B10234" s="40"/>
      <c r="C10234" s="40"/>
      <c r="D10234" s="41"/>
      <c r="E10234" s="43">
        <f>C10234</f>
        <v>0</v>
      </c>
      <c r="F10234" s="42"/>
    </row>
    <row r="10235" spans="1:6">
      <c r="A10235" s="39">
        <f>A10234</f>
        <v>46048</v>
      </c>
      <c r="B10235" s="40"/>
      <c r="C10235" s="40"/>
      <c r="D10235" s="41"/>
      <c r="E10235" s="43">
        <f>C10235</f>
        <v>0</v>
      </c>
      <c r="F10235" s="42"/>
    </row>
    <row r="10236" spans="1:6">
      <c r="A10236" s="39">
        <f>A10235</f>
        <v>46048</v>
      </c>
      <c r="B10236" s="40"/>
      <c r="C10236" s="40"/>
      <c r="D10236" s="41"/>
      <c r="E10236" s="43">
        <f>C10236</f>
        <v>0</v>
      </c>
      <c r="F10236" s="42"/>
    </row>
    <row r="10237" spans="1:6">
      <c r="A10237" s="39">
        <f>A10236</f>
        <v>46048</v>
      </c>
      <c r="B10237" s="40"/>
      <c r="C10237" s="40"/>
      <c r="D10237" s="41"/>
      <c r="E10237" s="43">
        <f>C10237</f>
        <v>0</v>
      </c>
      <c r="F10237" s="42"/>
    </row>
    <row r="10238" spans="1:6">
      <c r="A10238" s="39">
        <f>A10237</f>
        <v>46048</v>
      </c>
      <c r="B10238" s="40"/>
      <c r="C10238" s="40"/>
      <c r="D10238" s="41"/>
      <c r="E10238" s="43">
        <f>C10238</f>
        <v>0</v>
      </c>
      <c r="F10238" s="42"/>
    </row>
    <row r="10239" spans="1:6">
      <c r="A10239" s="39">
        <f>A10238</f>
        <v>46048</v>
      </c>
      <c r="B10239" s="40"/>
      <c r="C10239" s="40"/>
      <c r="D10239" s="41"/>
      <c r="E10239" s="43">
        <f>C10239</f>
        <v>0</v>
      </c>
      <c r="F10239" s="42"/>
    </row>
    <row r="10240" spans="1:6">
      <c r="A10240" s="39">
        <f>A10239</f>
        <v>46048</v>
      </c>
      <c r="B10240" s="40"/>
      <c r="C10240" s="40"/>
      <c r="D10240" s="41"/>
      <c r="E10240" s="43">
        <f>C10240</f>
        <v>0</v>
      </c>
      <c r="F10240" s="42"/>
    </row>
    <row r="10241" spans="1:6">
      <c r="A10241" s="39">
        <f>A10240</f>
        <v>46048</v>
      </c>
      <c r="B10241" s="40"/>
      <c r="C10241" s="40"/>
      <c r="D10241" s="41"/>
      <c r="E10241" s="43">
        <f>C10241</f>
        <v>0</v>
      </c>
      <c r="F10241" s="42"/>
    </row>
    <row r="10242" spans="1:6">
      <c r="A10242" s="39">
        <f>A10241</f>
        <v>46048</v>
      </c>
      <c r="B10242" s="40"/>
      <c r="C10242" s="40"/>
      <c r="D10242" s="41"/>
      <c r="E10242" s="43">
        <f>C10242</f>
        <v>0</v>
      </c>
      <c r="F10242" s="42"/>
    </row>
    <row r="10243" spans="1:6">
      <c r="A10243" s="39">
        <f>A10242</f>
        <v>46048</v>
      </c>
      <c r="B10243" s="40"/>
      <c r="C10243" s="40"/>
      <c r="D10243" s="41"/>
      <c r="E10243" s="43">
        <f>C10243</f>
        <v>0</v>
      </c>
      <c r="F10243" s="42"/>
    </row>
    <row r="10244" spans="1:6">
      <c r="A10244" s="39">
        <f>A10243</f>
        <v>46048</v>
      </c>
      <c r="B10244" s="40"/>
      <c r="C10244" s="40"/>
      <c r="D10244" s="41"/>
      <c r="E10244" s="43">
        <f>C10244</f>
        <v>0</v>
      </c>
      <c r="F10244" s="42"/>
    </row>
    <row r="10245" spans="1:6">
      <c r="A10245" s="39">
        <f>A10244</f>
        <v>46048</v>
      </c>
      <c r="B10245" s="40"/>
      <c r="C10245" s="40"/>
      <c r="D10245" s="41"/>
      <c r="E10245" s="43">
        <f>C10245</f>
        <v>0</v>
      </c>
      <c r="F10245" s="42"/>
    </row>
    <row r="10246" spans="1:6">
      <c r="A10246" s="39">
        <f>A10245</f>
        <v>46048</v>
      </c>
      <c r="B10246" s="40"/>
      <c r="C10246" s="40"/>
      <c r="D10246" s="41"/>
      <c r="E10246" s="43">
        <f>C10246</f>
        <v>0</v>
      </c>
      <c r="F10246" s="42"/>
    </row>
    <row r="10247" spans="1:6">
      <c r="A10247" s="39">
        <f>A10246</f>
        <v>46048</v>
      </c>
      <c r="B10247" s="40"/>
      <c r="C10247" s="40"/>
      <c r="D10247" s="41"/>
      <c r="E10247" s="43">
        <f>C10247</f>
        <v>0</v>
      </c>
      <c r="F10247" s="42"/>
    </row>
    <row r="10248" spans="1:6">
      <c r="A10248" s="39">
        <f>A10247</f>
        <v>46048</v>
      </c>
      <c r="B10248" s="40"/>
      <c r="C10248" s="40"/>
      <c r="D10248" s="41"/>
      <c r="E10248" s="43">
        <f>C10248</f>
        <v>0</v>
      </c>
      <c r="F10248" s="42"/>
    </row>
    <row r="10249" spans="1:6">
      <c r="A10249" s="39">
        <f>A10248</f>
        <v>46048</v>
      </c>
      <c r="B10249" s="40"/>
      <c r="C10249" s="40"/>
      <c r="D10249" s="41"/>
      <c r="E10249" s="43">
        <f>C10249</f>
        <v>0</v>
      </c>
      <c r="F10249" s="42"/>
    </row>
    <row r="10250" spans="1:6">
      <c r="A10250" s="39">
        <f>A10249</f>
        <v>46048</v>
      </c>
      <c r="B10250" s="40"/>
      <c r="C10250" s="40"/>
      <c r="D10250" s="41"/>
      <c r="E10250" s="43">
        <f>C10250</f>
        <v>0</v>
      </c>
      <c r="F10250" s="42"/>
    </row>
    <row r="10251" spans="1:6">
      <c r="A10251" s="39">
        <f>A10250</f>
        <v>46048</v>
      </c>
      <c r="B10251" s="40"/>
      <c r="C10251" s="40"/>
      <c r="D10251" s="41"/>
      <c r="E10251" s="43">
        <f>C10251</f>
        <v>0</v>
      </c>
      <c r="F10251" s="42"/>
    </row>
    <row r="10252" spans="1:6">
      <c r="A10252" s="39">
        <f>A10251</f>
        <v>46048</v>
      </c>
      <c r="B10252" s="40"/>
      <c r="C10252" s="40"/>
      <c r="D10252" s="41"/>
      <c r="E10252" s="43">
        <f>C10252</f>
        <v>0</v>
      </c>
      <c r="F10252" s="42"/>
    </row>
    <row r="10253" spans="1:6">
      <c r="A10253" s="39">
        <f>A10252</f>
        <v>46048</v>
      </c>
      <c r="B10253" s="40"/>
      <c r="C10253" s="40"/>
      <c r="D10253" s="41"/>
      <c r="E10253" s="43">
        <f>C10253</f>
        <v>0</v>
      </c>
      <c r="F10253" s="42"/>
    </row>
    <row r="10254" spans="1:6">
      <c r="A10254" s="39">
        <f>A10253</f>
        <v>46048</v>
      </c>
      <c r="B10254" s="40"/>
      <c r="C10254" s="40"/>
      <c r="D10254" s="41"/>
      <c r="E10254" s="43">
        <f>C10254</f>
        <v>0</v>
      </c>
      <c r="F10254" s="42"/>
    </row>
    <row r="10255" spans="1:6">
      <c r="A10255" s="39">
        <f>A10254</f>
        <v>46048</v>
      </c>
      <c r="B10255" s="40"/>
      <c r="C10255" s="40"/>
      <c r="D10255" s="41"/>
      <c r="E10255" s="43">
        <f>C10255</f>
        <v>0</v>
      </c>
      <c r="F10255" s="42"/>
    </row>
    <row r="10256" spans="1:6">
      <c r="A10256" s="39">
        <f>A10255</f>
        <v>46048</v>
      </c>
      <c r="B10256" s="40"/>
      <c r="C10256" s="40"/>
      <c r="D10256" s="41"/>
      <c r="E10256" s="43">
        <f>C10256</f>
        <v>0</v>
      </c>
      <c r="F10256" s="42"/>
    </row>
    <row r="10257" spans="1:6">
      <c r="A10257" s="39">
        <f>A10256</f>
        <v>46048</v>
      </c>
      <c r="B10257" s="40"/>
      <c r="C10257" s="40"/>
      <c r="D10257" s="41"/>
      <c r="E10257" s="43">
        <f>C10257</f>
        <v>0</v>
      </c>
      <c r="F10257" s="42"/>
    </row>
    <row r="10258" spans="1:6">
      <c r="A10258" s="39">
        <f>A10257</f>
        <v>46048</v>
      </c>
      <c r="B10258" s="40"/>
      <c r="C10258" s="40"/>
      <c r="D10258" s="41"/>
      <c r="E10258" s="43">
        <f>C10258</f>
        <v>0</v>
      </c>
      <c r="F10258" s="42"/>
    </row>
    <row r="10259" spans="1:6">
      <c r="A10259" s="39">
        <f>A10258</f>
        <v>46048</v>
      </c>
      <c r="B10259" s="40"/>
      <c r="C10259" s="40"/>
      <c r="D10259" s="41"/>
      <c r="E10259" s="43">
        <f>C10259</f>
        <v>0</v>
      </c>
      <c r="F10259" s="42"/>
    </row>
    <row r="10260" spans="1:6">
      <c r="A10260" s="39">
        <f>A10259</f>
        <v>46048</v>
      </c>
      <c r="B10260" s="40"/>
      <c r="C10260" s="40"/>
      <c r="D10260" s="41"/>
      <c r="E10260" s="43">
        <f>C10260</f>
        <v>0</v>
      </c>
      <c r="F10260" s="42"/>
    </row>
    <row r="10261" spans="1:6">
      <c r="A10261" s="39">
        <f>A10260</f>
        <v>46048</v>
      </c>
      <c r="B10261" s="40"/>
      <c r="C10261" s="40"/>
      <c r="D10261" s="41"/>
      <c r="E10261" s="43">
        <f>C10261</f>
        <v>0</v>
      </c>
      <c r="F10261" s="42"/>
    </row>
    <row r="10262" spans="1:6">
      <c r="A10262" s="39">
        <f>A10261</f>
        <v>46048</v>
      </c>
      <c r="B10262" s="40"/>
      <c r="C10262" s="40"/>
      <c r="D10262" s="41"/>
      <c r="E10262" s="43">
        <f>C10262</f>
        <v>0</v>
      </c>
      <c r="F10262" s="42"/>
    </row>
    <row r="10263" spans="1:6">
      <c r="A10263" s="39">
        <f>A10262</f>
        <v>46048</v>
      </c>
      <c r="B10263" s="40"/>
      <c r="C10263" s="40"/>
      <c r="D10263" s="41"/>
      <c r="E10263" s="43">
        <f>C10263</f>
        <v>0</v>
      </c>
      <c r="F10263" s="42"/>
    </row>
    <row r="10264" spans="1:6">
      <c r="A10264" s="39">
        <f>A10263</f>
        <v>46048</v>
      </c>
      <c r="B10264" s="40"/>
      <c r="C10264" s="40"/>
      <c r="D10264" s="41"/>
      <c r="E10264" s="43">
        <f>C10264</f>
        <v>0</v>
      </c>
      <c r="F10264" s="42"/>
    </row>
    <row r="10265" spans="1:6">
      <c r="A10265" s="39">
        <f>A10264</f>
        <v>46048</v>
      </c>
      <c r="B10265" s="40"/>
      <c r="C10265" s="40"/>
      <c r="D10265" s="41"/>
      <c r="E10265" s="43">
        <f>C10265</f>
        <v>0</v>
      </c>
      <c r="F10265" s="42"/>
    </row>
    <row r="10266" spans="1:6">
      <c r="A10266" s="39">
        <f>A10265</f>
        <v>46048</v>
      </c>
      <c r="B10266" s="40"/>
      <c r="C10266" s="40"/>
      <c r="D10266" s="41"/>
      <c r="E10266" s="43">
        <f>C10266</f>
        <v>0</v>
      </c>
      <c r="F10266" s="42"/>
    </row>
    <row r="10267" spans="1:6">
      <c r="A10267" s="39">
        <f>A10266</f>
        <v>46048</v>
      </c>
      <c r="B10267" s="40"/>
      <c r="C10267" s="40"/>
      <c r="D10267" s="41"/>
      <c r="E10267" s="43">
        <f>C10267</f>
        <v>0</v>
      </c>
      <c r="F10267" s="42"/>
    </row>
    <row r="10268" spans="1:6">
      <c r="A10268" s="39">
        <f>A10267</f>
        <v>46048</v>
      </c>
      <c r="B10268" s="40"/>
      <c r="C10268" s="40"/>
      <c r="D10268" s="41"/>
      <c r="E10268" s="43">
        <f>C10268</f>
        <v>0</v>
      </c>
      <c r="F10268" s="42"/>
    </row>
    <row r="10269" spans="1:6">
      <c r="A10269" s="39">
        <f>A10268</f>
        <v>46048</v>
      </c>
      <c r="B10269" s="40"/>
      <c r="C10269" s="40"/>
      <c r="D10269" s="41"/>
      <c r="E10269" s="43">
        <f>C10269</f>
        <v>0</v>
      </c>
      <c r="F10269" s="42"/>
    </row>
    <row r="10270" spans="1:6">
      <c r="A10270" s="39">
        <f>A10269</f>
        <v>46048</v>
      </c>
      <c r="B10270" s="40"/>
      <c r="C10270" s="40"/>
      <c r="D10270" s="41"/>
      <c r="E10270" s="43">
        <f>C10270</f>
        <v>0</v>
      </c>
      <c r="F10270" s="42"/>
    </row>
    <row r="10271" spans="1:6">
      <c r="A10271" s="39">
        <f>A10270</f>
        <v>46048</v>
      </c>
      <c r="B10271" s="40"/>
      <c r="C10271" s="40"/>
      <c r="D10271" s="41"/>
      <c r="E10271" s="43">
        <f>C10271</f>
        <v>0</v>
      </c>
      <c r="F10271" s="42"/>
    </row>
    <row r="10272" spans="1:6">
      <c r="A10272" s="39">
        <f>A10271</f>
        <v>46048</v>
      </c>
      <c r="B10272" s="40"/>
      <c r="C10272" s="40"/>
      <c r="D10272" s="41"/>
      <c r="E10272" s="43">
        <f>C10272</f>
        <v>0</v>
      </c>
      <c r="F10272" s="42"/>
    </row>
    <row r="10273" spans="1:6">
      <c r="A10273" s="39">
        <f>A10272</f>
        <v>46048</v>
      </c>
      <c r="B10273" s="40"/>
      <c r="C10273" s="40"/>
      <c r="D10273" s="41"/>
      <c r="E10273" s="43">
        <f>C10273</f>
        <v>0</v>
      </c>
      <c r="F10273" s="42"/>
    </row>
    <row r="10274" spans="1:6">
      <c r="A10274" s="39">
        <f>A10273</f>
        <v>46048</v>
      </c>
      <c r="B10274" s="40"/>
      <c r="C10274" s="40"/>
      <c r="D10274" s="41"/>
      <c r="E10274" s="43">
        <f>C10274</f>
        <v>0</v>
      </c>
      <c r="F10274" s="42"/>
    </row>
    <row r="10275" spans="1:6">
      <c r="A10275" s="39">
        <f>A10274</f>
        <v>46048</v>
      </c>
      <c r="B10275" s="40"/>
      <c r="C10275" s="40"/>
      <c r="D10275" s="41"/>
      <c r="E10275" s="43">
        <f>C10275</f>
        <v>0</v>
      </c>
      <c r="F10275" s="42"/>
    </row>
    <row r="10276" spans="1:6">
      <c r="A10276" s="39">
        <f>A10275</f>
        <v>46048</v>
      </c>
      <c r="B10276" s="40"/>
      <c r="C10276" s="40"/>
      <c r="D10276" s="41"/>
      <c r="E10276" s="43">
        <f>C10276</f>
        <v>0</v>
      </c>
      <c r="F10276" s="42"/>
    </row>
    <row r="10277" spans="1:6">
      <c r="A10277" s="39">
        <f>A10276</f>
        <v>46048</v>
      </c>
      <c r="B10277" s="40"/>
      <c r="C10277" s="40"/>
      <c r="D10277" s="41"/>
      <c r="E10277" s="43">
        <f>C10277</f>
        <v>0</v>
      </c>
      <c r="F10277" s="42"/>
    </row>
    <row r="10278" spans="1:6">
      <c r="A10278" s="39">
        <f>A10277</f>
        <v>46048</v>
      </c>
      <c r="B10278" s="40"/>
      <c r="C10278" s="40"/>
      <c r="D10278" s="41"/>
      <c r="E10278" s="43">
        <f>C10278</f>
        <v>0</v>
      </c>
      <c r="F10278" s="42"/>
    </row>
    <row r="10279" spans="1:6">
      <c r="A10279" s="39">
        <f>A10278</f>
        <v>46048</v>
      </c>
      <c r="B10279" s="40"/>
      <c r="C10279" s="40"/>
      <c r="D10279" s="41"/>
      <c r="E10279" s="43">
        <f>C10279</f>
        <v>0</v>
      </c>
      <c r="F10279" s="42"/>
    </row>
    <row r="10280" spans="1:6">
      <c r="A10280" s="39">
        <f>A10279</f>
        <v>46048</v>
      </c>
      <c r="B10280" s="40"/>
      <c r="C10280" s="40"/>
      <c r="D10280" s="41"/>
      <c r="E10280" s="43">
        <f>C10280</f>
        <v>0</v>
      </c>
      <c r="F10280" s="42"/>
    </row>
    <row r="10281" spans="1:6">
      <c r="A10281" s="39">
        <f>A10280</f>
        <v>46048</v>
      </c>
      <c r="B10281" s="40"/>
      <c r="C10281" s="40"/>
      <c r="D10281" s="41"/>
      <c r="E10281" s="43">
        <f>C10281</f>
        <v>0</v>
      </c>
      <c r="F10281" s="42"/>
    </row>
    <row r="10282" spans="1:6">
      <c r="A10282" s="39">
        <f>A10281</f>
        <v>46048</v>
      </c>
      <c r="B10282" s="40"/>
      <c r="C10282" s="40"/>
      <c r="D10282" s="41"/>
      <c r="E10282" s="43">
        <f>C10282</f>
        <v>0</v>
      </c>
      <c r="F10282" s="42"/>
    </row>
    <row r="10283" spans="1:6">
      <c r="A10283" s="39">
        <f>A10282</f>
        <v>46048</v>
      </c>
      <c r="B10283" s="40"/>
      <c r="C10283" s="40"/>
      <c r="D10283" s="41"/>
      <c r="E10283" s="43">
        <f>C10283</f>
        <v>0</v>
      </c>
      <c r="F10283" s="42"/>
    </row>
    <row r="10284" spans="1:6">
      <c r="A10284" s="39">
        <f>A10283</f>
        <v>46048</v>
      </c>
      <c r="B10284" s="40"/>
      <c r="C10284" s="40"/>
      <c r="D10284" s="41"/>
      <c r="E10284" s="43">
        <f>C10284</f>
        <v>0</v>
      </c>
      <c r="F10284" s="42"/>
    </row>
    <row r="10285" spans="1:6">
      <c r="A10285" s="39">
        <f>A10284</f>
        <v>46048</v>
      </c>
      <c r="B10285" s="40"/>
      <c r="C10285" s="40"/>
      <c r="D10285" s="41"/>
      <c r="E10285" s="43">
        <f>C10285</f>
        <v>0</v>
      </c>
      <c r="F10285" s="42"/>
    </row>
    <row r="10286" spans="1:6">
      <c r="A10286" s="39">
        <f>A10285</f>
        <v>46048</v>
      </c>
      <c r="B10286" s="40"/>
      <c r="C10286" s="40"/>
      <c r="D10286" s="41"/>
      <c r="E10286" s="43">
        <f>C10286</f>
        <v>0</v>
      </c>
      <c r="F10286" s="42"/>
    </row>
    <row r="10287" spans="1:6">
      <c r="A10287" s="39">
        <f>A10286</f>
        <v>46048</v>
      </c>
      <c r="B10287" s="40"/>
      <c r="C10287" s="40"/>
      <c r="D10287" s="41"/>
      <c r="E10287" s="43">
        <f>C10287</f>
        <v>0</v>
      </c>
      <c r="F10287" s="42"/>
    </row>
    <row r="10288" spans="1:6">
      <c r="A10288" s="39">
        <f>A10287</f>
        <v>46048</v>
      </c>
      <c r="B10288" s="40"/>
      <c r="C10288" s="40"/>
      <c r="D10288" s="41"/>
      <c r="E10288" s="43">
        <f>C10288</f>
        <v>0</v>
      </c>
      <c r="F10288" s="42"/>
    </row>
    <row r="10289" spans="1:6">
      <c r="A10289" s="39">
        <f>A10288</f>
        <v>46048</v>
      </c>
      <c r="B10289" s="40"/>
      <c r="C10289" s="40"/>
      <c r="D10289" s="41"/>
      <c r="E10289" s="43">
        <f>C10289</f>
        <v>0</v>
      </c>
      <c r="F10289" s="42"/>
    </row>
    <row r="10290" spans="1:6">
      <c r="A10290" s="39">
        <f>A10289</f>
        <v>46048</v>
      </c>
      <c r="B10290" s="40"/>
      <c r="C10290" s="40"/>
      <c r="D10290" s="41"/>
      <c r="E10290" s="43">
        <f>C10290</f>
        <v>0</v>
      </c>
      <c r="F10290" s="42"/>
    </row>
    <row r="10291" spans="1:6">
      <c r="A10291" s="39">
        <f>A10290</f>
        <v>46048</v>
      </c>
      <c r="B10291" s="40"/>
      <c r="C10291" s="40"/>
      <c r="D10291" s="41"/>
      <c r="E10291" s="43">
        <f>C10291</f>
        <v>0</v>
      </c>
      <c r="F10291" s="42"/>
    </row>
    <row r="10292" spans="1:6">
      <c r="A10292" s="39">
        <f>A10291</f>
        <v>46048</v>
      </c>
      <c r="B10292" s="40"/>
      <c r="C10292" s="40"/>
      <c r="D10292" s="41"/>
      <c r="E10292" s="43">
        <f>C10292</f>
        <v>0</v>
      </c>
      <c r="F10292" s="42"/>
    </row>
    <row r="10293" spans="1:6">
      <c r="A10293" s="39">
        <f>A10292</f>
        <v>46048</v>
      </c>
      <c r="B10293" s="40"/>
      <c r="C10293" s="40"/>
      <c r="D10293" s="41"/>
      <c r="E10293" s="43">
        <f>C10293</f>
        <v>0</v>
      </c>
      <c r="F10293" s="42"/>
    </row>
    <row r="10294" spans="1:6">
      <c r="A10294" s="39">
        <f>A10293</f>
        <v>46048</v>
      </c>
      <c r="B10294" s="40"/>
      <c r="C10294" s="40"/>
      <c r="D10294" s="41"/>
      <c r="E10294" s="43">
        <f>C10294</f>
        <v>0</v>
      </c>
      <c r="F10294" s="42"/>
    </row>
    <row r="10295" spans="1:6">
      <c r="A10295" s="39">
        <f>A10294</f>
        <v>46048</v>
      </c>
      <c r="B10295" s="40"/>
      <c r="C10295" s="40"/>
      <c r="D10295" s="41"/>
      <c r="E10295" s="43">
        <f>C10295</f>
        <v>0</v>
      </c>
      <c r="F10295" s="42"/>
    </row>
    <row r="10296" spans="1:6">
      <c r="A10296" s="39">
        <f>A10295</f>
        <v>46048</v>
      </c>
      <c r="B10296" s="40"/>
      <c r="C10296" s="40"/>
      <c r="D10296" s="41"/>
      <c r="E10296" s="43">
        <f>C10296</f>
        <v>0</v>
      </c>
      <c r="F10296" s="42"/>
    </row>
    <row r="10297" spans="1:6">
      <c r="A10297" s="39">
        <f>A10296</f>
        <v>46048</v>
      </c>
      <c r="B10297" s="40"/>
      <c r="C10297" s="40"/>
      <c r="D10297" s="41"/>
      <c r="E10297" s="43">
        <f>C10297</f>
        <v>0</v>
      </c>
      <c r="F10297" s="42"/>
    </row>
    <row r="10298" spans="1:6">
      <c r="A10298" s="39">
        <f>A10297</f>
        <v>46048</v>
      </c>
      <c r="B10298" s="40"/>
      <c r="C10298" s="40"/>
      <c r="D10298" s="41"/>
      <c r="E10298" s="43">
        <f>C10298</f>
        <v>0</v>
      </c>
      <c r="F10298" s="42"/>
    </row>
    <row r="10299" spans="1:6">
      <c r="A10299" s="39">
        <f>A10298</f>
        <v>46048</v>
      </c>
      <c r="B10299" s="40"/>
      <c r="C10299" s="40"/>
      <c r="D10299" s="41"/>
      <c r="E10299" s="43">
        <f>C10299</f>
        <v>0</v>
      </c>
      <c r="F10299" s="42"/>
    </row>
    <row r="10300" spans="1:6">
      <c r="A10300" s="39">
        <f>A10299</f>
        <v>46048</v>
      </c>
      <c r="B10300" s="40"/>
      <c r="C10300" s="40"/>
      <c r="D10300" s="41"/>
      <c r="E10300" s="43">
        <f>C10300</f>
        <v>0</v>
      </c>
      <c r="F10300" s="42"/>
    </row>
    <row r="10301" spans="1:6">
      <c r="A10301" s="39">
        <f>A10300</f>
        <v>46048</v>
      </c>
      <c r="B10301" s="40"/>
      <c r="C10301" s="40"/>
      <c r="D10301" s="41"/>
      <c r="E10301" s="43">
        <f>C10301</f>
        <v>0</v>
      </c>
      <c r="F10301" s="42"/>
    </row>
    <row r="10302" spans="1:6">
      <c r="A10302" s="39">
        <f>A10301</f>
        <v>46048</v>
      </c>
      <c r="B10302" s="40"/>
      <c r="C10302" s="40"/>
      <c r="D10302" s="41"/>
      <c r="E10302" s="43">
        <f>C10302</f>
        <v>0</v>
      </c>
      <c r="F10302" s="42"/>
    </row>
    <row r="10303" spans="1:6">
      <c r="A10303" s="39">
        <f>A10302</f>
        <v>46048</v>
      </c>
      <c r="B10303" s="40"/>
      <c r="C10303" s="40"/>
      <c r="D10303" s="41"/>
      <c r="E10303" s="43">
        <f>C10303</f>
        <v>0</v>
      </c>
      <c r="F10303" s="42"/>
    </row>
    <row r="10304" spans="1:6">
      <c r="A10304" s="39">
        <f>A10303</f>
        <v>46048</v>
      </c>
      <c r="B10304" s="40"/>
      <c r="C10304" s="40"/>
      <c r="D10304" s="41"/>
      <c r="E10304" s="43">
        <f>C10304</f>
        <v>0</v>
      </c>
      <c r="F10304" s="42"/>
    </row>
    <row r="10305" spans="1:6">
      <c r="A10305" s="39">
        <f>A10304</f>
        <v>46048</v>
      </c>
      <c r="B10305" s="40"/>
      <c r="C10305" s="40"/>
      <c r="D10305" s="41"/>
      <c r="E10305" s="43">
        <f>C10305</f>
        <v>0</v>
      </c>
      <c r="F10305" s="42"/>
    </row>
    <row r="10306" spans="1:6">
      <c r="A10306" s="39">
        <f>A10305</f>
        <v>46048</v>
      </c>
      <c r="B10306" s="40"/>
      <c r="C10306" s="40"/>
      <c r="D10306" s="41"/>
      <c r="E10306" s="43">
        <f>C10306</f>
        <v>0</v>
      </c>
      <c r="F10306" s="42"/>
    </row>
    <row r="10307" spans="1:6">
      <c r="A10307" s="39">
        <f>A10306</f>
        <v>46048</v>
      </c>
      <c r="B10307" s="40"/>
      <c r="C10307" s="40"/>
      <c r="D10307" s="41"/>
      <c r="E10307" s="43">
        <f>C10307</f>
        <v>0</v>
      </c>
      <c r="F10307" s="42"/>
    </row>
    <row r="10308" spans="1:6">
      <c r="A10308" s="39">
        <f>A10307</f>
        <v>46048</v>
      </c>
      <c r="B10308" s="40"/>
      <c r="C10308" s="40"/>
      <c r="D10308" s="41"/>
      <c r="E10308" s="43">
        <f>C10308</f>
        <v>0</v>
      </c>
      <c r="F10308" s="42"/>
    </row>
    <row r="10309" spans="1:6">
      <c r="A10309" s="39">
        <f>A10308</f>
        <v>46048</v>
      </c>
      <c r="B10309" s="40"/>
      <c r="C10309" s="40"/>
      <c r="D10309" s="41"/>
      <c r="E10309" s="43">
        <f>C10309</f>
        <v>0</v>
      </c>
      <c r="F10309" s="42"/>
    </row>
    <row r="10310" spans="1:6">
      <c r="A10310" s="39">
        <f>A10309</f>
        <v>46048</v>
      </c>
      <c r="B10310" s="40"/>
      <c r="C10310" s="40"/>
      <c r="D10310" s="41"/>
      <c r="E10310" s="43">
        <f>C10310</f>
        <v>0</v>
      </c>
      <c r="F10310" s="42"/>
    </row>
    <row r="10311" spans="1:6">
      <c r="A10311" s="39">
        <f>A10310</f>
        <v>46048</v>
      </c>
      <c r="B10311" s="40"/>
      <c r="C10311" s="40"/>
      <c r="D10311" s="41"/>
      <c r="E10311" s="43">
        <f>C10311</f>
        <v>0</v>
      </c>
      <c r="F10311" s="42"/>
    </row>
    <row r="10312" spans="1:6">
      <c r="A10312" s="39">
        <f>A10311</f>
        <v>46048</v>
      </c>
      <c r="B10312" s="40"/>
      <c r="C10312" s="40"/>
      <c r="D10312" s="41"/>
      <c r="E10312" s="43">
        <f>C10312</f>
        <v>0</v>
      </c>
      <c r="F10312" s="42"/>
    </row>
    <row r="10313" spans="1:6">
      <c r="A10313" s="39">
        <f>A10312</f>
        <v>46048</v>
      </c>
      <c r="B10313" s="40"/>
      <c r="C10313" s="40"/>
      <c r="D10313" s="41"/>
      <c r="E10313" s="43">
        <f>C10313</f>
        <v>0</v>
      </c>
      <c r="F10313" s="42"/>
    </row>
    <row r="10314" spans="1:6">
      <c r="A10314" s="39">
        <f>A10313</f>
        <v>46048</v>
      </c>
      <c r="B10314" s="40"/>
      <c r="C10314" s="40"/>
      <c r="D10314" s="41"/>
      <c r="E10314" s="43">
        <f>C10314</f>
        <v>0</v>
      </c>
      <c r="F10314" s="42"/>
    </row>
    <row r="10315" spans="1:6">
      <c r="A10315" s="39">
        <f>A10314</f>
        <v>46048</v>
      </c>
      <c r="B10315" s="40"/>
      <c r="C10315" s="40"/>
      <c r="D10315" s="41"/>
      <c r="E10315" s="43">
        <f>C10315</f>
        <v>0</v>
      </c>
      <c r="F10315" s="42"/>
    </row>
    <row r="10316" spans="1:6">
      <c r="A10316" s="39">
        <f>A10315</f>
        <v>46048</v>
      </c>
      <c r="B10316" s="40"/>
      <c r="C10316" s="40"/>
      <c r="D10316" s="41"/>
      <c r="E10316" s="43">
        <f>C10316</f>
        <v>0</v>
      </c>
      <c r="F10316" s="42"/>
    </row>
    <row r="10317" spans="1:6">
      <c r="A10317" s="39">
        <f>A10316</f>
        <v>46048</v>
      </c>
      <c r="B10317" s="40"/>
      <c r="C10317" s="40"/>
      <c r="D10317" s="41"/>
      <c r="E10317" s="43">
        <f>C10317</f>
        <v>0</v>
      </c>
      <c r="F10317" s="42"/>
    </row>
    <row r="10318" spans="1:6">
      <c r="A10318" s="39">
        <f>A10317</f>
        <v>46048</v>
      </c>
      <c r="B10318" s="40"/>
      <c r="C10318" s="40"/>
      <c r="D10318" s="41"/>
      <c r="E10318" s="43">
        <f>C10318</f>
        <v>0</v>
      </c>
      <c r="F10318" s="42"/>
    </row>
    <row r="10319" spans="1:6">
      <c r="A10319" s="39">
        <f>A10318</f>
        <v>46048</v>
      </c>
      <c r="B10319" s="40"/>
      <c r="C10319" s="40"/>
      <c r="D10319" s="41"/>
      <c r="E10319" s="43">
        <f>C10319</f>
        <v>0</v>
      </c>
      <c r="F10319" s="42"/>
    </row>
    <row r="10320" spans="1:6">
      <c r="A10320" s="39">
        <f>A10319</f>
        <v>46048</v>
      </c>
      <c r="B10320" s="40"/>
      <c r="C10320" s="40"/>
      <c r="D10320" s="41"/>
      <c r="E10320" s="43">
        <f>C10320</f>
        <v>0</v>
      </c>
      <c r="F10320" s="42"/>
    </row>
    <row r="10321" spans="1:6">
      <c r="A10321" s="39">
        <f>A10320</f>
        <v>46048</v>
      </c>
      <c r="B10321" s="40"/>
      <c r="C10321" s="40"/>
      <c r="D10321" s="41"/>
      <c r="E10321" s="43">
        <f>C10321</f>
        <v>0</v>
      </c>
      <c r="F10321" s="42"/>
    </row>
    <row r="10322" spans="1:6">
      <c r="A10322" s="39">
        <f>A10321</f>
        <v>46048</v>
      </c>
      <c r="B10322" s="40"/>
      <c r="C10322" s="40"/>
      <c r="D10322" s="41"/>
      <c r="E10322" s="43">
        <f>C10322</f>
        <v>0</v>
      </c>
      <c r="F10322" s="42"/>
    </row>
    <row r="10323" spans="1:6">
      <c r="A10323" s="39">
        <f>A10322</f>
        <v>46048</v>
      </c>
      <c r="B10323" s="40"/>
      <c r="C10323" s="40"/>
      <c r="D10323" s="41"/>
      <c r="E10323" s="43">
        <f>C10323</f>
        <v>0</v>
      </c>
      <c r="F10323" s="42"/>
    </row>
    <row r="10324" spans="1:6">
      <c r="A10324" s="39">
        <f>A10323</f>
        <v>46048</v>
      </c>
      <c r="B10324" s="40"/>
      <c r="C10324" s="40"/>
      <c r="D10324" s="41"/>
      <c r="E10324" s="43">
        <f>C10324</f>
        <v>0</v>
      </c>
      <c r="F10324" s="42"/>
    </row>
    <row r="10325" spans="1:6">
      <c r="A10325" s="39">
        <f>A10324</f>
        <v>46048</v>
      </c>
      <c r="B10325" s="40"/>
      <c r="C10325" s="40"/>
      <c r="D10325" s="41"/>
      <c r="E10325" s="43">
        <f>C10325</f>
        <v>0</v>
      </c>
      <c r="F10325" s="42"/>
    </row>
    <row r="10326" spans="1:6">
      <c r="A10326" s="39">
        <f>A10325</f>
        <v>46048</v>
      </c>
      <c r="B10326" s="40"/>
      <c r="C10326" s="40"/>
      <c r="D10326" s="41"/>
      <c r="E10326" s="43">
        <f>C10326</f>
        <v>0</v>
      </c>
      <c r="F10326" s="42"/>
    </row>
    <row r="10327" spans="1:6">
      <c r="A10327" s="39">
        <f>A10326</f>
        <v>46048</v>
      </c>
      <c r="B10327" s="40"/>
      <c r="C10327" s="40"/>
      <c r="D10327" s="41"/>
      <c r="E10327" s="43">
        <f>C10327</f>
        <v>0</v>
      </c>
      <c r="F10327" s="42"/>
    </row>
    <row r="10328" spans="1:6">
      <c r="A10328" s="39">
        <f>A10327</f>
        <v>46048</v>
      </c>
      <c r="B10328" s="40"/>
      <c r="C10328" s="40"/>
      <c r="D10328" s="41"/>
      <c r="E10328" s="43">
        <f>C10328</f>
        <v>0</v>
      </c>
      <c r="F10328" s="42"/>
    </row>
    <row r="10329" spans="1:6">
      <c r="A10329" s="39">
        <f>A10328</f>
        <v>46048</v>
      </c>
      <c r="B10329" s="40"/>
      <c r="C10329" s="40"/>
      <c r="D10329" s="41"/>
      <c r="E10329" s="43">
        <f>C10329</f>
        <v>0</v>
      </c>
      <c r="F10329" s="42"/>
    </row>
    <row r="10330" spans="1:6">
      <c r="A10330" s="39">
        <f>A10329</f>
        <v>46048</v>
      </c>
      <c r="B10330" s="40"/>
      <c r="C10330" s="40"/>
      <c r="D10330" s="41"/>
      <c r="E10330" s="43">
        <f>C10330</f>
        <v>0</v>
      </c>
      <c r="F10330" s="42"/>
    </row>
    <row r="10331" spans="1:6">
      <c r="A10331" s="39">
        <f>A10330</f>
        <v>46048</v>
      </c>
      <c r="B10331" s="40"/>
      <c r="C10331" s="40"/>
      <c r="D10331" s="41"/>
      <c r="E10331" s="43">
        <f>C10331</f>
        <v>0</v>
      </c>
      <c r="F10331" s="42"/>
    </row>
    <row r="10332" spans="1:6">
      <c r="A10332" s="39">
        <f>A10331</f>
        <v>46048</v>
      </c>
      <c r="B10332" s="40"/>
      <c r="C10332" s="40"/>
      <c r="D10332" s="41"/>
      <c r="E10332" s="43">
        <f>C10332</f>
        <v>0</v>
      </c>
      <c r="F10332" s="42"/>
    </row>
    <row r="10333" spans="1:6">
      <c r="A10333" s="39">
        <f>A10332</f>
        <v>46048</v>
      </c>
      <c r="B10333" s="40"/>
      <c r="C10333" s="40"/>
      <c r="D10333" s="41"/>
      <c r="E10333" s="43">
        <f>C10333</f>
        <v>0</v>
      </c>
      <c r="F10333" s="42"/>
    </row>
    <row r="10334" spans="1:6">
      <c r="A10334" s="39">
        <f>A10333</f>
        <v>46048</v>
      </c>
      <c r="B10334" s="40"/>
      <c r="C10334" s="40"/>
      <c r="D10334" s="41"/>
      <c r="E10334" s="43">
        <f>C10334</f>
        <v>0</v>
      </c>
      <c r="F10334" s="42"/>
    </row>
    <row r="10335" spans="1:6">
      <c r="A10335" s="39">
        <f>A10334</f>
        <v>46048</v>
      </c>
      <c r="B10335" s="40"/>
      <c r="C10335" s="40"/>
      <c r="D10335" s="41"/>
      <c r="E10335" s="43">
        <f>C10335</f>
        <v>0</v>
      </c>
      <c r="F10335" s="42"/>
    </row>
    <row r="10336" spans="1:6">
      <c r="A10336" s="39">
        <f>A10335</f>
        <v>46048</v>
      </c>
      <c r="B10336" s="40"/>
      <c r="C10336" s="40"/>
      <c r="D10336" s="41"/>
      <c r="E10336" s="43">
        <f>C10336</f>
        <v>0</v>
      </c>
      <c r="F10336" s="42"/>
    </row>
    <row r="10337" spans="1:6">
      <c r="A10337" s="39">
        <f>A10336</f>
        <v>46048</v>
      </c>
      <c r="B10337" s="40"/>
      <c r="C10337" s="40"/>
      <c r="D10337" s="41"/>
      <c r="E10337" s="43">
        <f>C10337</f>
        <v>0</v>
      </c>
      <c r="F10337" s="42"/>
    </row>
    <row r="10338" spans="1:6">
      <c r="A10338" s="39">
        <f>A10337</f>
        <v>46048</v>
      </c>
      <c r="B10338" s="40"/>
      <c r="C10338" s="40"/>
      <c r="D10338" s="41"/>
      <c r="E10338" s="43">
        <f>C10338</f>
        <v>0</v>
      </c>
      <c r="F10338" s="42"/>
    </row>
    <row r="10339" spans="1:6">
      <c r="A10339" s="39">
        <f>A10338</f>
        <v>46048</v>
      </c>
      <c r="B10339" s="40"/>
      <c r="C10339" s="40"/>
      <c r="D10339" s="41"/>
      <c r="E10339" s="43">
        <f>C10339</f>
        <v>0</v>
      </c>
      <c r="F10339" s="42"/>
    </row>
    <row r="10340" spans="1:6">
      <c r="A10340" s="39">
        <f>A10339</f>
        <v>46048</v>
      </c>
      <c r="B10340" s="40"/>
      <c r="C10340" s="40"/>
      <c r="D10340" s="41"/>
      <c r="E10340" s="43">
        <f>C10340</f>
        <v>0</v>
      </c>
      <c r="F10340" s="42"/>
    </row>
    <row r="10341" spans="1:6">
      <c r="A10341" s="39">
        <f>A10340</f>
        <v>46048</v>
      </c>
      <c r="B10341" s="40"/>
      <c r="C10341" s="40"/>
      <c r="D10341" s="41"/>
      <c r="E10341" s="43">
        <f>C10341</f>
        <v>0</v>
      </c>
      <c r="F10341" s="42"/>
    </row>
    <row r="10342" spans="1:6">
      <c r="A10342" s="39">
        <f>A10341</f>
        <v>46048</v>
      </c>
      <c r="B10342" s="40"/>
      <c r="C10342" s="40"/>
      <c r="D10342" s="41"/>
      <c r="E10342" s="43">
        <f>C10342</f>
        <v>0</v>
      </c>
      <c r="F10342" s="42"/>
    </row>
    <row r="10343" spans="1:6">
      <c r="A10343" s="39">
        <f>A10342</f>
        <v>46048</v>
      </c>
      <c r="B10343" s="40"/>
      <c r="C10343" s="40"/>
      <c r="D10343" s="41"/>
      <c r="E10343" s="43">
        <f>C10343</f>
        <v>0</v>
      </c>
      <c r="F10343" s="42"/>
    </row>
    <row r="10344" spans="1:6">
      <c r="A10344" s="39">
        <f>A10343</f>
        <v>46048</v>
      </c>
      <c r="B10344" s="40"/>
      <c r="C10344" s="40"/>
      <c r="D10344" s="41"/>
      <c r="E10344" s="43">
        <f>C10344</f>
        <v>0</v>
      </c>
      <c r="F10344" s="42"/>
    </row>
    <row r="10345" spans="1:6">
      <c r="A10345" s="39">
        <f>A10344</f>
        <v>46048</v>
      </c>
      <c r="B10345" s="40"/>
      <c r="C10345" s="40"/>
      <c r="D10345" s="41"/>
      <c r="E10345" s="43">
        <f>C10345</f>
        <v>0</v>
      </c>
      <c r="F10345" s="42"/>
    </row>
    <row r="10346" spans="1:6">
      <c r="A10346" s="39">
        <f>A10345</f>
        <v>46048</v>
      </c>
      <c r="B10346" s="40"/>
      <c r="C10346" s="40"/>
      <c r="D10346" s="41"/>
      <c r="E10346" s="43">
        <f>C10346</f>
        <v>0</v>
      </c>
      <c r="F10346" s="42"/>
    </row>
    <row r="10347" spans="1:6">
      <c r="A10347" s="39">
        <f>A10346</f>
        <v>46048</v>
      </c>
      <c r="B10347" s="40"/>
      <c r="C10347" s="40"/>
      <c r="D10347" s="41"/>
      <c r="E10347" s="43">
        <f>C10347</f>
        <v>0</v>
      </c>
      <c r="F10347" s="42"/>
    </row>
    <row r="10348" spans="1:6">
      <c r="A10348" s="39">
        <f>A10347</f>
        <v>46048</v>
      </c>
      <c r="B10348" s="40"/>
      <c r="C10348" s="40"/>
      <c r="D10348" s="41"/>
      <c r="E10348" s="43">
        <f>C10348</f>
        <v>0</v>
      </c>
      <c r="F10348" s="42"/>
    </row>
    <row r="10349" spans="1:6">
      <c r="A10349" s="39">
        <f>A10348</f>
        <v>46048</v>
      </c>
      <c r="B10349" s="40"/>
      <c r="C10349" s="40"/>
      <c r="D10349" s="41"/>
      <c r="E10349" s="43">
        <f>C10349</f>
        <v>0</v>
      </c>
      <c r="F10349" s="42"/>
    </row>
    <row r="10350" spans="1:6">
      <c r="A10350" s="39">
        <f>A10349</f>
        <v>46048</v>
      </c>
      <c r="B10350" s="40"/>
      <c r="C10350" s="40"/>
      <c r="D10350" s="41"/>
      <c r="E10350" s="43">
        <f>C10350</f>
        <v>0</v>
      </c>
      <c r="F10350" s="42"/>
    </row>
    <row r="10351" spans="1:6">
      <c r="A10351" s="39">
        <f>A10350</f>
        <v>46048</v>
      </c>
      <c r="B10351" s="40"/>
      <c r="C10351" s="40"/>
      <c r="D10351" s="41"/>
      <c r="E10351" s="43">
        <f>C10351</f>
        <v>0</v>
      </c>
      <c r="F10351" s="42"/>
    </row>
    <row r="10352" spans="1:6">
      <c r="A10352" s="39">
        <f>A10351</f>
        <v>46048</v>
      </c>
      <c r="B10352" s="40"/>
      <c r="C10352" s="40"/>
      <c r="D10352" s="41"/>
      <c r="E10352" s="43">
        <f>C10352</f>
        <v>0</v>
      </c>
      <c r="F10352" s="42"/>
    </row>
    <row r="10353" spans="1:6">
      <c r="A10353" s="39">
        <f>A10352</f>
        <v>46048</v>
      </c>
      <c r="B10353" s="40"/>
      <c r="C10353" s="40"/>
      <c r="D10353" s="41"/>
      <c r="E10353" s="43">
        <f>C10353</f>
        <v>0</v>
      </c>
      <c r="F10353" s="42"/>
    </row>
    <row r="10354" spans="1:6">
      <c r="A10354" s="39">
        <f>A10353</f>
        <v>46048</v>
      </c>
      <c r="B10354" s="40"/>
      <c r="C10354" s="40"/>
      <c r="D10354" s="41"/>
      <c r="E10354" s="43">
        <f>C10354</f>
        <v>0</v>
      </c>
      <c r="F10354" s="42"/>
    </row>
    <row r="10355" spans="1:6">
      <c r="A10355" s="39">
        <f>A10354</f>
        <v>46048</v>
      </c>
      <c r="B10355" s="40"/>
      <c r="C10355" s="40"/>
      <c r="D10355" s="41"/>
      <c r="E10355" s="43">
        <f>C10355</f>
        <v>0</v>
      </c>
      <c r="F10355" s="42"/>
    </row>
    <row r="10356" spans="1:6">
      <c r="A10356" s="39">
        <f>A10355</f>
        <v>46048</v>
      </c>
      <c r="B10356" s="40"/>
      <c r="C10356" s="40"/>
      <c r="D10356" s="41"/>
      <c r="E10356" s="43">
        <f>C10356</f>
        <v>0</v>
      </c>
      <c r="F10356" s="42"/>
    </row>
    <row r="10357" spans="1:6">
      <c r="A10357" s="39">
        <f>A10356</f>
        <v>46048</v>
      </c>
      <c r="B10357" s="40"/>
      <c r="C10357" s="40"/>
      <c r="D10357" s="41"/>
      <c r="E10357" s="43">
        <f>C10357</f>
        <v>0</v>
      </c>
      <c r="F10357" s="42"/>
    </row>
    <row r="10358" spans="1:6">
      <c r="A10358" s="39">
        <f>A10357</f>
        <v>46048</v>
      </c>
      <c r="B10358" s="40"/>
      <c r="C10358" s="40"/>
      <c r="D10358" s="41"/>
      <c r="E10358" s="43">
        <f>C10358</f>
        <v>0</v>
      </c>
      <c r="F10358" s="42"/>
    </row>
    <row r="10359" spans="1:6">
      <c r="A10359" s="39">
        <f>A10358</f>
        <v>46048</v>
      </c>
      <c r="B10359" s="40"/>
      <c r="C10359" s="40"/>
      <c r="D10359" s="41"/>
      <c r="E10359" s="43">
        <f>C10359</f>
        <v>0</v>
      </c>
      <c r="F10359" s="42"/>
    </row>
    <row r="10360" spans="1:6">
      <c r="A10360" s="39">
        <f>A10359</f>
        <v>46048</v>
      </c>
      <c r="B10360" s="40"/>
      <c r="C10360" s="40"/>
      <c r="D10360" s="41"/>
      <c r="E10360" s="43">
        <f>C10360</f>
        <v>0</v>
      </c>
      <c r="F10360" s="42"/>
    </row>
    <row r="10361" spans="1:6">
      <c r="A10361" s="39">
        <f>A10360</f>
        <v>46048</v>
      </c>
      <c r="B10361" s="40"/>
      <c r="C10361" s="40"/>
      <c r="D10361" s="41"/>
      <c r="E10361" s="43">
        <f>C10361</f>
        <v>0</v>
      </c>
      <c r="F10361" s="42"/>
    </row>
    <row r="10362" spans="1:6">
      <c r="A10362" s="39">
        <f>A10361</f>
        <v>46048</v>
      </c>
      <c r="B10362" s="40"/>
      <c r="C10362" s="40"/>
      <c r="D10362" s="41"/>
      <c r="E10362" s="43">
        <f>C10362</f>
        <v>0</v>
      </c>
      <c r="F10362" s="42"/>
    </row>
    <row r="10363" spans="1:6">
      <c r="A10363" s="39">
        <f>A10362</f>
        <v>46048</v>
      </c>
      <c r="B10363" s="40"/>
      <c r="C10363" s="40"/>
      <c r="D10363" s="41"/>
      <c r="E10363" s="43">
        <f>C10363</f>
        <v>0</v>
      </c>
      <c r="F10363" s="42"/>
    </row>
    <row r="10364" spans="1:6">
      <c r="A10364" s="39">
        <f>A10363</f>
        <v>46048</v>
      </c>
      <c r="B10364" s="40"/>
      <c r="C10364" s="40"/>
      <c r="D10364" s="41"/>
      <c r="E10364" s="43">
        <f>C10364</f>
        <v>0</v>
      </c>
      <c r="F10364" s="42"/>
    </row>
    <row r="10365" spans="1:6">
      <c r="A10365" s="39">
        <f>A10364</f>
        <v>46048</v>
      </c>
      <c r="B10365" s="40"/>
      <c r="C10365" s="40"/>
      <c r="D10365" s="41"/>
      <c r="E10365" s="43">
        <f>C10365</f>
        <v>0</v>
      </c>
      <c r="F10365" s="42"/>
    </row>
    <row r="10366" spans="1:6">
      <c r="A10366" s="39">
        <f>A10365</f>
        <v>46048</v>
      </c>
      <c r="B10366" s="40"/>
      <c r="C10366" s="40"/>
      <c r="D10366" s="41"/>
      <c r="E10366" s="43">
        <f>C10366</f>
        <v>0</v>
      </c>
      <c r="F10366" s="42"/>
    </row>
    <row r="10367" spans="1:6">
      <c r="A10367" s="39">
        <f>A10366</f>
        <v>46048</v>
      </c>
      <c r="B10367" s="40"/>
      <c r="C10367" s="40"/>
      <c r="D10367" s="41"/>
      <c r="E10367" s="43">
        <f>C10367</f>
        <v>0</v>
      </c>
      <c r="F10367" s="42"/>
    </row>
    <row r="10368" spans="1:6">
      <c r="A10368" s="39">
        <f>A10367</f>
        <v>46048</v>
      </c>
      <c r="B10368" s="40"/>
      <c r="C10368" s="40"/>
      <c r="D10368" s="41"/>
      <c r="E10368" s="43">
        <f>C10368</f>
        <v>0</v>
      </c>
      <c r="F10368" s="42"/>
    </row>
    <row r="10369" spans="1:6">
      <c r="A10369" s="39">
        <f>A10368</f>
        <v>46048</v>
      </c>
      <c r="B10369" s="40"/>
      <c r="C10369" s="40"/>
      <c r="D10369" s="41"/>
      <c r="E10369" s="43">
        <f>C10369</f>
        <v>0</v>
      </c>
      <c r="F10369" s="42"/>
    </row>
    <row r="10370" spans="1:6">
      <c r="A10370" s="39">
        <f>A10369</f>
        <v>46048</v>
      </c>
      <c r="B10370" s="40"/>
      <c r="C10370" s="40"/>
      <c r="D10370" s="41"/>
      <c r="E10370" s="43">
        <f>C10370</f>
        <v>0</v>
      </c>
      <c r="F10370" s="42"/>
    </row>
    <row r="10371" spans="1:6">
      <c r="A10371" s="39">
        <f>A10370</f>
        <v>46048</v>
      </c>
      <c r="B10371" s="40"/>
      <c r="C10371" s="40"/>
      <c r="D10371" s="41"/>
      <c r="E10371" s="43">
        <f>C10371</f>
        <v>0</v>
      </c>
      <c r="F10371" s="42"/>
    </row>
    <row r="10372" spans="1:6">
      <c r="A10372" s="39">
        <f>A10371</f>
        <v>46048</v>
      </c>
      <c r="B10372" s="40"/>
      <c r="C10372" s="40"/>
      <c r="D10372" s="41"/>
      <c r="E10372" s="43">
        <f>C10372</f>
        <v>0</v>
      </c>
      <c r="F10372" s="42"/>
    </row>
    <row r="10373" spans="1:6">
      <c r="A10373" s="39">
        <f>A10372</f>
        <v>46048</v>
      </c>
      <c r="B10373" s="40"/>
      <c r="C10373" s="40"/>
      <c r="D10373" s="41"/>
      <c r="E10373" s="43">
        <f>C10373</f>
        <v>0</v>
      </c>
      <c r="F10373" s="42"/>
    </row>
    <row r="10374" spans="1:6">
      <c r="A10374" s="39">
        <f>A10373</f>
        <v>46048</v>
      </c>
      <c r="B10374" s="40"/>
      <c r="C10374" s="40"/>
      <c r="D10374" s="41"/>
      <c r="E10374" s="43">
        <f>C10374</f>
        <v>0</v>
      </c>
      <c r="F10374" s="42"/>
    </row>
    <row r="10375" spans="1:6">
      <c r="A10375" s="39">
        <f>A10374</f>
        <v>46048</v>
      </c>
      <c r="B10375" s="40"/>
      <c r="C10375" s="40"/>
      <c r="D10375" s="41"/>
      <c r="E10375" s="43">
        <f>C10375</f>
        <v>0</v>
      </c>
      <c r="F10375" s="42"/>
    </row>
    <row r="10376" spans="1:6">
      <c r="A10376" s="39">
        <f>A10375</f>
        <v>46048</v>
      </c>
      <c r="B10376" s="40"/>
      <c r="C10376" s="40"/>
      <c r="D10376" s="41"/>
      <c r="E10376" s="43">
        <f>C10376</f>
        <v>0</v>
      </c>
      <c r="F10376" s="42"/>
    </row>
    <row r="10377" spans="1:6">
      <c r="A10377" s="39">
        <f>A10376</f>
        <v>46048</v>
      </c>
      <c r="B10377" s="40"/>
      <c r="C10377" s="40"/>
      <c r="D10377" s="41"/>
      <c r="E10377" s="43">
        <f>C10377</f>
        <v>0</v>
      </c>
      <c r="F10377" s="42"/>
    </row>
    <row r="10378" spans="1:6">
      <c r="A10378" s="39">
        <f>A10377</f>
        <v>46048</v>
      </c>
      <c r="B10378" s="40"/>
      <c r="C10378" s="40"/>
      <c r="D10378" s="41"/>
      <c r="E10378" s="43">
        <f>C10378</f>
        <v>0</v>
      </c>
      <c r="F10378" s="42"/>
    </row>
    <row r="10379" spans="1:6">
      <c r="A10379" s="39">
        <f>A10378</f>
        <v>46048</v>
      </c>
      <c r="B10379" s="40"/>
      <c r="C10379" s="40"/>
      <c r="D10379" s="41"/>
      <c r="E10379" s="43">
        <f>C10379</f>
        <v>0</v>
      </c>
      <c r="F10379" s="42"/>
    </row>
    <row r="10380" spans="1:6">
      <c r="A10380" s="39">
        <f>A10379</f>
        <v>46048</v>
      </c>
      <c r="B10380" s="40"/>
      <c r="C10380" s="40"/>
      <c r="D10380" s="41"/>
      <c r="E10380" s="43">
        <f>C10380</f>
        <v>0</v>
      </c>
      <c r="F10380" s="42"/>
    </row>
    <row r="10381" spans="1:6">
      <c r="A10381" s="39">
        <f>A10380</f>
        <v>46048</v>
      </c>
      <c r="B10381" s="40"/>
      <c r="C10381" s="40"/>
      <c r="D10381" s="41"/>
      <c r="E10381" s="43">
        <f>C10381</f>
        <v>0</v>
      </c>
      <c r="F10381" s="42"/>
    </row>
    <row r="10382" spans="1:6">
      <c r="A10382" s="39">
        <f>A10381</f>
        <v>46048</v>
      </c>
      <c r="B10382" s="40"/>
      <c r="C10382" s="40"/>
      <c r="D10382" s="41"/>
      <c r="E10382" s="43">
        <f>C10382</f>
        <v>0</v>
      </c>
      <c r="F10382" s="42"/>
    </row>
    <row r="10383" spans="1:6">
      <c r="A10383" s="39">
        <f>A10382</f>
        <v>46048</v>
      </c>
      <c r="B10383" s="40"/>
      <c r="C10383" s="40"/>
      <c r="D10383" s="41"/>
      <c r="E10383" s="43">
        <f>C10383</f>
        <v>0</v>
      </c>
      <c r="F10383" s="42"/>
    </row>
    <row r="10384" spans="1:6">
      <c r="A10384" s="39">
        <f>A10383</f>
        <v>46048</v>
      </c>
      <c r="B10384" s="40"/>
      <c r="C10384" s="40"/>
      <c r="D10384" s="41"/>
      <c r="E10384" s="43">
        <f>C10384</f>
        <v>0</v>
      </c>
      <c r="F10384" s="42"/>
    </row>
    <row r="10385" spans="1:6">
      <c r="A10385" s="39">
        <f>A10384</f>
        <v>46048</v>
      </c>
      <c r="B10385" s="40"/>
      <c r="C10385" s="40"/>
      <c r="D10385" s="41"/>
      <c r="E10385" s="43">
        <f>C10385</f>
        <v>0</v>
      </c>
      <c r="F10385" s="42"/>
    </row>
    <row r="10386" spans="1:6">
      <c r="A10386" s="39">
        <f>A10385</f>
        <v>46048</v>
      </c>
      <c r="B10386" s="40"/>
      <c r="C10386" s="40"/>
      <c r="D10386" s="41"/>
      <c r="E10386" s="43">
        <f>C10386</f>
        <v>0</v>
      </c>
      <c r="F10386" s="42"/>
    </row>
    <row r="10387" spans="1:6">
      <c r="A10387" s="39">
        <f>A10386</f>
        <v>46048</v>
      </c>
      <c r="B10387" s="40"/>
      <c r="C10387" s="40"/>
      <c r="D10387" s="41"/>
      <c r="E10387" s="43">
        <f>C10387</f>
        <v>0</v>
      </c>
      <c r="F10387" s="42"/>
    </row>
    <row r="10388" spans="1:6">
      <c r="A10388" s="39">
        <f>A10387</f>
        <v>46048</v>
      </c>
      <c r="B10388" s="40"/>
      <c r="C10388" s="40"/>
      <c r="D10388" s="41"/>
      <c r="E10388" s="43">
        <f>C10388</f>
        <v>0</v>
      </c>
      <c r="F10388" s="42"/>
    </row>
    <row r="10389" spans="1:6">
      <c r="A10389" s="39">
        <f>A10388</f>
        <v>46048</v>
      </c>
      <c r="B10389" s="40"/>
      <c r="C10389" s="40"/>
      <c r="D10389" s="41"/>
      <c r="E10389" s="43">
        <f>C10389</f>
        <v>0</v>
      </c>
      <c r="F10389" s="42"/>
    </row>
    <row r="10390" spans="1:6">
      <c r="A10390" s="39">
        <f>A10389</f>
        <v>46048</v>
      </c>
      <c r="B10390" s="40"/>
      <c r="C10390" s="40"/>
      <c r="D10390" s="41"/>
      <c r="E10390" s="43">
        <f>C10390</f>
        <v>0</v>
      </c>
      <c r="F10390" s="42"/>
    </row>
    <row r="10391" spans="1:6">
      <c r="A10391" s="39">
        <f>A10390</f>
        <v>46048</v>
      </c>
      <c r="B10391" s="40"/>
      <c r="C10391" s="40"/>
      <c r="D10391" s="41"/>
      <c r="E10391" s="43">
        <f>C10391</f>
        <v>0</v>
      </c>
      <c r="F10391" s="42"/>
    </row>
    <row r="10392" spans="1:6">
      <c r="A10392" s="39">
        <f>A10391</f>
        <v>46048</v>
      </c>
      <c r="B10392" s="40"/>
      <c r="C10392" s="40"/>
      <c r="D10392" s="41"/>
      <c r="E10392" s="43">
        <f>C10392</f>
        <v>0</v>
      </c>
      <c r="F10392" s="42"/>
    </row>
    <row r="10393" spans="1:6">
      <c r="A10393" s="39">
        <f>A10392</f>
        <v>46048</v>
      </c>
      <c r="B10393" s="40"/>
      <c r="C10393" s="40"/>
      <c r="D10393" s="41"/>
      <c r="E10393" s="43">
        <f>C10393</f>
        <v>0</v>
      </c>
      <c r="F10393" s="42"/>
    </row>
    <row r="10394" spans="1:6">
      <c r="A10394" s="39">
        <f>A10393</f>
        <v>46048</v>
      </c>
      <c r="B10394" s="40"/>
      <c r="C10394" s="40"/>
      <c r="D10394" s="41"/>
      <c r="E10394" s="43">
        <f>C10394</f>
        <v>0</v>
      </c>
      <c r="F10394" s="42"/>
    </row>
    <row r="10395" spans="1:6">
      <c r="A10395" s="39">
        <f>A10394</f>
        <v>46048</v>
      </c>
      <c r="B10395" s="40"/>
      <c r="C10395" s="40"/>
      <c r="D10395" s="41"/>
      <c r="E10395" s="43">
        <f>C10395</f>
        <v>0</v>
      </c>
      <c r="F10395" s="42"/>
    </row>
    <row r="10396" spans="1:6">
      <c r="A10396" s="39">
        <f>A10395</f>
        <v>46048</v>
      </c>
      <c r="B10396" s="40"/>
      <c r="C10396" s="40"/>
      <c r="D10396" s="41"/>
      <c r="E10396" s="43">
        <f>C10396</f>
        <v>0</v>
      </c>
      <c r="F10396" s="42"/>
    </row>
    <row r="10397" spans="1:6">
      <c r="A10397" s="39">
        <f>A10396</f>
        <v>46048</v>
      </c>
      <c r="B10397" s="40"/>
      <c r="C10397" s="40"/>
      <c r="D10397" s="41"/>
      <c r="E10397" s="43">
        <f>C10397</f>
        <v>0</v>
      </c>
      <c r="F10397" s="42"/>
    </row>
    <row r="10398" spans="1:6">
      <c r="A10398" s="39">
        <f>A10397</f>
        <v>46048</v>
      </c>
      <c r="B10398" s="40"/>
      <c r="C10398" s="40"/>
      <c r="D10398" s="41"/>
      <c r="E10398" s="43">
        <f>C10398</f>
        <v>0</v>
      </c>
      <c r="F10398" s="42"/>
    </row>
    <row r="10399" spans="1:6">
      <c r="A10399" s="39">
        <f>A10398</f>
        <v>46048</v>
      </c>
      <c r="B10399" s="40"/>
      <c r="C10399" s="40"/>
      <c r="D10399" s="41"/>
      <c r="E10399" s="43">
        <f>C10399</f>
        <v>0</v>
      </c>
      <c r="F10399" s="42"/>
    </row>
    <row r="10400" spans="1:6">
      <c r="A10400" s="39">
        <f>A10399</f>
        <v>46048</v>
      </c>
      <c r="B10400" s="40"/>
      <c r="C10400" s="40"/>
      <c r="D10400" s="41"/>
      <c r="E10400" s="43">
        <f>C10400</f>
        <v>0</v>
      </c>
      <c r="F10400" s="42"/>
    </row>
    <row r="10401" spans="1:6">
      <c r="A10401" s="39">
        <f>A10400</f>
        <v>46048</v>
      </c>
      <c r="B10401" s="40"/>
      <c r="C10401" s="40"/>
      <c r="D10401" s="41"/>
      <c r="E10401" s="43">
        <f>C10401</f>
        <v>0</v>
      </c>
      <c r="F10401" s="42"/>
    </row>
    <row r="10402" spans="1:6">
      <c r="A10402" s="39">
        <f>A10401</f>
        <v>46048</v>
      </c>
      <c r="B10402" s="40"/>
      <c r="C10402" s="40"/>
      <c r="D10402" s="41"/>
      <c r="E10402" s="43">
        <f>C10402</f>
        <v>0</v>
      </c>
      <c r="F10402" s="42"/>
    </row>
    <row r="10403" spans="1:6">
      <c r="A10403" s="39">
        <f>A10402</f>
        <v>46048</v>
      </c>
      <c r="B10403" s="40"/>
      <c r="C10403" s="40"/>
      <c r="D10403" s="41"/>
      <c r="E10403" s="43">
        <f>C10403</f>
        <v>0</v>
      </c>
      <c r="F10403" s="42"/>
    </row>
    <row r="10404" spans="1:6">
      <c r="A10404" s="39">
        <f>A10403</f>
        <v>46048</v>
      </c>
      <c r="B10404" s="40"/>
      <c r="C10404" s="40"/>
      <c r="D10404" s="41"/>
      <c r="E10404" s="43">
        <f>C10404</f>
        <v>0</v>
      </c>
      <c r="F10404" s="42"/>
    </row>
    <row r="10405" spans="1:6">
      <c r="A10405" s="39">
        <f>A10404</f>
        <v>46048</v>
      </c>
      <c r="B10405" s="40"/>
      <c r="C10405" s="40"/>
      <c r="D10405" s="41"/>
      <c r="E10405" s="43">
        <f>C10405</f>
        <v>0</v>
      </c>
      <c r="F10405" s="42"/>
    </row>
    <row r="10406" spans="1:6">
      <c r="A10406" s="39">
        <f>A10405</f>
        <v>46048</v>
      </c>
      <c r="B10406" s="40"/>
      <c r="C10406" s="40"/>
      <c r="D10406" s="41"/>
      <c r="E10406" s="43">
        <f>C10406</f>
        <v>0</v>
      </c>
      <c r="F10406" s="42"/>
    </row>
    <row r="10407" spans="1:6">
      <c r="A10407" s="39">
        <f>A10406</f>
        <v>46048</v>
      </c>
      <c r="B10407" s="40"/>
      <c r="C10407" s="40"/>
      <c r="D10407" s="41"/>
      <c r="E10407" s="43">
        <f>C10407</f>
        <v>0</v>
      </c>
      <c r="F10407" s="42"/>
    </row>
    <row r="10408" spans="1:6">
      <c r="A10408" s="39">
        <f>A10407</f>
        <v>46048</v>
      </c>
      <c r="B10408" s="40"/>
      <c r="C10408" s="40"/>
      <c r="D10408" s="41"/>
      <c r="E10408" s="43">
        <f>C10408</f>
        <v>0</v>
      </c>
      <c r="F10408" s="42"/>
    </row>
    <row r="10409" spans="1:6">
      <c r="A10409" s="39">
        <f>A10408</f>
        <v>46048</v>
      </c>
      <c r="B10409" s="40"/>
      <c r="C10409" s="40"/>
      <c r="D10409" s="41"/>
      <c r="E10409" s="43">
        <f>C10409</f>
        <v>0</v>
      </c>
      <c r="F10409" s="42"/>
    </row>
    <row r="10410" spans="1:6">
      <c r="A10410" s="39">
        <f>A10409</f>
        <v>46048</v>
      </c>
      <c r="B10410" s="40"/>
      <c r="C10410" s="40"/>
      <c r="D10410" s="41"/>
      <c r="E10410" s="43">
        <f>C10410</f>
        <v>0</v>
      </c>
      <c r="F10410" s="42"/>
    </row>
    <row r="10411" spans="1:6">
      <c r="A10411" s="39">
        <f>A10410</f>
        <v>46048</v>
      </c>
      <c r="B10411" s="40"/>
      <c r="C10411" s="40"/>
      <c r="D10411" s="41"/>
      <c r="E10411" s="43">
        <f>C10411</f>
        <v>0</v>
      </c>
      <c r="F10411" s="42"/>
    </row>
    <row r="10412" spans="1:6">
      <c r="A10412" s="39">
        <f>A10411</f>
        <v>46048</v>
      </c>
      <c r="B10412" s="40"/>
      <c r="C10412" s="40"/>
      <c r="D10412" s="41"/>
      <c r="E10412" s="43">
        <f>C10412</f>
        <v>0</v>
      </c>
      <c r="F10412" s="42"/>
    </row>
    <row r="10413" spans="1:6">
      <c r="A10413" s="39">
        <f>A10412</f>
        <v>46048</v>
      </c>
      <c r="B10413" s="40"/>
      <c r="C10413" s="40"/>
      <c r="D10413" s="41"/>
      <c r="E10413" s="43">
        <f>C10413</f>
        <v>0</v>
      </c>
      <c r="F10413" s="42"/>
    </row>
    <row r="10414" spans="1:6">
      <c r="A10414" s="39">
        <f>A10413</f>
        <v>46048</v>
      </c>
      <c r="B10414" s="40"/>
      <c r="C10414" s="40"/>
      <c r="D10414" s="41"/>
      <c r="E10414" s="43">
        <f>C10414</f>
        <v>0</v>
      </c>
      <c r="F10414" s="42"/>
    </row>
    <row r="10415" spans="1:6">
      <c r="A10415" s="39">
        <f>A10414</f>
        <v>46048</v>
      </c>
      <c r="B10415" s="40"/>
      <c r="C10415" s="40"/>
      <c r="D10415" s="41"/>
      <c r="E10415" s="43">
        <f>C10415</f>
        <v>0</v>
      </c>
      <c r="F10415" s="42"/>
    </row>
    <row r="10416" spans="1:6">
      <c r="A10416" s="39">
        <f>A10415</f>
        <v>46048</v>
      </c>
      <c r="B10416" s="40"/>
      <c r="C10416" s="40"/>
      <c r="D10416" s="41"/>
      <c r="E10416" s="43">
        <f>C10416</f>
        <v>0</v>
      </c>
      <c r="F10416" s="42"/>
    </row>
    <row r="10417" spans="1:6">
      <c r="A10417" s="39">
        <f>A10416</f>
        <v>46048</v>
      </c>
      <c r="B10417" s="40"/>
      <c r="C10417" s="40"/>
      <c r="D10417" s="41"/>
      <c r="E10417" s="43">
        <f>C10417</f>
        <v>0</v>
      </c>
      <c r="F10417" s="42"/>
    </row>
    <row r="10418" spans="1:6">
      <c r="A10418" s="39">
        <f>A10417</f>
        <v>46048</v>
      </c>
      <c r="B10418" s="40"/>
      <c r="C10418" s="40"/>
      <c r="D10418" s="41"/>
      <c r="E10418" s="43">
        <f>C10418</f>
        <v>0</v>
      </c>
      <c r="F10418" s="42"/>
    </row>
    <row r="10419" spans="1:6">
      <c r="A10419" s="39">
        <f>A10418</f>
        <v>46048</v>
      </c>
      <c r="B10419" s="40"/>
      <c r="C10419" s="40"/>
      <c r="D10419" s="41"/>
      <c r="E10419" s="43">
        <f>C10419</f>
        <v>0</v>
      </c>
      <c r="F10419" s="42"/>
    </row>
    <row r="10420" spans="1:6">
      <c r="A10420" s="39">
        <f>A10419</f>
        <v>46048</v>
      </c>
      <c r="B10420" s="40"/>
      <c r="C10420" s="40"/>
      <c r="D10420" s="41"/>
      <c r="E10420" s="43">
        <f>C10420</f>
        <v>0</v>
      </c>
      <c r="F10420" s="42"/>
    </row>
    <row r="10421" spans="1:6">
      <c r="A10421" s="39">
        <f>A10420</f>
        <v>46048</v>
      </c>
      <c r="B10421" s="40"/>
      <c r="C10421" s="40"/>
      <c r="D10421" s="41"/>
      <c r="E10421" s="43">
        <f>C10421</f>
        <v>0</v>
      </c>
      <c r="F10421" s="42"/>
    </row>
    <row r="10422" spans="1:6">
      <c r="A10422" s="39">
        <f>A10421</f>
        <v>46048</v>
      </c>
      <c r="B10422" s="40"/>
      <c r="C10422" s="40"/>
      <c r="D10422" s="41"/>
      <c r="E10422" s="43">
        <f>C10422</f>
        <v>0</v>
      </c>
      <c r="F10422" s="42"/>
    </row>
    <row r="10423" spans="1:6">
      <c r="A10423" s="39">
        <f>A10422</f>
        <v>46048</v>
      </c>
      <c r="B10423" s="40"/>
      <c r="C10423" s="40"/>
      <c r="D10423" s="41"/>
      <c r="E10423" s="43">
        <f>C10423</f>
        <v>0</v>
      </c>
      <c r="F10423" s="42"/>
    </row>
    <row r="10424" spans="1:6">
      <c r="A10424" s="39">
        <f>A10423</f>
        <v>46048</v>
      </c>
      <c r="B10424" s="40"/>
      <c r="C10424" s="40"/>
      <c r="D10424" s="41"/>
      <c r="E10424" s="43">
        <f>C10424</f>
        <v>0</v>
      </c>
      <c r="F10424" s="42"/>
    </row>
    <row r="10425" spans="1:6">
      <c r="A10425" s="39">
        <f>A10424</f>
        <v>46048</v>
      </c>
      <c r="B10425" s="40"/>
      <c r="C10425" s="40"/>
      <c r="D10425" s="41"/>
      <c r="E10425" s="43">
        <f>C10425</f>
        <v>0</v>
      </c>
      <c r="F10425" s="42"/>
    </row>
    <row r="10426" spans="1:6">
      <c r="A10426" s="39">
        <f>A10425</f>
        <v>46048</v>
      </c>
      <c r="B10426" s="40"/>
      <c r="C10426" s="40"/>
      <c r="D10426" s="41"/>
      <c r="E10426" s="43">
        <f>C10426</f>
        <v>0</v>
      </c>
      <c r="F10426" s="42"/>
    </row>
    <row r="10427" spans="1:6">
      <c r="A10427" s="39">
        <f>A10426</f>
        <v>46048</v>
      </c>
      <c r="B10427" s="40"/>
      <c r="C10427" s="40"/>
      <c r="D10427" s="41"/>
      <c r="E10427" s="43">
        <f>C10427</f>
        <v>0</v>
      </c>
      <c r="F10427" s="42"/>
    </row>
    <row r="10428" spans="1:6">
      <c r="A10428" s="39">
        <f>A10427</f>
        <v>46048</v>
      </c>
      <c r="B10428" s="40"/>
      <c r="C10428" s="40"/>
      <c r="D10428" s="41"/>
      <c r="E10428" s="43">
        <f>C10428</f>
        <v>0</v>
      </c>
      <c r="F10428" s="42"/>
    </row>
    <row r="10429" spans="1:6">
      <c r="A10429" s="39">
        <f>A10428</f>
        <v>46048</v>
      </c>
      <c r="B10429" s="40"/>
      <c r="C10429" s="40"/>
      <c r="D10429" s="41"/>
      <c r="E10429" s="43">
        <f>C10429</f>
        <v>0</v>
      </c>
      <c r="F10429" s="42"/>
    </row>
    <row r="10430" spans="1:6">
      <c r="A10430" s="39">
        <f>A10429</f>
        <v>46048</v>
      </c>
      <c r="B10430" s="40"/>
      <c r="C10430" s="40"/>
      <c r="D10430" s="41"/>
      <c r="E10430" s="43">
        <f>C10430</f>
        <v>0</v>
      </c>
      <c r="F10430" s="42"/>
    </row>
    <row r="10431" spans="1:6">
      <c r="A10431" s="39">
        <f>A10430</f>
        <v>46048</v>
      </c>
      <c r="B10431" s="40"/>
      <c r="C10431" s="40"/>
      <c r="D10431" s="41"/>
      <c r="E10431" s="43">
        <f>C10431</f>
        <v>0</v>
      </c>
      <c r="F10431" s="42"/>
    </row>
    <row r="10432" spans="1:6">
      <c r="A10432" s="39">
        <f>A10431</f>
        <v>46048</v>
      </c>
      <c r="B10432" s="40"/>
      <c r="C10432" s="40"/>
      <c r="D10432" s="41"/>
      <c r="E10432" s="43">
        <f>C10432</f>
        <v>0</v>
      </c>
      <c r="F10432" s="42"/>
    </row>
    <row r="10433" spans="1:6">
      <c r="A10433" s="39">
        <f>A10432</f>
        <v>46048</v>
      </c>
      <c r="B10433" s="40"/>
      <c r="C10433" s="40"/>
      <c r="D10433" s="41"/>
      <c r="E10433" s="43">
        <f>C10433</f>
        <v>0</v>
      </c>
      <c r="F10433" s="42"/>
    </row>
    <row r="10434" spans="1:6">
      <c r="A10434" s="39">
        <f>A10433</f>
        <v>46048</v>
      </c>
      <c r="B10434" s="40"/>
      <c r="C10434" s="40"/>
      <c r="D10434" s="41"/>
      <c r="E10434" s="43">
        <f>C10434</f>
        <v>0</v>
      </c>
      <c r="F10434" s="42"/>
    </row>
    <row r="10435" spans="1:6">
      <c r="A10435" s="39">
        <f>A10434</f>
        <v>46048</v>
      </c>
      <c r="B10435" s="40"/>
      <c r="C10435" s="40"/>
      <c r="D10435" s="41"/>
      <c r="E10435" s="43">
        <f>C10435</f>
        <v>0</v>
      </c>
      <c r="F10435" s="42"/>
    </row>
    <row r="10436" spans="1:6">
      <c r="A10436" s="39">
        <f>A10435</f>
        <v>46048</v>
      </c>
      <c r="B10436" s="40"/>
      <c r="C10436" s="40"/>
      <c r="D10436" s="41"/>
      <c r="E10436" s="43">
        <f>C10436</f>
        <v>0</v>
      </c>
      <c r="F10436" s="42"/>
    </row>
    <row r="10437" spans="1:6">
      <c r="A10437" s="39">
        <f>A10436</f>
        <v>46048</v>
      </c>
      <c r="B10437" s="40"/>
      <c r="C10437" s="40"/>
      <c r="D10437" s="41"/>
      <c r="E10437" s="43">
        <f>C10437</f>
        <v>0</v>
      </c>
      <c r="F10437" s="42"/>
    </row>
    <row r="10438" spans="1:6">
      <c r="A10438" s="39">
        <f>A10437</f>
        <v>46048</v>
      </c>
      <c r="B10438" s="40"/>
      <c r="C10438" s="40"/>
      <c r="D10438" s="41"/>
      <c r="E10438" s="43">
        <f>C10438</f>
        <v>0</v>
      </c>
      <c r="F10438" s="42"/>
    </row>
    <row r="10439" spans="1:6">
      <c r="A10439" s="39">
        <f>A10438</f>
        <v>46048</v>
      </c>
      <c r="B10439" s="40"/>
      <c r="C10439" s="40"/>
      <c r="D10439" s="41"/>
      <c r="E10439" s="43">
        <f>C10439</f>
        <v>0</v>
      </c>
      <c r="F10439" s="42"/>
    </row>
    <row r="10440" spans="1:6">
      <c r="A10440" s="39">
        <f>A10439</f>
        <v>46048</v>
      </c>
      <c r="B10440" s="40"/>
      <c r="C10440" s="40"/>
      <c r="D10440" s="41"/>
      <c r="E10440" s="43">
        <f>C10440</f>
        <v>0</v>
      </c>
      <c r="F10440" s="42"/>
    </row>
    <row r="10441" spans="1:6">
      <c r="A10441" s="39">
        <f>A10440</f>
        <v>46048</v>
      </c>
      <c r="B10441" s="40"/>
      <c r="C10441" s="40"/>
      <c r="D10441" s="41"/>
      <c r="E10441" s="43">
        <f>C10441</f>
        <v>0</v>
      </c>
      <c r="F10441" s="42"/>
    </row>
    <row r="10442" spans="1:6">
      <c r="A10442" s="39">
        <f>A10441</f>
        <v>46048</v>
      </c>
      <c r="B10442" s="40"/>
      <c r="C10442" s="40"/>
      <c r="D10442" s="41"/>
      <c r="E10442" s="43">
        <f>C10442</f>
        <v>0</v>
      </c>
      <c r="F10442" s="42"/>
    </row>
    <row r="10443" spans="1:6">
      <c r="A10443" s="39">
        <f>A10442</f>
        <v>46048</v>
      </c>
      <c r="B10443" s="40"/>
      <c r="C10443" s="40"/>
      <c r="D10443" s="41"/>
      <c r="E10443" s="43">
        <f>C10443</f>
        <v>0</v>
      </c>
      <c r="F10443" s="42"/>
    </row>
    <row r="10444" spans="1:6">
      <c r="A10444" s="39">
        <f>A10443</f>
        <v>46048</v>
      </c>
      <c r="B10444" s="40"/>
      <c r="C10444" s="40"/>
      <c r="D10444" s="41"/>
      <c r="E10444" s="43">
        <f>C10444</f>
        <v>0</v>
      </c>
      <c r="F10444" s="42"/>
    </row>
    <row r="10445" spans="1:6">
      <c r="A10445" s="39">
        <f>A10444</f>
        <v>46048</v>
      </c>
      <c r="B10445" s="40"/>
      <c r="C10445" s="40"/>
      <c r="D10445" s="41"/>
      <c r="E10445" s="43">
        <f>C10445</f>
        <v>0</v>
      </c>
      <c r="F10445" s="42"/>
    </row>
    <row r="10446" spans="1:6">
      <c r="A10446" s="39">
        <f>A10445</f>
        <v>46048</v>
      </c>
      <c r="B10446" s="40"/>
      <c r="C10446" s="40"/>
      <c r="D10446" s="41"/>
      <c r="E10446" s="43">
        <f>C10446</f>
        <v>0</v>
      </c>
      <c r="F10446" s="42"/>
    </row>
    <row r="10447" spans="1:6">
      <c r="A10447" s="39">
        <f>A10446</f>
        <v>46048</v>
      </c>
      <c r="B10447" s="40"/>
      <c r="C10447" s="40"/>
      <c r="D10447" s="41"/>
      <c r="E10447" s="43">
        <f>C10447</f>
        <v>0</v>
      </c>
      <c r="F10447" s="42"/>
    </row>
    <row r="10448" spans="1:6">
      <c r="A10448" s="39">
        <f>A10447</f>
        <v>46048</v>
      </c>
      <c r="B10448" s="40"/>
      <c r="C10448" s="40"/>
      <c r="D10448" s="41"/>
      <c r="E10448" s="43">
        <f>C10448</f>
        <v>0</v>
      </c>
      <c r="F10448" s="42"/>
    </row>
    <row r="10449" spans="1:6">
      <c r="A10449" s="39">
        <f>A10448</f>
        <v>46048</v>
      </c>
      <c r="B10449" s="40"/>
      <c r="C10449" s="40"/>
      <c r="D10449" s="41"/>
      <c r="E10449" s="43">
        <f>C10449</f>
        <v>0</v>
      </c>
      <c r="F10449" s="42"/>
    </row>
    <row r="10450" spans="1:6">
      <c r="A10450" s="39">
        <f>A10449</f>
        <v>46048</v>
      </c>
      <c r="B10450" s="40"/>
      <c r="C10450" s="40"/>
      <c r="D10450" s="41"/>
      <c r="E10450" s="43">
        <f>C10450</f>
        <v>0</v>
      </c>
      <c r="F10450" s="42"/>
    </row>
    <row r="10451" spans="1:6">
      <c r="A10451" s="39">
        <f>A10450</f>
        <v>46048</v>
      </c>
      <c r="B10451" s="40"/>
      <c r="C10451" s="40"/>
      <c r="D10451" s="41"/>
      <c r="E10451" s="43">
        <f>C10451</f>
        <v>0</v>
      </c>
      <c r="F10451" s="42"/>
    </row>
    <row r="10452" spans="1:6">
      <c r="A10452" s="39">
        <f>A10451</f>
        <v>46048</v>
      </c>
      <c r="B10452" s="40"/>
      <c r="C10452" s="40"/>
      <c r="D10452" s="41"/>
      <c r="E10452" s="43">
        <f>C10452</f>
        <v>0</v>
      </c>
      <c r="F10452" s="42"/>
    </row>
    <row r="10453" spans="1:6">
      <c r="A10453" s="39">
        <f>A10452</f>
        <v>46048</v>
      </c>
      <c r="B10453" s="40"/>
      <c r="C10453" s="40"/>
      <c r="D10453" s="41"/>
      <c r="E10453" s="43">
        <f>C10453</f>
        <v>0</v>
      </c>
      <c r="F10453" s="42"/>
    </row>
    <row r="10454" spans="1:6">
      <c r="A10454" s="39">
        <f>A10453</f>
        <v>46048</v>
      </c>
      <c r="B10454" s="40"/>
      <c r="C10454" s="40"/>
      <c r="D10454" s="41"/>
      <c r="E10454" s="43">
        <f>C10454</f>
        <v>0</v>
      </c>
      <c r="F10454" s="42"/>
    </row>
    <row r="10455" spans="1:6">
      <c r="A10455" s="39">
        <f>A10454</f>
        <v>46048</v>
      </c>
      <c r="B10455" s="40"/>
      <c r="C10455" s="40"/>
      <c r="D10455" s="41"/>
      <c r="E10455" s="43">
        <f>C10455</f>
        <v>0</v>
      </c>
      <c r="F10455" s="42"/>
    </row>
    <row r="10456" spans="1:6">
      <c r="A10456" s="39">
        <f>A10455</f>
        <v>46048</v>
      </c>
      <c r="B10456" s="40"/>
      <c r="C10456" s="40"/>
      <c r="D10456" s="41"/>
      <c r="E10456" s="43">
        <f>C10456</f>
        <v>0</v>
      </c>
      <c r="F10456" s="42"/>
    </row>
    <row r="10457" spans="1:6">
      <c r="A10457" s="39">
        <f>A10456</f>
        <v>46048</v>
      </c>
      <c r="B10457" s="40"/>
      <c r="C10457" s="40"/>
      <c r="D10457" s="41"/>
      <c r="E10457" s="43">
        <f>C10457</f>
        <v>0</v>
      </c>
      <c r="F10457" s="42"/>
    </row>
    <row r="10458" spans="1:6">
      <c r="A10458" s="39">
        <f>A10457</f>
        <v>46048</v>
      </c>
      <c r="B10458" s="40"/>
      <c r="C10458" s="40"/>
      <c r="D10458" s="41"/>
      <c r="E10458" s="43">
        <f>C10458</f>
        <v>0</v>
      </c>
      <c r="F10458" s="42"/>
    </row>
    <row r="10459" spans="1:6">
      <c r="A10459" s="39">
        <f>A10458</f>
        <v>46048</v>
      </c>
      <c r="B10459" s="40"/>
      <c r="C10459" s="40"/>
      <c r="D10459" s="41"/>
      <c r="E10459" s="43">
        <f>C10459</f>
        <v>0</v>
      </c>
      <c r="F10459" s="42"/>
    </row>
    <row r="10460" spans="1:6">
      <c r="A10460" s="39">
        <f>A10459</f>
        <v>46048</v>
      </c>
      <c r="B10460" s="40"/>
      <c r="C10460" s="40"/>
      <c r="D10460" s="41"/>
      <c r="E10460" s="43">
        <f>C10460</f>
        <v>0</v>
      </c>
      <c r="F10460" s="42"/>
    </row>
    <row r="10461" spans="1:6">
      <c r="A10461" s="39">
        <f>A10460</f>
        <v>46048</v>
      </c>
      <c r="B10461" s="40"/>
      <c r="C10461" s="40"/>
      <c r="D10461" s="41"/>
      <c r="E10461" s="43">
        <f>C10461</f>
        <v>0</v>
      </c>
      <c r="F10461" s="42"/>
    </row>
    <row r="10462" spans="1:6">
      <c r="A10462" s="39">
        <f>A10461</f>
        <v>46048</v>
      </c>
      <c r="B10462" s="40"/>
      <c r="C10462" s="40"/>
      <c r="D10462" s="41"/>
      <c r="E10462" s="43">
        <f>C10462</f>
        <v>0</v>
      </c>
      <c r="F10462" s="42"/>
    </row>
    <row r="10463" spans="1:6">
      <c r="A10463" s="39">
        <f>A10462</f>
        <v>46048</v>
      </c>
      <c r="B10463" s="40"/>
      <c r="C10463" s="40"/>
      <c r="D10463" s="41"/>
      <c r="E10463" s="43">
        <f>C10463</f>
        <v>0</v>
      </c>
      <c r="F10463" s="42"/>
    </row>
    <row r="10464" spans="1:6">
      <c r="A10464" s="39">
        <f>A10463</f>
        <v>46048</v>
      </c>
      <c r="B10464" s="40"/>
      <c r="C10464" s="40"/>
      <c r="D10464" s="41"/>
      <c r="E10464" s="43">
        <f>C10464</f>
        <v>0</v>
      </c>
      <c r="F10464" s="42"/>
    </row>
    <row r="10465" spans="1:6">
      <c r="A10465" s="39">
        <f>A10464</f>
        <v>46048</v>
      </c>
      <c r="B10465" s="40"/>
      <c r="C10465" s="40"/>
      <c r="D10465" s="41"/>
      <c r="E10465" s="43">
        <f>C10465</f>
        <v>0</v>
      </c>
      <c r="F10465" s="42"/>
    </row>
    <row r="10466" spans="1:6">
      <c r="A10466" s="39">
        <f>A10465</f>
        <v>46048</v>
      </c>
      <c r="B10466" s="40"/>
      <c r="C10466" s="40"/>
      <c r="D10466" s="41"/>
      <c r="E10466" s="43">
        <f>C10466</f>
        <v>0</v>
      </c>
      <c r="F10466" s="42"/>
    </row>
    <row r="10467" spans="1:6">
      <c r="A10467" s="39">
        <f>A10466</f>
        <v>46048</v>
      </c>
      <c r="B10467" s="40"/>
      <c r="C10467" s="40"/>
      <c r="D10467" s="41"/>
      <c r="E10467" s="43">
        <f>C10467</f>
        <v>0</v>
      </c>
      <c r="F10467" s="42"/>
    </row>
    <row r="10468" spans="1:6">
      <c r="A10468" s="39">
        <f>A10467</f>
        <v>46048</v>
      </c>
      <c r="B10468" s="40"/>
      <c r="C10468" s="40"/>
      <c r="D10468" s="41"/>
      <c r="E10468" s="43">
        <f>C10468</f>
        <v>0</v>
      </c>
      <c r="F10468" s="42"/>
    </row>
    <row r="10469" spans="1:6">
      <c r="A10469" s="39">
        <f>A10468</f>
        <v>46048</v>
      </c>
      <c r="B10469" s="40"/>
      <c r="C10469" s="40"/>
      <c r="D10469" s="41"/>
      <c r="E10469" s="43">
        <f>C10469</f>
        <v>0</v>
      </c>
      <c r="F10469" s="42"/>
    </row>
    <row r="10470" spans="1:6">
      <c r="A10470" s="39">
        <f>A10469</f>
        <v>46048</v>
      </c>
      <c r="B10470" s="40"/>
      <c r="C10470" s="40"/>
      <c r="D10470" s="41"/>
      <c r="E10470" s="43">
        <f>C10470</f>
        <v>0</v>
      </c>
      <c r="F10470" s="42"/>
    </row>
    <row r="10471" spans="1:6">
      <c r="A10471" s="39">
        <f>A10470</f>
        <v>46048</v>
      </c>
      <c r="B10471" s="40"/>
      <c r="C10471" s="40"/>
      <c r="D10471" s="41"/>
      <c r="E10471" s="43">
        <f>C10471</f>
        <v>0</v>
      </c>
      <c r="F10471" s="42"/>
    </row>
    <row r="10472" spans="1:6">
      <c r="A10472" s="39">
        <f>A10471</f>
        <v>46048</v>
      </c>
      <c r="B10472" s="40"/>
      <c r="C10472" s="40"/>
      <c r="D10472" s="41"/>
      <c r="E10472" s="43">
        <f>C10472</f>
        <v>0</v>
      </c>
      <c r="F10472" s="42"/>
    </row>
    <row r="10473" spans="1:6">
      <c r="A10473" s="39">
        <f>A10472</f>
        <v>46048</v>
      </c>
      <c r="B10473" s="40"/>
      <c r="C10473" s="40"/>
      <c r="D10473" s="41"/>
      <c r="E10473" s="43">
        <f>C10473</f>
        <v>0</v>
      </c>
      <c r="F10473" s="42"/>
    </row>
    <row r="10474" spans="1:6">
      <c r="A10474" s="39">
        <f>A10473</f>
        <v>46048</v>
      </c>
      <c r="B10474" s="40"/>
      <c r="C10474" s="40"/>
      <c r="D10474" s="41"/>
      <c r="E10474" s="43">
        <f>C10474</f>
        <v>0</v>
      </c>
      <c r="F10474" s="42"/>
    </row>
    <row r="10475" spans="1:6">
      <c r="A10475" s="39">
        <f>A10474</f>
        <v>46048</v>
      </c>
      <c r="B10475" s="40"/>
      <c r="C10475" s="40"/>
      <c r="D10475" s="41"/>
      <c r="E10475" s="43">
        <f>C10475</f>
        <v>0</v>
      </c>
      <c r="F10475" s="42"/>
    </row>
    <row r="10476" spans="1:6">
      <c r="A10476" s="39">
        <f>A10475</f>
        <v>46048</v>
      </c>
      <c r="B10476" s="40"/>
      <c r="C10476" s="40"/>
      <c r="D10476" s="41"/>
      <c r="E10476" s="43">
        <f>C10476</f>
        <v>0</v>
      </c>
      <c r="F10476" s="42"/>
    </row>
    <row r="10477" spans="1:6">
      <c r="A10477" s="39">
        <f>A10476</f>
        <v>46048</v>
      </c>
      <c r="B10477" s="40"/>
      <c r="C10477" s="40"/>
      <c r="D10477" s="41"/>
      <c r="E10477" s="43">
        <f>C10477</f>
        <v>0</v>
      </c>
      <c r="F10477" s="42"/>
    </row>
    <row r="10478" spans="1:6">
      <c r="A10478" s="39">
        <f>A10477</f>
        <v>46048</v>
      </c>
      <c r="B10478" s="40"/>
      <c r="C10478" s="40"/>
      <c r="D10478" s="41"/>
      <c r="E10478" s="43">
        <f>C10478</f>
        <v>0</v>
      </c>
      <c r="F10478" s="42"/>
    </row>
    <row r="10479" spans="1:6">
      <c r="A10479" s="39">
        <f>A10478</f>
        <v>46048</v>
      </c>
      <c r="B10479" s="40"/>
      <c r="C10479" s="40"/>
      <c r="D10479" s="41"/>
      <c r="E10479" s="43">
        <f>C10479</f>
        <v>0</v>
      </c>
      <c r="F10479" s="42"/>
    </row>
    <row r="10480" spans="1:6">
      <c r="A10480" s="39">
        <f>A10479</f>
        <v>46048</v>
      </c>
      <c r="B10480" s="40"/>
      <c r="C10480" s="40"/>
      <c r="D10480" s="41"/>
      <c r="E10480" s="43">
        <f>C10480</f>
        <v>0</v>
      </c>
      <c r="F10480" s="42"/>
    </row>
    <row r="10481" spans="1:6">
      <c r="A10481" s="39">
        <f>A10480</f>
        <v>46048</v>
      </c>
      <c r="B10481" s="40"/>
      <c r="C10481" s="40"/>
      <c r="D10481" s="41"/>
      <c r="E10481" s="43">
        <f>C10481</f>
        <v>0</v>
      </c>
      <c r="F10481" s="42"/>
    </row>
    <row r="10482" spans="1:6">
      <c r="A10482" s="39">
        <f>A10481</f>
        <v>46048</v>
      </c>
      <c r="B10482" s="40"/>
      <c r="C10482" s="40"/>
      <c r="D10482" s="41"/>
      <c r="E10482" s="43">
        <f>C10482</f>
        <v>0</v>
      </c>
      <c r="F10482" s="42"/>
    </row>
    <row r="10483" spans="1:6">
      <c r="A10483" s="39">
        <f>A10482</f>
        <v>46048</v>
      </c>
      <c r="B10483" s="40"/>
      <c r="C10483" s="40"/>
      <c r="D10483" s="41"/>
      <c r="E10483" s="43">
        <f>C10483</f>
        <v>0</v>
      </c>
      <c r="F10483" s="42"/>
    </row>
    <row r="10484" spans="1:6">
      <c r="A10484" s="39">
        <f>A10483</f>
        <v>46048</v>
      </c>
      <c r="B10484" s="40"/>
      <c r="C10484" s="40"/>
      <c r="D10484" s="41"/>
      <c r="E10484" s="43">
        <f>C10484</f>
        <v>0</v>
      </c>
      <c r="F10484" s="42"/>
    </row>
    <row r="10485" spans="1:6">
      <c r="A10485" s="39">
        <f>A10484</f>
        <v>46048</v>
      </c>
      <c r="B10485" s="40"/>
      <c r="C10485" s="40"/>
      <c r="D10485" s="41"/>
      <c r="E10485" s="43">
        <f>C10485</f>
        <v>0</v>
      </c>
      <c r="F10485" s="42"/>
    </row>
    <row r="10486" spans="1:6">
      <c r="A10486" s="39">
        <f>A10485</f>
        <v>46048</v>
      </c>
      <c r="B10486" s="40"/>
      <c r="C10486" s="40"/>
      <c r="D10486" s="41"/>
      <c r="E10486" s="43">
        <f>C10486</f>
        <v>0</v>
      </c>
      <c r="F10486" s="42"/>
    </row>
    <row r="10487" spans="1:6">
      <c r="A10487" s="39">
        <f>A10486</f>
        <v>46048</v>
      </c>
      <c r="B10487" s="40"/>
      <c r="C10487" s="40"/>
      <c r="D10487" s="41"/>
      <c r="E10487" s="43">
        <f>C10487</f>
        <v>0</v>
      </c>
      <c r="F10487" s="42"/>
    </row>
    <row r="10488" spans="1:6">
      <c r="A10488" s="39">
        <f>A10487</f>
        <v>46048</v>
      </c>
      <c r="B10488" s="40"/>
      <c r="C10488" s="40"/>
      <c r="D10488" s="41"/>
      <c r="E10488" s="43">
        <f>C10488</f>
        <v>0</v>
      </c>
      <c r="F10488" s="42"/>
    </row>
    <row r="10489" spans="1:6">
      <c r="A10489" s="39">
        <f>A10488</f>
        <v>46048</v>
      </c>
      <c r="B10489" s="40"/>
      <c r="C10489" s="40"/>
      <c r="D10489" s="41"/>
      <c r="E10489" s="43">
        <f>C10489</f>
        <v>0</v>
      </c>
      <c r="F10489" s="42"/>
    </row>
    <row r="10490" spans="1:6">
      <c r="A10490" s="39">
        <f>A10489</f>
        <v>46048</v>
      </c>
      <c r="B10490" s="40"/>
      <c r="C10490" s="40"/>
      <c r="D10490" s="41"/>
      <c r="E10490" s="43">
        <f>C10490</f>
        <v>0</v>
      </c>
      <c r="F10490" s="42"/>
    </row>
    <row r="10491" spans="1:6">
      <c r="A10491" s="39">
        <f>A10490</f>
        <v>46048</v>
      </c>
      <c r="B10491" s="40"/>
      <c r="C10491" s="40"/>
      <c r="D10491" s="41"/>
      <c r="E10491" s="43">
        <f>C10491</f>
        <v>0</v>
      </c>
      <c r="F10491" s="42"/>
    </row>
    <row r="10492" spans="1:6">
      <c r="A10492" s="39">
        <f>A10491</f>
        <v>46048</v>
      </c>
      <c r="B10492" s="40"/>
      <c r="C10492" s="40"/>
      <c r="D10492" s="41"/>
      <c r="E10492" s="43">
        <f>C10492</f>
        <v>0</v>
      </c>
      <c r="F10492" s="42"/>
    </row>
    <row r="10493" spans="1:6">
      <c r="A10493" s="39">
        <f>A10492</f>
        <v>46048</v>
      </c>
      <c r="B10493" s="40"/>
      <c r="C10493" s="40"/>
      <c r="D10493" s="41"/>
      <c r="E10493" s="43">
        <f>C10493</f>
        <v>0</v>
      </c>
      <c r="F10493" s="42"/>
    </row>
    <row r="10494" spans="1:6">
      <c r="A10494" s="39">
        <f>A10493</f>
        <v>46048</v>
      </c>
      <c r="B10494" s="40"/>
      <c r="C10494" s="40"/>
      <c r="D10494" s="41"/>
      <c r="E10494" s="43">
        <f>C10494</f>
        <v>0</v>
      </c>
      <c r="F10494" s="42"/>
    </row>
    <row r="10495" spans="1:6">
      <c r="A10495" s="39">
        <f>A10494</f>
        <v>46048</v>
      </c>
      <c r="B10495" s="40"/>
      <c r="C10495" s="40"/>
      <c r="D10495" s="41"/>
      <c r="E10495" s="43">
        <f>C10495</f>
        <v>0</v>
      </c>
      <c r="F10495" s="42"/>
    </row>
    <row r="10496" spans="1:6">
      <c r="A10496" s="39">
        <f>A10495</f>
        <v>46048</v>
      </c>
      <c r="B10496" s="40"/>
      <c r="C10496" s="40"/>
      <c r="D10496" s="41"/>
      <c r="E10496" s="43">
        <f>C10496</f>
        <v>0</v>
      </c>
      <c r="F10496" s="42"/>
    </row>
    <row r="10497" spans="1:6">
      <c r="A10497" s="39">
        <f>A10496</f>
        <v>46048</v>
      </c>
      <c r="B10497" s="40"/>
      <c r="C10497" s="40"/>
      <c r="D10497" s="41"/>
      <c r="E10497" s="43">
        <f>C10497</f>
        <v>0</v>
      </c>
      <c r="F10497" s="42"/>
    </row>
    <row r="10498" spans="1:6">
      <c r="A10498" s="39">
        <f>A10497</f>
        <v>46048</v>
      </c>
      <c r="B10498" s="40"/>
      <c r="C10498" s="40"/>
      <c r="D10498" s="41"/>
      <c r="E10498" s="43">
        <f>C10498</f>
        <v>0</v>
      </c>
      <c r="F10498" s="42"/>
    </row>
    <row r="10499" spans="1:6">
      <c r="A10499" s="39">
        <f>A10498</f>
        <v>46048</v>
      </c>
      <c r="B10499" s="40"/>
      <c r="C10499" s="40"/>
      <c r="D10499" s="41"/>
      <c r="E10499" s="43">
        <f>C10499</f>
        <v>0</v>
      </c>
      <c r="F10499" s="42"/>
    </row>
    <row r="10500" spans="1:6">
      <c r="A10500" s="39">
        <f>A10499</f>
        <v>46048</v>
      </c>
      <c r="B10500" s="40"/>
      <c r="C10500" s="40"/>
      <c r="D10500" s="41"/>
      <c r="E10500" s="43">
        <f>C10500</f>
        <v>0</v>
      </c>
      <c r="F10500" s="42"/>
    </row>
    <row r="10501" spans="1:6">
      <c r="A10501" s="39">
        <f>A10500</f>
        <v>46048</v>
      </c>
      <c r="B10501" s="40"/>
      <c r="C10501" s="40"/>
      <c r="D10501" s="41"/>
      <c r="E10501" s="43">
        <f>C10501</f>
        <v>0</v>
      </c>
      <c r="F10501" s="42"/>
    </row>
    <row r="10502" spans="1:6">
      <c r="A10502" s="39">
        <f>A10501</f>
        <v>46048</v>
      </c>
      <c r="B10502" s="40"/>
      <c r="C10502" s="40"/>
      <c r="D10502" s="41"/>
      <c r="E10502" s="43">
        <f>C10502</f>
        <v>0</v>
      </c>
      <c r="F10502" s="42"/>
    </row>
    <row r="10503" spans="1:6">
      <c r="A10503" s="39">
        <f>A10502</f>
        <v>46048</v>
      </c>
      <c r="B10503" s="40"/>
      <c r="C10503" s="40"/>
      <c r="D10503" s="41"/>
      <c r="E10503" s="43">
        <f>C10503</f>
        <v>0</v>
      </c>
      <c r="F10503" s="42"/>
    </row>
    <row r="10504" spans="1:6">
      <c r="A10504" s="39">
        <f>A10503</f>
        <v>46048</v>
      </c>
      <c r="B10504" s="40"/>
      <c r="C10504" s="40"/>
      <c r="D10504" s="41"/>
      <c r="E10504" s="43">
        <f>C10504</f>
        <v>0</v>
      </c>
      <c r="F10504" s="42"/>
    </row>
    <row r="10505" spans="1:6">
      <c r="A10505" s="39">
        <f>A10504</f>
        <v>46048</v>
      </c>
      <c r="B10505" s="40"/>
      <c r="C10505" s="40"/>
      <c r="D10505" s="41"/>
      <c r="E10505" s="43">
        <f>C10505</f>
        <v>0</v>
      </c>
      <c r="F10505" s="42"/>
    </row>
    <row r="10506" spans="1:6">
      <c r="A10506" s="39">
        <f>A10505</f>
        <v>46048</v>
      </c>
      <c r="B10506" s="40"/>
      <c r="C10506" s="40"/>
      <c r="D10506" s="41"/>
      <c r="E10506" s="43">
        <f>C10506</f>
        <v>0</v>
      </c>
      <c r="F10506" s="42"/>
    </row>
    <row r="10507" spans="1:6">
      <c r="A10507" s="39">
        <f>A10506</f>
        <v>46048</v>
      </c>
      <c r="B10507" s="40"/>
      <c r="C10507" s="40"/>
      <c r="D10507" s="41"/>
      <c r="E10507" s="43">
        <f>C10507</f>
        <v>0</v>
      </c>
      <c r="F10507" s="42"/>
    </row>
    <row r="10508" spans="1:6">
      <c r="A10508" s="39">
        <f>A10507</f>
        <v>46048</v>
      </c>
      <c r="B10508" s="40"/>
      <c r="C10508" s="40"/>
      <c r="D10508" s="41"/>
      <c r="E10508" s="43">
        <f>C10508</f>
        <v>0</v>
      </c>
      <c r="F10508" s="42"/>
    </row>
    <row r="10509" spans="1:6">
      <c r="A10509" s="39">
        <f>A10508</f>
        <v>46048</v>
      </c>
      <c r="B10509" s="40"/>
      <c r="C10509" s="40"/>
      <c r="D10509" s="41"/>
      <c r="E10509" s="43">
        <f>C10509</f>
        <v>0</v>
      </c>
      <c r="F10509" s="42"/>
    </row>
    <row r="10510" spans="1:6">
      <c r="A10510" s="39">
        <f>A10509</f>
        <v>46048</v>
      </c>
      <c r="B10510" s="40"/>
      <c r="C10510" s="40"/>
      <c r="D10510" s="41"/>
      <c r="E10510" s="43">
        <f>C10510</f>
        <v>0</v>
      </c>
      <c r="F10510" s="42"/>
    </row>
    <row r="10511" spans="1:6">
      <c r="A10511" s="39">
        <f>A10510</f>
        <v>46048</v>
      </c>
      <c r="B10511" s="40"/>
      <c r="C10511" s="40"/>
      <c r="D10511" s="41"/>
      <c r="E10511" s="43">
        <f>C10511</f>
        <v>0</v>
      </c>
      <c r="F10511" s="42"/>
    </row>
    <row r="10512" spans="1:6">
      <c r="A10512" s="39">
        <f>A10511</f>
        <v>46048</v>
      </c>
      <c r="B10512" s="40"/>
      <c r="C10512" s="40"/>
      <c r="D10512" s="41"/>
      <c r="E10512" s="43">
        <f>C10512</f>
        <v>0</v>
      </c>
      <c r="F10512" s="42"/>
    </row>
    <row r="10513" spans="1:6">
      <c r="A10513" s="39">
        <f>A10512</f>
        <v>46048</v>
      </c>
      <c r="B10513" s="40"/>
      <c r="C10513" s="40"/>
      <c r="D10513" s="41"/>
      <c r="E10513" s="43">
        <f>C10513</f>
        <v>0</v>
      </c>
      <c r="F10513" s="42"/>
    </row>
    <row r="10514" spans="1:6">
      <c r="A10514" s="39">
        <f>A10513</f>
        <v>46048</v>
      </c>
      <c r="B10514" s="40"/>
      <c r="C10514" s="40"/>
      <c r="D10514" s="41"/>
      <c r="E10514" s="43">
        <f>C10514</f>
        <v>0</v>
      </c>
      <c r="F10514" s="42"/>
    </row>
    <row r="10515" spans="1:6">
      <c r="A10515" s="39">
        <f>A10514</f>
        <v>46048</v>
      </c>
      <c r="B10515" s="40"/>
      <c r="C10515" s="40"/>
      <c r="D10515" s="41"/>
      <c r="E10515" s="43">
        <f>C10515</f>
        <v>0</v>
      </c>
      <c r="F10515" s="42"/>
    </row>
    <row r="10516" spans="1:6">
      <c r="A10516" s="39">
        <f>A10515</f>
        <v>46048</v>
      </c>
      <c r="B10516" s="40"/>
      <c r="C10516" s="40"/>
      <c r="D10516" s="41"/>
      <c r="E10516" s="43">
        <f>C10516</f>
        <v>0</v>
      </c>
      <c r="F10516" s="42"/>
    </row>
    <row r="10517" spans="1:6">
      <c r="A10517" s="39">
        <f>A10516</f>
        <v>46048</v>
      </c>
      <c r="B10517" s="40"/>
      <c r="C10517" s="40"/>
      <c r="D10517" s="41"/>
      <c r="E10517" s="43">
        <f>C10517</f>
        <v>0</v>
      </c>
      <c r="F10517" s="42"/>
    </row>
    <row r="10518" spans="1:6">
      <c r="A10518" s="39">
        <f>A10517</f>
        <v>46048</v>
      </c>
      <c r="B10518" s="40"/>
      <c r="C10518" s="40"/>
      <c r="D10518" s="41"/>
      <c r="E10518" s="43">
        <f>C10518</f>
        <v>0</v>
      </c>
      <c r="F10518" s="42"/>
    </row>
    <row r="10519" spans="1:6">
      <c r="A10519" s="39">
        <f>A10518</f>
        <v>46048</v>
      </c>
      <c r="B10519" s="40"/>
      <c r="C10519" s="40"/>
      <c r="D10519" s="41"/>
      <c r="E10519" s="43">
        <f>C10519</f>
        <v>0</v>
      </c>
      <c r="F10519" s="42"/>
    </row>
    <row r="10520" spans="1:6">
      <c r="A10520" s="39">
        <f>A10519</f>
        <v>46048</v>
      </c>
      <c r="B10520" s="40"/>
      <c r="C10520" s="40"/>
      <c r="D10520" s="41"/>
      <c r="E10520" s="43">
        <f>C10520</f>
        <v>0</v>
      </c>
      <c r="F10520" s="42"/>
    </row>
    <row r="10521" spans="1:6">
      <c r="A10521" s="39">
        <f>A10520</f>
        <v>46048</v>
      </c>
      <c r="B10521" s="40"/>
      <c r="C10521" s="40"/>
      <c r="D10521" s="41"/>
      <c r="E10521" s="43">
        <f>C10521</f>
        <v>0</v>
      </c>
      <c r="F10521" s="42"/>
    </row>
    <row r="10522" spans="1:6">
      <c r="A10522" s="39">
        <f>A10521</f>
        <v>46048</v>
      </c>
      <c r="B10522" s="40"/>
      <c r="C10522" s="40"/>
      <c r="D10522" s="41"/>
      <c r="E10522" s="43">
        <f>C10522</f>
        <v>0</v>
      </c>
      <c r="F10522" s="42"/>
    </row>
    <row r="10523" spans="1:6">
      <c r="A10523" s="39">
        <f>A10522</f>
        <v>46048</v>
      </c>
      <c r="B10523" s="40"/>
      <c r="C10523" s="40"/>
      <c r="D10523" s="41"/>
      <c r="E10523" s="43">
        <f>C10523</f>
        <v>0</v>
      </c>
      <c r="F10523" s="42"/>
    </row>
    <row r="10524" spans="1:6">
      <c r="A10524" s="39">
        <f>A10523</f>
        <v>46048</v>
      </c>
      <c r="B10524" s="40"/>
      <c r="C10524" s="40"/>
      <c r="D10524" s="41"/>
      <c r="E10524" s="43">
        <f>C10524</f>
        <v>0</v>
      </c>
      <c r="F10524" s="42"/>
    </row>
    <row r="10525" spans="1:6">
      <c r="A10525" s="39">
        <f>A10524</f>
        <v>46048</v>
      </c>
      <c r="B10525" s="40"/>
      <c r="C10525" s="40"/>
      <c r="D10525" s="41"/>
      <c r="E10525" s="43">
        <f>C10525</f>
        <v>0</v>
      </c>
      <c r="F10525" s="42"/>
    </row>
    <row r="10526" spans="1:6">
      <c r="A10526" s="39">
        <f>A10525</f>
        <v>46048</v>
      </c>
      <c r="B10526" s="40"/>
      <c r="C10526" s="40"/>
      <c r="D10526" s="41"/>
      <c r="E10526" s="43">
        <f>C10526</f>
        <v>0</v>
      </c>
      <c r="F10526" s="42"/>
    </row>
    <row r="10527" spans="1:6">
      <c r="A10527" s="39">
        <f>A10526</f>
        <v>46048</v>
      </c>
      <c r="B10527" s="40"/>
      <c r="C10527" s="40"/>
      <c r="D10527" s="41"/>
      <c r="E10527" s="43">
        <f>C10527</f>
        <v>0</v>
      </c>
      <c r="F10527" s="42"/>
    </row>
    <row r="10528" spans="1:6">
      <c r="A10528" s="39">
        <f>A10527</f>
        <v>46048</v>
      </c>
      <c r="B10528" s="40"/>
      <c r="C10528" s="40"/>
      <c r="D10528" s="41"/>
      <c r="E10528" s="43">
        <f>C10528</f>
        <v>0</v>
      </c>
      <c r="F10528" s="42"/>
    </row>
    <row r="10529" spans="1:6">
      <c r="A10529" s="39">
        <f>A10528</f>
        <v>46048</v>
      </c>
      <c r="B10529" s="40"/>
      <c r="C10529" s="40"/>
      <c r="D10529" s="41"/>
      <c r="E10529" s="43">
        <f>C10529</f>
        <v>0</v>
      </c>
      <c r="F10529" s="42"/>
    </row>
    <row r="10530" spans="1:6">
      <c r="A10530" s="39">
        <f>A10529</f>
        <v>46048</v>
      </c>
      <c r="B10530" s="40"/>
      <c r="C10530" s="40"/>
      <c r="D10530" s="41"/>
      <c r="E10530" s="43">
        <f>C10530</f>
        <v>0</v>
      </c>
      <c r="F10530" s="42"/>
    </row>
    <row r="10531" spans="1:6">
      <c r="A10531" s="39">
        <f>A10530</f>
        <v>46048</v>
      </c>
      <c r="B10531" s="40"/>
      <c r="C10531" s="40"/>
      <c r="D10531" s="41"/>
      <c r="E10531" s="43">
        <f>C10531</f>
        <v>0</v>
      </c>
      <c r="F10531" s="42"/>
    </row>
    <row r="10532" spans="1:6">
      <c r="A10532" s="39">
        <f>A10531</f>
        <v>46048</v>
      </c>
      <c r="B10532" s="40"/>
      <c r="C10532" s="40"/>
      <c r="D10532" s="41"/>
      <c r="E10532" s="43">
        <f>C10532</f>
        <v>0</v>
      </c>
      <c r="F10532" s="42"/>
    </row>
    <row r="10533" spans="1:6">
      <c r="A10533" s="39">
        <f>A10532</f>
        <v>46048</v>
      </c>
      <c r="B10533" s="40"/>
      <c r="C10533" s="40"/>
      <c r="D10533" s="41"/>
      <c r="E10533" s="43">
        <f>C10533</f>
        <v>0</v>
      </c>
      <c r="F10533" s="42"/>
    </row>
    <row r="10534" spans="1:6">
      <c r="A10534" s="39">
        <f>A10533</f>
        <v>46048</v>
      </c>
      <c r="B10534" s="40"/>
      <c r="C10534" s="40"/>
      <c r="D10534" s="41"/>
      <c r="E10534" s="43">
        <f>C10534</f>
        <v>0</v>
      </c>
      <c r="F10534" s="42"/>
    </row>
    <row r="10535" spans="1:6">
      <c r="A10535" s="39">
        <f>A10534</f>
        <v>46048</v>
      </c>
      <c r="B10535" s="40"/>
      <c r="C10535" s="40"/>
      <c r="D10535" s="41"/>
      <c r="E10535" s="43">
        <f>C10535</f>
        <v>0</v>
      </c>
      <c r="F10535" s="42"/>
    </row>
    <row r="10536" spans="1:6">
      <c r="A10536" s="39">
        <f>A10535</f>
        <v>46048</v>
      </c>
      <c r="B10536" s="40"/>
      <c r="C10536" s="40"/>
      <c r="D10536" s="41"/>
      <c r="E10536" s="43">
        <f>C10536</f>
        <v>0</v>
      </c>
      <c r="F10536" s="42"/>
    </row>
    <row r="10537" spans="1:6">
      <c r="A10537" s="39">
        <f>A10536</f>
        <v>46048</v>
      </c>
      <c r="B10537" s="40"/>
      <c r="C10537" s="40"/>
      <c r="D10537" s="41"/>
      <c r="E10537" s="43">
        <f>C10537</f>
        <v>0</v>
      </c>
      <c r="F10537" s="42"/>
    </row>
    <row r="10538" spans="1:6">
      <c r="A10538" s="39">
        <f>A10537</f>
        <v>46048</v>
      </c>
      <c r="B10538" s="40"/>
      <c r="C10538" s="40"/>
      <c r="D10538" s="41"/>
      <c r="E10538" s="43">
        <f>C10538</f>
        <v>0</v>
      </c>
      <c r="F10538" s="42"/>
    </row>
    <row r="10539" spans="1:6">
      <c r="A10539" s="39">
        <f>A10538</f>
        <v>46048</v>
      </c>
      <c r="B10539" s="40"/>
      <c r="C10539" s="40"/>
      <c r="D10539" s="41"/>
      <c r="E10539" s="43">
        <f>C10539</f>
        <v>0</v>
      </c>
      <c r="F10539" s="42"/>
    </row>
    <row r="10540" spans="1:6">
      <c r="A10540" s="39">
        <f>A10539</f>
        <v>46048</v>
      </c>
      <c r="B10540" s="40"/>
      <c r="C10540" s="40"/>
      <c r="D10540" s="41"/>
      <c r="E10540" s="43">
        <f>C10540</f>
        <v>0</v>
      </c>
      <c r="F10540" s="42"/>
    </row>
    <row r="10541" spans="1:6">
      <c r="A10541" s="39">
        <f>A10540</f>
        <v>46048</v>
      </c>
      <c r="B10541" s="40"/>
      <c r="C10541" s="40"/>
      <c r="D10541" s="41"/>
      <c r="E10541" s="43">
        <f>C10541</f>
        <v>0</v>
      </c>
      <c r="F10541" s="42"/>
    </row>
    <row r="10542" spans="1:6">
      <c r="A10542" s="39">
        <f>A10541</f>
        <v>46048</v>
      </c>
      <c r="B10542" s="40"/>
      <c r="C10542" s="40"/>
      <c r="D10542" s="41"/>
      <c r="E10542" s="43">
        <f>C10542</f>
        <v>0</v>
      </c>
      <c r="F10542" s="42"/>
    </row>
    <row r="10543" spans="1:6">
      <c r="A10543" s="39">
        <f>A10542</f>
        <v>46048</v>
      </c>
      <c r="B10543" s="40"/>
      <c r="C10543" s="40"/>
      <c r="D10543" s="41"/>
      <c r="E10543" s="43">
        <f>C10543</f>
        <v>0</v>
      </c>
      <c r="F10543" s="42"/>
    </row>
    <row r="10544" spans="1:6">
      <c r="A10544" s="39">
        <f>A10543</f>
        <v>46048</v>
      </c>
      <c r="B10544" s="40"/>
      <c r="C10544" s="40"/>
      <c r="D10544" s="41"/>
      <c r="E10544" s="43">
        <f>C10544</f>
        <v>0</v>
      </c>
      <c r="F10544" s="42"/>
    </row>
    <row r="10545" spans="1:6">
      <c r="A10545" s="39">
        <f>A10544</f>
        <v>46048</v>
      </c>
      <c r="B10545" s="40"/>
      <c r="C10545" s="40"/>
      <c r="D10545" s="41"/>
      <c r="E10545" s="43">
        <f>C10545</f>
        <v>0</v>
      </c>
      <c r="F10545" s="42"/>
    </row>
    <row r="10546" spans="1:6">
      <c r="A10546" s="39">
        <f>A10545</f>
        <v>46048</v>
      </c>
      <c r="B10546" s="40"/>
      <c r="C10546" s="40"/>
      <c r="D10546" s="41"/>
      <c r="E10546" s="43">
        <f>C10546</f>
        <v>0</v>
      </c>
      <c r="F10546" s="42"/>
    </row>
    <row r="10547" spans="1:6">
      <c r="A10547" s="39">
        <f>A10546</f>
        <v>46048</v>
      </c>
      <c r="B10547" s="40"/>
      <c r="C10547" s="40"/>
      <c r="D10547" s="41"/>
      <c r="E10547" s="43">
        <f>C10547</f>
        <v>0</v>
      </c>
      <c r="F10547" s="42"/>
    </row>
    <row r="10548" spans="1:6">
      <c r="A10548" s="39">
        <f>A10547</f>
        <v>46048</v>
      </c>
      <c r="B10548" s="40"/>
      <c r="C10548" s="40"/>
      <c r="D10548" s="41"/>
      <c r="E10548" s="43">
        <f>C10548</f>
        <v>0</v>
      </c>
      <c r="F10548" s="42"/>
    </row>
    <row r="10549" spans="1:6">
      <c r="A10549" s="39">
        <f>A10548</f>
        <v>46048</v>
      </c>
      <c r="B10549" s="40"/>
      <c r="C10549" s="40"/>
      <c r="D10549" s="41"/>
      <c r="E10549" s="43">
        <f>C10549</f>
        <v>0</v>
      </c>
      <c r="F10549" s="42"/>
    </row>
    <row r="10550" spans="1:6">
      <c r="A10550" s="39">
        <f>A10549</f>
        <v>46048</v>
      </c>
      <c r="B10550" s="40"/>
      <c r="C10550" s="40"/>
      <c r="D10550" s="41"/>
      <c r="E10550" s="43">
        <f>C10550</f>
        <v>0</v>
      </c>
      <c r="F10550" s="42"/>
    </row>
    <row r="10551" spans="1:6">
      <c r="A10551" s="39">
        <f>A10550</f>
        <v>46048</v>
      </c>
      <c r="B10551" s="40"/>
      <c r="C10551" s="40"/>
      <c r="D10551" s="41"/>
      <c r="E10551" s="43">
        <f>C10551</f>
        <v>0</v>
      </c>
      <c r="F10551" s="42"/>
    </row>
    <row r="10552" spans="1:6">
      <c r="A10552" s="39">
        <f>A10551</f>
        <v>46048</v>
      </c>
      <c r="B10552" s="40"/>
      <c r="C10552" s="40"/>
      <c r="D10552" s="41"/>
      <c r="E10552" s="43">
        <f>C10552</f>
        <v>0</v>
      </c>
      <c r="F10552" s="42"/>
    </row>
    <row r="10553" spans="1:6">
      <c r="A10553" s="39">
        <f>A10552</f>
        <v>46048</v>
      </c>
      <c r="B10553" s="40"/>
      <c r="C10553" s="40"/>
      <c r="D10553" s="41"/>
      <c r="E10553" s="43">
        <f>C10553</f>
        <v>0</v>
      </c>
      <c r="F10553" s="42"/>
    </row>
    <row r="10554" spans="1:6">
      <c r="A10554" s="39">
        <f>A10553</f>
        <v>46048</v>
      </c>
      <c r="B10554" s="40"/>
      <c r="C10554" s="40"/>
      <c r="D10554" s="41"/>
      <c r="E10554" s="43">
        <f>C10554</f>
        <v>0</v>
      </c>
      <c r="F10554" s="42"/>
    </row>
    <row r="10555" spans="1:6">
      <c r="A10555" s="39">
        <f>A10554</f>
        <v>46048</v>
      </c>
      <c r="B10555" s="40"/>
      <c r="C10555" s="40"/>
      <c r="D10555" s="41"/>
      <c r="E10555" s="43">
        <f>C10555</f>
        <v>0</v>
      </c>
      <c r="F10555" s="42"/>
    </row>
    <row r="10556" spans="1:6">
      <c r="A10556" s="39">
        <f>A10555</f>
        <v>46048</v>
      </c>
      <c r="B10556" s="40"/>
      <c r="C10556" s="40"/>
      <c r="D10556" s="41"/>
      <c r="E10556" s="43">
        <f>C10556</f>
        <v>0</v>
      </c>
      <c r="F10556" s="42"/>
    </row>
    <row r="10557" spans="1:6">
      <c r="A10557" s="39">
        <f>A10556</f>
        <v>46048</v>
      </c>
      <c r="B10557" s="40"/>
      <c r="C10557" s="40"/>
      <c r="D10557" s="41"/>
      <c r="E10557" s="43">
        <f>C10557</f>
        <v>0</v>
      </c>
      <c r="F10557" s="42"/>
    </row>
    <row r="10558" spans="1:6">
      <c r="A10558" s="39">
        <f>A10557</f>
        <v>46048</v>
      </c>
      <c r="B10558" s="40"/>
      <c r="C10558" s="40"/>
      <c r="D10558" s="41"/>
      <c r="E10558" s="43">
        <f>C10558</f>
        <v>0</v>
      </c>
      <c r="F10558" s="42"/>
    </row>
    <row r="10559" spans="1:6">
      <c r="A10559" s="39">
        <f>A10558</f>
        <v>46048</v>
      </c>
      <c r="B10559" s="40"/>
      <c r="C10559" s="40"/>
      <c r="D10559" s="41"/>
      <c r="E10559" s="43">
        <f>C10559</f>
        <v>0</v>
      </c>
      <c r="F10559" s="42"/>
    </row>
    <row r="10560" spans="1:6">
      <c r="A10560" s="39">
        <f>A10559</f>
        <v>46048</v>
      </c>
      <c r="B10560" s="40"/>
      <c r="C10560" s="40"/>
      <c r="D10560" s="41"/>
      <c r="E10560" s="43">
        <f>C10560</f>
        <v>0</v>
      </c>
      <c r="F10560" s="42"/>
    </row>
    <row r="10561" spans="1:6">
      <c r="A10561" s="39">
        <f>A10560</f>
        <v>46048</v>
      </c>
      <c r="B10561" s="40"/>
      <c r="C10561" s="40"/>
      <c r="D10561" s="41"/>
      <c r="E10561" s="43">
        <f>C10561</f>
        <v>0</v>
      </c>
      <c r="F10561" s="42"/>
    </row>
    <row r="10562" spans="1:6">
      <c r="A10562" s="39">
        <f>A10561</f>
        <v>46048</v>
      </c>
      <c r="B10562" s="40"/>
      <c r="C10562" s="40"/>
      <c r="D10562" s="41"/>
      <c r="E10562" s="43">
        <f>C10562</f>
        <v>0</v>
      </c>
      <c r="F10562" s="42"/>
    </row>
    <row r="10563" spans="1:6">
      <c r="A10563" s="39">
        <f>A10562</f>
        <v>46048</v>
      </c>
      <c r="B10563" s="40"/>
      <c r="C10563" s="40"/>
      <c r="D10563" s="41"/>
      <c r="E10563" s="43">
        <f>C10563</f>
        <v>0</v>
      </c>
      <c r="F10563" s="42"/>
    </row>
    <row r="10564" spans="1:6">
      <c r="A10564" s="39">
        <f>A10563</f>
        <v>46048</v>
      </c>
      <c r="B10564" s="40"/>
      <c r="C10564" s="40"/>
      <c r="D10564" s="41"/>
      <c r="E10564" s="43">
        <f>C10564</f>
        <v>0</v>
      </c>
      <c r="F10564" s="42"/>
    </row>
    <row r="10565" spans="1:6">
      <c r="A10565" s="39">
        <f>A10564</f>
        <v>46048</v>
      </c>
      <c r="B10565" s="40"/>
      <c r="C10565" s="40"/>
      <c r="D10565" s="41"/>
      <c r="E10565" s="43">
        <f>C10565</f>
        <v>0</v>
      </c>
      <c r="F10565" s="42"/>
    </row>
    <row r="10566" spans="1:6">
      <c r="A10566" s="39">
        <f>A10565</f>
        <v>46048</v>
      </c>
      <c r="B10566" s="40"/>
      <c r="C10566" s="40"/>
      <c r="D10566" s="41"/>
      <c r="E10566" s="43">
        <f>C10566</f>
        <v>0</v>
      </c>
      <c r="F10566" s="42"/>
    </row>
    <row r="10567" spans="1:6">
      <c r="A10567" s="39">
        <f>A10566</f>
        <v>46048</v>
      </c>
      <c r="B10567" s="40"/>
      <c r="C10567" s="40"/>
      <c r="D10567" s="41"/>
      <c r="E10567" s="43">
        <f>C10567</f>
        <v>0</v>
      </c>
      <c r="F10567" s="42"/>
    </row>
    <row r="10568" spans="1:6">
      <c r="A10568" s="39">
        <f>A10567</f>
        <v>46048</v>
      </c>
      <c r="B10568" s="40"/>
      <c r="C10568" s="40"/>
      <c r="D10568" s="41"/>
      <c r="E10568" s="43">
        <f>C10568</f>
        <v>0</v>
      </c>
      <c r="F10568" s="42"/>
    </row>
    <row r="10569" spans="1:6">
      <c r="A10569" s="39">
        <f>A10568</f>
        <v>46048</v>
      </c>
      <c r="B10569" s="40"/>
      <c r="C10569" s="40"/>
      <c r="D10569" s="41"/>
      <c r="E10569" s="43">
        <f>C10569</f>
        <v>0</v>
      </c>
      <c r="F10569" s="42"/>
    </row>
    <row r="10570" spans="1:6">
      <c r="A10570" s="39">
        <f>A10569</f>
        <v>46048</v>
      </c>
      <c r="B10570" s="40"/>
      <c r="C10570" s="40"/>
      <c r="D10570" s="41"/>
      <c r="E10570" s="43">
        <f>C10570</f>
        <v>0</v>
      </c>
      <c r="F10570" s="42"/>
    </row>
    <row r="10571" spans="1:6">
      <c r="A10571" s="39">
        <f>A10570</f>
        <v>46048</v>
      </c>
      <c r="B10571" s="40"/>
      <c r="C10571" s="40"/>
      <c r="D10571" s="41"/>
      <c r="E10571" s="43">
        <f>C10571</f>
        <v>0</v>
      </c>
      <c r="F10571" s="42"/>
    </row>
    <row r="10572" spans="1:6">
      <c r="A10572" s="39">
        <f>A10571</f>
        <v>46048</v>
      </c>
      <c r="B10572" s="40"/>
      <c r="C10572" s="40"/>
      <c r="D10572" s="41"/>
      <c r="E10572" s="43">
        <f>C10572</f>
        <v>0</v>
      </c>
      <c r="F10572" s="42"/>
    </row>
    <row r="10573" spans="1:6">
      <c r="A10573" s="39">
        <f>A10572</f>
        <v>46048</v>
      </c>
      <c r="B10573" s="40"/>
      <c r="C10573" s="40"/>
      <c r="D10573" s="41"/>
      <c r="E10573" s="43">
        <f>C10573</f>
        <v>0</v>
      </c>
      <c r="F10573" s="42"/>
    </row>
    <row r="10574" spans="1:6">
      <c r="A10574" s="39">
        <f>A10573</f>
        <v>46048</v>
      </c>
      <c r="B10574" s="40"/>
      <c r="C10574" s="40"/>
      <c r="D10574" s="41"/>
      <c r="E10574" s="43">
        <f>C10574</f>
        <v>0</v>
      </c>
      <c r="F10574" s="42"/>
    </row>
    <row r="10575" spans="1:6">
      <c r="A10575" s="39">
        <f>A10574</f>
        <v>46048</v>
      </c>
      <c r="B10575" s="40"/>
      <c r="C10575" s="40"/>
      <c r="D10575" s="41"/>
      <c r="E10575" s="43">
        <f>C10575</f>
        <v>0</v>
      </c>
      <c r="F10575" s="42"/>
    </row>
    <row r="10576" spans="1:6">
      <c r="A10576" s="39">
        <f>A10575</f>
        <v>46048</v>
      </c>
      <c r="B10576" s="40"/>
      <c r="C10576" s="40"/>
      <c r="D10576" s="41"/>
      <c r="E10576" s="43">
        <f>C10576</f>
        <v>0</v>
      </c>
      <c r="F10576" s="42"/>
    </row>
    <row r="10577" spans="1:6">
      <c r="A10577" s="39">
        <f>A10576</f>
        <v>46048</v>
      </c>
      <c r="B10577" s="40"/>
      <c r="C10577" s="40"/>
      <c r="D10577" s="41"/>
      <c r="E10577" s="43">
        <f>C10577</f>
        <v>0</v>
      </c>
      <c r="F10577" s="42"/>
    </row>
    <row r="10578" spans="1:6">
      <c r="A10578" s="39">
        <f>A10577</f>
        <v>46048</v>
      </c>
      <c r="B10578" s="40"/>
      <c r="C10578" s="40"/>
      <c r="D10578" s="41"/>
      <c r="E10578" s="43">
        <f>C10578</f>
        <v>0</v>
      </c>
      <c r="F10578" s="42"/>
    </row>
    <row r="10579" spans="1:6">
      <c r="A10579" s="39">
        <f>A10578</f>
        <v>46048</v>
      </c>
      <c r="B10579" s="40"/>
      <c r="C10579" s="40"/>
      <c r="D10579" s="41"/>
      <c r="E10579" s="43">
        <f>C10579</f>
        <v>0</v>
      </c>
      <c r="F10579" s="42"/>
    </row>
    <row r="10580" spans="1:6">
      <c r="A10580" s="39">
        <f>A10579</f>
        <v>46048</v>
      </c>
      <c r="B10580" s="40"/>
      <c r="C10580" s="40"/>
      <c r="D10580" s="41"/>
      <c r="E10580" s="43">
        <f>C10580</f>
        <v>0</v>
      </c>
      <c r="F10580" s="42"/>
    </row>
    <row r="10581" spans="1:6">
      <c r="A10581" s="39">
        <f>A10580</f>
        <v>46048</v>
      </c>
      <c r="B10581" s="40"/>
      <c r="C10581" s="40"/>
      <c r="D10581" s="41"/>
      <c r="E10581" s="43">
        <f>C10581</f>
        <v>0</v>
      </c>
      <c r="F10581" s="42"/>
    </row>
    <row r="10582" spans="1:6">
      <c r="A10582" s="39">
        <f>A10581</f>
        <v>46048</v>
      </c>
      <c r="B10582" s="40"/>
      <c r="C10582" s="40"/>
      <c r="D10582" s="41"/>
      <c r="E10582" s="43">
        <f>C10582</f>
        <v>0</v>
      </c>
      <c r="F10582" s="42"/>
    </row>
    <row r="10583" spans="1:6">
      <c r="A10583" s="39">
        <f>A10582</f>
        <v>46048</v>
      </c>
      <c r="B10583" s="40"/>
      <c r="C10583" s="40"/>
      <c r="D10583" s="41"/>
      <c r="E10583" s="43">
        <f>C10583</f>
        <v>0</v>
      </c>
      <c r="F10583" s="42"/>
    </row>
    <row r="10584" spans="1:6">
      <c r="A10584" s="39">
        <f>A10583</f>
        <v>46048</v>
      </c>
      <c r="B10584" s="40"/>
      <c r="C10584" s="40"/>
      <c r="D10584" s="41"/>
      <c r="E10584" s="43">
        <f>C10584</f>
        <v>0</v>
      </c>
      <c r="F10584" s="42"/>
    </row>
    <row r="10585" spans="1:6">
      <c r="A10585" s="39">
        <f>A10584</f>
        <v>46048</v>
      </c>
      <c r="B10585" s="40"/>
      <c r="C10585" s="40"/>
      <c r="D10585" s="41"/>
      <c r="E10585" s="43">
        <f>C10585</f>
        <v>0</v>
      </c>
      <c r="F10585" s="42"/>
    </row>
    <row r="10586" spans="1:6">
      <c r="A10586" s="39">
        <f>A10585</f>
        <v>46048</v>
      </c>
      <c r="B10586" s="40"/>
      <c r="C10586" s="40"/>
      <c r="D10586" s="41"/>
      <c r="E10586" s="43">
        <f>C10586</f>
        <v>0</v>
      </c>
      <c r="F10586" s="42"/>
    </row>
    <row r="10587" spans="1:6">
      <c r="A10587" s="39">
        <f>A10586</f>
        <v>46048</v>
      </c>
      <c r="B10587" s="40"/>
      <c r="C10587" s="40"/>
      <c r="D10587" s="41"/>
      <c r="E10587" s="43">
        <f>C10587</f>
        <v>0</v>
      </c>
      <c r="F10587" s="42"/>
    </row>
    <row r="10588" spans="1:6">
      <c r="A10588" s="39">
        <f>A10587</f>
        <v>46048</v>
      </c>
      <c r="B10588" s="40"/>
      <c r="C10588" s="40"/>
      <c r="D10588" s="41"/>
      <c r="E10588" s="43">
        <f>C10588</f>
        <v>0</v>
      </c>
      <c r="F10588" s="42"/>
    </row>
    <row r="10589" spans="1:6">
      <c r="A10589" s="39">
        <f>A10588</f>
        <v>46048</v>
      </c>
      <c r="B10589" s="40"/>
      <c r="C10589" s="40"/>
      <c r="D10589" s="41"/>
      <c r="E10589" s="43">
        <f>C10589</f>
        <v>0</v>
      </c>
      <c r="F10589" s="42"/>
    </row>
    <row r="10590" spans="1:6">
      <c r="A10590" s="39">
        <f>A10589</f>
        <v>46048</v>
      </c>
      <c r="B10590" s="40"/>
      <c r="C10590" s="40"/>
      <c r="D10590" s="41"/>
      <c r="E10590" s="43">
        <f>C10590</f>
        <v>0</v>
      </c>
      <c r="F10590" s="42"/>
    </row>
    <row r="10591" spans="1:6">
      <c r="A10591" s="39">
        <f>A10590</f>
        <v>46048</v>
      </c>
      <c r="B10591" s="40"/>
      <c r="C10591" s="40"/>
      <c r="D10591" s="41"/>
      <c r="E10591" s="43">
        <f>C10591</f>
        <v>0</v>
      </c>
      <c r="F10591" s="42"/>
    </row>
    <row r="10592" spans="1:6">
      <c r="A10592" s="39">
        <f>A10591</f>
        <v>46048</v>
      </c>
      <c r="B10592" s="40"/>
      <c r="C10592" s="40"/>
      <c r="D10592" s="41"/>
      <c r="E10592" s="43">
        <f>C10592</f>
        <v>0</v>
      </c>
      <c r="F10592" s="42"/>
    </row>
    <row r="10593" spans="1:6">
      <c r="A10593" s="39">
        <f>A10592</f>
        <v>46048</v>
      </c>
      <c r="B10593" s="40"/>
      <c r="C10593" s="40"/>
      <c r="D10593" s="41"/>
      <c r="E10593" s="43">
        <f>C10593</f>
        <v>0</v>
      </c>
      <c r="F10593" s="42"/>
    </row>
    <row r="10594" spans="1:6">
      <c r="A10594" s="39">
        <f>A10593</f>
        <v>46048</v>
      </c>
      <c r="B10594" s="40"/>
      <c r="C10594" s="40"/>
      <c r="D10594" s="41"/>
      <c r="E10594" s="43">
        <f>C10594</f>
        <v>0</v>
      </c>
      <c r="F10594" s="42"/>
    </row>
    <row r="10595" spans="1:6">
      <c r="A10595" s="39">
        <f>A10594</f>
        <v>46048</v>
      </c>
      <c r="B10595" s="40"/>
      <c r="C10595" s="40"/>
      <c r="D10595" s="41"/>
      <c r="E10595" s="43">
        <f>C10595</f>
        <v>0</v>
      </c>
      <c r="F10595" s="42"/>
    </row>
    <row r="10596" spans="1:6">
      <c r="A10596" s="39">
        <f>A10595</f>
        <v>46048</v>
      </c>
      <c r="B10596" s="40"/>
      <c r="C10596" s="40"/>
      <c r="D10596" s="41"/>
      <c r="E10596" s="43">
        <f>C10596</f>
        <v>0</v>
      </c>
      <c r="F10596" s="42"/>
    </row>
    <row r="10597" spans="1:6">
      <c r="A10597" s="39">
        <f>A10596</f>
        <v>46048</v>
      </c>
      <c r="B10597" s="40"/>
      <c r="C10597" s="40"/>
      <c r="D10597" s="41"/>
      <c r="E10597" s="43">
        <f>C10597</f>
        <v>0</v>
      </c>
      <c r="F10597" s="42"/>
    </row>
    <row r="10598" spans="1:6">
      <c r="A10598" s="39">
        <f>A10597</f>
        <v>46048</v>
      </c>
      <c r="B10598" s="40"/>
      <c r="C10598" s="40"/>
      <c r="D10598" s="41"/>
      <c r="E10598" s="43">
        <f>C10598</f>
        <v>0</v>
      </c>
      <c r="F10598" s="42"/>
    </row>
    <row r="10599" spans="1:6">
      <c r="A10599" s="39">
        <f>A10598</f>
        <v>46048</v>
      </c>
      <c r="B10599" s="40"/>
      <c r="C10599" s="40"/>
      <c r="D10599" s="41"/>
      <c r="E10599" s="43">
        <f>C10599</f>
        <v>0</v>
      </c>
      <c r="F10599" s="42"/>
    </row>
    <row r="10600" spans="1:6">
      <c r="A10600" s="39">
        <f>A10599</f>
        <v>46048</v>
      </c>
      <c r="B10600" s="40"/>
      <c r="C10600" s="40"/>
      <c r="D10600" s="41"/>
      <c r="E10600" s="43">
        <f>C10600</f>
        <v>0</v>
      </c>
      <c r="F10600" s="42"/>
    </row>
    <row r="10601" spans="1:6">
      <c r="A10601" s="39">
        <f>A10600</f>
        <v>46048</v>
      </c>
      <c r="B10601" s="40"/>
      <c r="C10601" s="40"/>
      <c r="D10601" s="41"/>
      <c r="E10601" s="43">
        <f>C10601</f>
        <v>0</v>
      </c>
      <c r="F10601" s="42"/>
    </row>
    <row r="10602" spans="1:6">
      <c r="A10602" s="39">
        <f>A10601</f>
        <v>46048</v>
      </c>
      <c r="B10602" s="40"/>
      <c r="C10602" s="40"/>
      <c r="D10602" s="41"/>
      <c r="E10602" s="43">
        <f>C10602</f>
        <v>0</v>
      </c>
      <c r="F10602" s="42"/>
    </row>
    <row r="10603" spans="1:6">
      <c r="A10603" s="39">
        <f>A10602</f>
        <v>46048</v>
      </c>
      <c r="B10603" s="40"/>
      <c r="C10603" s="40"/>
      <c r="D10603" s="41"/>
      <c r="E10603" s="43">
        <f>C10603</f>
        <v>0</v>
      </c>
      <c r="F10603" s="42"/>
    </row>
    <row r="10604" spans="1:6">
      <c r="A10604" s="39">
        <f>A10603</f>
        <v>46048</v>
      </c>
      <c r="B10604" s="40"/>
      <c r="C10604" s="40"/>
      <c r="D10604" s="41"/>
      <c r="E10604" s="43">
        <f>C10604</f>
        <v>0</v>
      </c>
      <c r="F10604" s="42"/>
    </row>
    <row r="10605" spans="1:6">
      <c r="A10605" s="39">
        <f>A10604</f>
        <v>46048</v>
      </c>
      <c r="B10605" s="40"/>
      <c r="C10605" s="40"/>
      <c r="D10605" s="41"/>
      <c r="E10605" s="43">
        <f>C10605</f>
        <v>0</v>
      </c>
      <c r="F10605" s="42"/>
    </row>
    <row r="10606" spans="1:6">
      <c r="A10606" s="39">
        <f>A10605</f>
        <v>46048</v>
      </c>
      <c r="B10606" s="40"/>
      <c r="C10606" s="40"/>
      <c r="D10606" s="41"/>
      <c r="E10606" s="43">
        <f>C10606</f>
        <v>0</v>
      </c>
      <c r="F10606" s="42"/>
    </row>
    <row r="10607" spans="1:6">
      <c r="A10607" s="39">
        <f>A10606</f>
        <v>46048</v>
      </c>
      <c r="B10607" s="40"/>
      <c r="C10607" s="40"/>
      <c r="D10607" s="41"/>
      <c r="E10607" s="43">
        <f>C10607</f>
        <v>0</v>
      </c>
      <c r="F10607" s="42"/>
    </row>
    <row r="10608" spans="1:6">
      <c r="A10608" s="39">
        <f>A10607</f>
        <v>46048</v>
      </c>
      <c r="B10608" s="40"/>
      <c r="C10608" s="40"/>
      <c r="D10608" s="41"/>
      <c r="E10608" s="43">
        <f>C10608</f>
        <v>0</v>
      </c>
      <c r="F10608" s="42"/>
    </row>
    <row r="10609" spans="1:6">
      <c r="A10609" s="39">
        <f>A10608</f>
        <v>46048</v>
      </c>
      <c r="B10609" s="40"/>
      <c r="C10609" s="40"/>
      <c r="D10609" s="41"/>
      <c r="E10609" s="43">
        <f>C10609</f>
        <v>0</v>
      </c>
      <c r="F10609" s="42"/>
    </row>
    <row r="10610" spans="1:6">
      <c r="A10610" s="39">
        <f>A10609</f>
        <v>46048</v>
      </c>
      <c r="B10610" s="40"/>
      <c r="C10610" s="40"/>
      <c r="D10610" s="41"/>
      <c r="E10610" s="43">
        <f>C10610</f>
        <v>0</v>
      </c>
      <c r="F10610" s="42"/>
    </row>
    <row r="10611" spans="1:6">
      <c r="A10611" s="39">
        <f>A10610</f>
        <v>46048</v>
      </c>
      <c r="B10611" s="40"/>
      <c r="C10611" s="40"/>
      <c r="D10611" s="41"/>
      <c r="E10611" s="43">
        <f>C10611</f>
        <v>0</v>
      </c>
      <c r="F10611" s="42"/>
    </row>
    <row r="10612" spans="1:6">
      <c r="A10612" s="39">
        <f>A10611</f>
        <v>46048</v>
      </c>
      <c r="B10612" s="40"/>
      <c r="C10612" s="40"/>
      <c r="D10612" s="41"/>
      <c r="E10612" s="43">
        <f>C10612</f>
        <v>0</v>
      </c>
      <c r="F10612" s="42"/>
    </row>
    <row r="10613" spans="1:6">
      <c r="A10613" s="39">
        <f>A10612</f>
        <v>46048</v>
      </c>
      <c r="B10613" s="40"/>
      <c r="C10613" s="40"/>
      <c r="D10613" s="41"/>
      <c r="E10613" s="43">
        <f>C10613</f>
        <v>0</v>
      </c>
      <c r="F10613" s="42"/>
    </row>
    <row r="10614" spans="1:6">
      <c r="A10614" s="39">
        <f>A10613</f>
        <v>46048</v>
      </c>
      <c r="B10614" s="40"/>
      <c r="C10614" s="40"/>
      <c r="D10614" s="41"/>
      <c r="E10614" s="43">
        <f>C10614</f>
        <v>0</v>
      </c>
      <c r="F10614" s="42"/>
    </row>
    <row r="10615" spans="1:6">
      <c r="A10615" s="39">
        <f>A10614</f>
        <v>46048</v>
      </c>
      <c r="B10615" s="40"/>
      <c r="C10615" s="40"/>
      <c r="D10615" s="41"/>
      <c r="E10615" s="43">
        <f>C10615</f>
        <v>0</v>
      </c>
      <c r="F10615" s="42"/>
    </row>
    <row r="10616" spans="1:6">
      <c r="A10616" s="39">
        <f>A10615</f>
        <v>46048</v>
      </c>
      <c r="B10616" s="40"/>
      <c r="C10616" s="40"/>
      <c r="D10616" s="41"/>
      <c r="E10616" s="43">
        <f>C10616</f>
        <v>0</v>
      </c>
      <c r="F10616" s="42"/>
    </row>
    <row r="10617" spans="1:6">
      <c r="A10617" s="39">
        <f>A10616</f>
        <v>46048</v>
      </c>
      <c r="B10617" s="40"/>
      <c r="C10617" s="40"/>
      <c r="D10617" s="41"/>
      <c r="E10617" s="43">
        <f>C10617</f>
        <v>0</v>
      </c>
      <c r="F10617" s="42"/>
    </row>
    <row r="10618" spans="1:6">
      <c r="A10618" s="39">
        <f>A10617</f>
        <v>46048</v>
      </c>
      <c r="B10618" s="40"/>
      <c r="C10618" s="40"/>
      <c r="D10618" s="41"/>
      <c r="E10618" s="43">
        <f>C10618</f>
        <v>0</v>
      </c>
      <c r="F10618" s="42"/>
    </row>
    <row r="10619" spans="1:6">
      <c r="A10619" s="39">
        <f>A10618</f>
        <v>46048</v>
      </c>
      <c r="B10619" s="40"/>
      <c r="C10619" s="40"/>
      <c r="D10619" s="41"/>
      <c r="E10619" s="43">
        <f>C10619</f>
        <v>0</v>
      </c>
      <c r="F10619" s="42"/>
    </row>
    <row r="10620" spans="1:6">
      <c r="A10620" s="39">
        <f>A10619</f>
        <v>46048</v>
      </c>
      <c r="B10620" s="40"/>
      <c r="C10620" s="40"/>
      <c r="D10620" s="41"/>
      <c r="E10620" s="43">
        <f>C10620</f>
        <v>0</v>
      </c>
      <c r="F10620" s="42"/>
    </row>
    <row r="10621" spans="1:6">
      <c r="A10621" s="39">
        <f>A10620</f>
        <v>46048</v>
      </c>
      <c r="B10621" s="40"/>
      <c r="C10621" s="40"/>
      <c r="D10621" s="41"/>
      <c r="E10621" s="43">
        <f>C10621</f>
        <v>0</v>
      </c>
      <c r="F10621" s="42"/>
    </row>
    <row r="10622" spans="1:6">
      <c r="A10622" s="39">
        <f>A10621</f>
        <v>46048</v>
      </c>
      <c r="B10622" s="40"/>
      <c r="C10622" s="40"/>
      <c r="D10622" s="41"/>
      <c r="E10622" s="43">
        <f>C10622</f>
        <v>0</v>
      </c>
      <c r="F10622" s="42"/>
    </row>
    <row r="10623" spans="1:6">
      <c r="A10623" s="39">
        <f>A10622</f>
        <v>46048</v>
      </c>
      <c r="B10623" s="40"/>
      <c r="C10623" s="40"/>
      <c r="D10623" s="41"/>
      <c r="E10623" s="43">
        <f>C10623</f>
        <v>0</v>
      </c>
      <c r="F10623" s="42"/>
    </row>
    <row r="10624" spans="1:6">
      <c r="A10624" s="39">
        <f>A10623</f>
        <v>46048</v>
      </c>
      <c r="B10624" s="40"/>
      <c r="C10624" s="40"/>
      <c r="D10624" s="41"/>
      <c r="E10624" s="43">
        <f>C10624</f>
        <v>0</v>
      </c>
      <c r="F10624" s="42"/>
    </row>
    <row r="10625" spans="1:6">
      <c r="A10625" s="39">
        <f>A10624</f>
        <v>46048</v>
      </c>
      <c r="B10625" s="40"/>
      <c r="C10625" s="40"/>
      <c r="D10625" s="41"/>
      <c r="E10625" s="43">
        <f>C10625</f>
        <v>0</v>
      </c>
      <c r="F10625" s="42"/>
    </row>
    <row r="10626" spans="1:6">
      <c r="A10626" s="39">
        <f>A10625</f>
        <v>46048</v>
      </c>
      <c r="B10626" s="40"/>
      <c r="C10626" s="40"/>
      <c r="D10626" s="41"/>
      <c r="E10626" s="43">
        <f>C10626</f>
        <v>0</v>
      </c>
      <c r="F10626" s="42"/>
    </row>
    <row r="10627" spans="1:6">
      <c r="A10627" s="39">
        <f>A10626</f>
        <v>46048</v>
      </c>
      <c r="B10627" s="40"/>
      <c r="C10627" s="40"/>
      <c r="D10627" s="41"/>
      <c r="E10627" s="43">
        <f>C10627</f>
        <v>0</v>
      </c>
      <c r="F10627" s="42"/>
    </row>
    <row r="10628" spans="1:6">
      <c r="A10628" s="39">
        <f>A10627</f>
        <v>46048</v>
      </c>
      <c r="B10628" s="40"/>
      <c r="C10628" s="40"/>
      <c r="D10628" s="41"/>
      <c r="E10628" s="43">
        <f>C10628</f>
        <v>0</v>
      </c>
      <c r="F10628" s="42"/>
    </row>
    <row r="10629" spans="1:6">
      <c r="A10629" s="39">
        <f>A10628</f>
        <v>46048</v>
      </c>
      <c r="B10629" s="40"/>
      <c r="C10629" s="40"/>
      <c r="D10629" s="41"/>
      <c r="E10629" s="43">
        <f>C10629</f>
        <v>0</v>
      </c>
      <c r="F10629" s="42"/>
    </row>
    <row r="10630" spans="1:6">
      <c r="A10630" s="39">
        <f>A10629</f>
        <v>46048</v>
      </c>
      <c r="B10630" s="40"/>
      <c r="C10630" s="40"/>
      <c r="D10630" s="41"/>
      <c r="E10630" s="43">
        <f>C10630</f>
        <v>0</v>
      </c>
      <c r="F10630" s="42"/>
    </row>
    <row r="10631" spans="1:6">
      <c r="A10631" s="39">
        <f>A10630</f>
        <v>46048</v>
      </c>
      <c r="B10631" s="40"/>
      <c r="C10631" s="40"/>
      <c r="D10631" s="41"/>
      <c r="E10631" s="43">
        <f>C10631</f>
        <v>0</v>
      </c>
      <c r="F10631" s="42"/>
    </row>
    <row r="10632" spans="1:6">
      <c r="A10632" s="39">
        <f>A10631</f>
        <v>46048</v>
      </c>
      <c r="B10632" s="40"/>
      <c r="C10632" s="40"/>
      <c r="D10632" s="41"/>
      <c r="E10632" s="43">
        <f>C10632</f>
        <v>0</v>
      </c>
      <c r="F10632" s="42"/>
    </row>
    <row r="10633" spans="1:6">
      <c r="A10633" s="39">
        <f>A10632</f>
        <v>46048</v>
      </c>
      <c r="B10633" s="40"/>
      <c r="C10633" s="40"/>
      <c r="D10633" s="41"/>
      <c r="E10633" s="43">
        <f>C10633</f>
        <v>0</v>
      </c>
      <c r="F10633" s="42"/>
    </row>
    <row r="10634" spans="1:6">
      <c r="A10634" s="39">
        <f>A10633</f>
        <v>46048</v>
      </c>
      <c r="B10634" s="40"/>
      <c r="C10634" s="40"/>
      <c r="D10634" s="41"/>
      <c r="E10634" s="43">
        <f>C10634</f>
        <v>0</v>
      </c>
      <c r="F10634" s="42"/>
    </row>
    <row r="10635" spans="1:6">
      <c r="A10635" s="39">
        <f>A10634</f>
        <v>46048</v>
      </c>
      <c r="B10635" s="40"/>
      <c r="C10635" s="40"/>
      <c r="D10635" s="41"/>
      <c r="E10635" s="43">
        <f>C10635</f>
        <v>0</v>
      </c>
      <c r="F10635" s="42"/>
    </row>
    <row r="10636" spans="1:6">
      <c r="A10636" s="39">
        <f>A10635</f>
        <v>46048</v>
      </c>
      <c r="B10636" s="40"/>
      <c r="C10636" s="40"/>
      <c r="D10636" s="41"/>
      <c r="E10636" s="43">
        <f>C10636</f>
        <v>0</v>
      </c>
      <c r="F10636" s="42"/>
    </row>
    <row r="10637" spans="1:6">
      <c r="A10637" s="39">
        <f>A10636</f>
        <v>46048</v>
      </c>
      <c r="B10637" s="40"/>
      <c r="C10637" s="40"/>
      <c r="D10637" s="41"/>
      <c r="E10637" s="43">
        <f>C10637</f>
        <v>0</v>
      </c>
      <c r="F10637" s="42"/>
    </row>
    <row r="10638" spans="1:6">
      <c r="A10638" s="39">
        <f>A10637</f>
        <v>46048</v>
      </c>
      <c r="B10638" s="40"/>
      <c r="C10638" s="40"/>
      <c r="D10638" s="41"/>
      <c r="E10638" s="43">
        <f>C10638</f>
        <v>0</v>
      </c>
      <c r="F10638" s="42"/>
    </row>
    <row r="10639" spans="1:6">
      <c r="A10639" s="39">
        <f>A10638</f>
        <v>46048</v>
      </c>
      <c r="B10639" s="40"/>
      <c r="C10639" s="40"/>
      <c r="D10639" s="41"/>
      <c r="E10639" s="43">
        <f>C10639</f>
        <v>0</v>
      </c>
      <c r="F10639" s="42"/>
    </row>
    <row r="10640" spans="1:6">
      <c r="A10640" s="39">
        <f>A10639</f>
        <v>46048</v>
      </c>
      <c r="B10640" s="40"/>
      <c r="C10640" s="40"/>
      <c r="D10640" s="41"/>
      <c r="E10640" s="43">
        <f>C10640</f>
        <v>0</v>
      </c>
      <c r="F10640" s="42"/>
    </row>
    <row r="10641" spans="1:6">
      <c r="A10641" s="39">
        <f>A10640</f>
        <v>46048</v>
      </c>
      <c r="B10641" s="40"/>
      <c r="C10641" s="40"/>
      <c r="D10641" s="41"/>
      <c r="E10641" s="43">
        <f>C10641</f>
        <v>0</v>
      </c>
      <c r="F10641" s="42"/>
    </row>
    <row r="10642" spans="1:6">
      <c r="A10642" s="39">
        <f>A10641</f>
        <v>46048</v>
      </c>
      <c r="B10642" s="40"/>
      <c r="C10642" s="40"/>
      <c r="D10642" s="41"/>
      <c r="E10642" s="43">
        <f>C10642</f>
        <v>0</v>
      </c>
      <c r="F10642" s="42"/>
    </row>
    <row r="10643" spans="1:6">
      <c r="A10643" s="39">
        <f>A10642</f>
        <v>46048</v>
      </c>
      <c r="B10643" s="40"/>
      <c r="C10643" s="40"/>
      <c r="D10643" s="41"/>
      <c r="E10643" s="43">
        <f>C10643</f>
        <v>0</v>
      </c>
      <c r="F10643" s="42"/>
    </row>
    <row r="10644" spans="1:6">
      <c r="A10644" s="39">
        <f>A10643</f>
        <v>46048</v>
      </c>
      <c r="B10644" s="40"/>
      <c r="C10644" s="40"/>
      <c r="D10644" s="41"/>
      <c r="E10644" s="43">
        <f>C10644</f>
        <v>0</v>
      </c>
      <c r="F10644" s="42"/>
    </row>
    <row r="10645" spans="1:6">
      <c r="A10645" s="39">
        <f>A10644</f>
        <v>46048</v>
      </c>
      <c r="B10645" s="40"/>
      <c r="C10645" s="40"/>
      <c r="D10645" s="41"/>
      <c r="E10645" s="43">
        <f>C10645</f>
        <v>0</v>
      </c>
      <c r="F10645" s="42"/>
    </row>
    <row r="10646" spans="1:6">
      <c r="A10646" s="39">
        <f>A10645</f>
        <v>46048</v>
      </c>
      <c r="B10646" s="40"/>
      <c r="C10646" s="40"/>
      <c r="D10646" s="41"/>
      <c r="E10646" s="43">
        <f>C10646</f>
        <v>0</v>
      </c>
      <c r="F10646" s="42"/>
    </row>
    <row r="10647" spans="1:6">
      <c r="A10647" s="39">
        <f>A10646</f>
        <v>46048</v>
      </c>
      <c r="B10647" s="40"/>
      <c r="C10647" s="40"/>
      <c r="D10647" s="41"/>
      <c r="E10647" s="43">
        <f>C10647</f>
        <v>0</v>
      </c>
      <c r="F10647" s="42"/>
    </row>
    <row r="10648" spans="1:6">
      <c r="A10648" s="39">
        <f>A10647</f>
        <v>46048</v>
      </c>
      <c r="B10648" s="40"/>
      <c r="C10648" s="40"/>
      <c r="D10648" s="41"/>
      <c r="E10648" s="43">
        <f>C10648</f>
        <v>0</v>
      </c>
      <c r="F10648" s="42"/>
    </row>
    <row r="10649" spans="1:6">
      <c r="A10649" s="39">
        <f>A10648</f>
        <v>46048</v>
      </c>
      <c r="B10649" s="40"/>
      <c r="C10649" s="40"/>
      <c r="D10649" s="41"/>
      <c r="E10649" s="43">
        <f>C10649</f>
        <v>0</v>
      </c>
      <c r="F10649" s="42"/>
    </row>
    <row r="10650" spans="1:6">
      <c r="A10650" s="39">
        <f>A10649</f>
        <v>46048</v>
      </c>
      <c r="B10650" s="40"/>
      <c r="C10650" s="40"/>
      <c r="D10650" s="41"/>
      <c r="E10650" s="43">
        <f>C10650</f>
        <v>0</v>
      </c>
      <c r="F10650" s="42"/>
    </row>
    <row r="10651" spans="1:6">
      <c r="A10651" s="39">
        <f>A10650</f>
        <v>46048</v>
      </c>
      <c r="B10651" s="40"/>
      <c r="C10651" s="40"/>
      <c r="D10651" s="41"/>
      <c r="E10651" s="43">
        <f>C10651</f>
        <v>0</v>
      </c>
      <c r="F10651" s="42"/>
    </row>
    <row r="10652" spans="1:6">
      <c r="A10652" s="39">
        <f>A10651</f>
        <v>46048</v>
      </c>
      <c r="B10652" s="40"/>
      <c r="C10652" s="40"/>
      <c r="D10652" s="41"/>
      <c r="E10652" s="43">
        <f>C10652</f>
        <v>0</v>
      </c>
      <c r="F10652" s="42"/>
    </row>
    <row r="10653" spans="1:6">
      <c r="A10653" s="39">
        <f>A10652</f>
        <v>46048</v>
      </c>
      <c r="B10653" s="40"/>
      <c r="C10653" s="40"/>
      <c r="D10653" s="41"/>
      <c r="E10653" s="43">
        <f>C10653</f>
        <v>0</v>
      </c>
      <c r="F10653" s="42"/>
    </row>
    <row r="10654" spans="1:6">
      <c r="A10654" s="39">
        <f>A10653</f>
        <v>46048</v>
      </c>
      <c r="B10654" s="40"/>
      <c r="C10654" s="40"/>
      <c r="D10654" s="41"/>
      <c r="E10654" s="43">
        <f>C10654</f>
        <v>0</v>
      </c>
      <c r="F10654" s="42"/>
    </row>
    <row r="10655" spans="1:6">
      <c r="A10655" s="39">
        <f>A10654</f>
        <v>46048</v>
      </c>
      <c r="B10655" s="40"/>
      <c r="C10655" s="40"/>
      <c r="D10655" s="41"/>
      <c r="E10655" s="43">
        <f>C10655</f>
        <v>0</v>
      </c>
      <c r="F10655" s="42"/>
    </row>
    <row r="10656" spans="1:6">
      <c r="A10656" s="39">
        <f>A10655</f>
        <v>46048</v>
      </c>
      <c r="B10656" s="40"/>
      <c r="C10656" s="40"/>
      <c r="D10656" s="41"/>
      <c r="E10656" s="43">
        <f>C10656</f>
        <v>0</v>
      </c>
      <c r="F10656" s="42"/>
    </row>
    <row r="10657" spans="1:6">
      <c r="A10657" s="39">
        <f>A10656</f>
        <v>46048</v>
      </c>
      <c r="B10657" s="40"/>
      <c r="C10657" s="40"/>
      <c r="D10657" s="41"/>
      <c r="E10657" s="43">
        <f>C10657</f>
        <v>0</v>
      </c>
      <c r="F10657" s="42"/>
    </row>
    <row r="10658" spans="1:6">
      <c r="A10658" s="39">
        <f>A10657</f>
        <v>46048</v>
      </c>
      <c r="B10658" s="40"/>
      <c r="C10658" s="40"/>
      <c r="D10658" s="41"/>
      <c r="E10658" s="43">
        <f>C10658</f>
        <v>0</v>
      </c>
      <c r="F10658" s="42"/>
    </row>
    <row r="10659" spans="1:6">
      <c r="A10659" s="39">
        <f>A10658</f>
        <v>46048</v>
      </c>
      <c r="B10659" s="40"/>
      <c r="C10659" s="40"/>
      <c r="D10659" s="41"/>
      <c r="E10659" s="43">
        <f>C10659</f>
        <v>0</v>
      </c>
      <c r="F10659" s="42"/>
    </row>
    <row r="10660" spans="1:6">
      <c r="A10660" s="39">
        <f>A10659</f>
        <v>46048</v>
      </c>
      <c r="B10660" s="40"/>
      <c r="C10660" s="40"/>
      <c r="D10660" s="41"/>
      <c r="E10660" s="43">
        <f>C10660</f>
        <v>0</v>
      </c>
      <c r="F10660" s="42"/>
    </row>
    <row r="10661" spans="1:6">
      <c r="A10661" s="39">
        <f>A10660</f>
        <v>46048</v>
      </c>
      <c r="B10661" s="40"/>
      <c r="C10661" s="40"/>
      <c r="D10661" s="41"/>
      <c r="E10661" s="43">
        <f>C10661</f>
        <v>0</v>
      </c>
      <c r="F10661" s="42"/>
    </row>
    <row r="10662" spans="1:6">
      <c r="A10662" s="39">
        <f>A10661</f>
        <v>46048</v>
      </c>
      <c r="B10662" s="40"/>
      <c r="C10662" s="40"/>
      <c r="D10662" s="41"/>
      <c r="E10662" s="43">
        <f>C10662</f>
        <v>0</v>
      </c>
      <c r="F10662" s="42"/>
    </row>
    <row r="10663" spans="1:6">
      <c r="A10663" s="39">
        <f>A10662</f>
        <v>46048</v>
      </c>
      <c r="B10663" s="40"/>
      <c r="C10663" s="40"/>
      <c r="D10663" s="41"/>
      <c r="E10663" s="43">
        <f>C10663</f>
        <v>0</v>
      </c>
      <c r="F10663" s="42"/>
    </row>
    <row r="10664" spans="1:6">
      <c r="A10664" s="39">
        <f>A10663</f>
        <v>46048</v>
      </c>
      <c r="B10664" s="40"/>
      <c r="C10664" s="40"/>
      <c r="D10664" s="41"/>
      <c r="E10664" s="43">
        <f>C10664</f>
        <v>0</v>
      </c>
      <c r="F10664" s="42"/>
    </row>
    <row r="10665" spans="1:6">
      <c r="A10665" s="39">
        <f>A10664</f>
        <v>46048</v>
      </c>
      <c r="B10665" s="40"/>
      <c r="C10665" s="40"/>
      <c r="D10665" s="41"/>
      <c r="E10665" s="43">
        <f>C10665</f>
        <v>0</v>
      </c>
      <c r="F10665" s="42"/>
    </row>
    <row r="10666" spans="1:6">
      <c r="A10666" s="39">
        <f>A10665</f>
        <v>46048</v>
      </c>
      <c r="B10666" s="40"/>
      <c r="C10666" s="40"/>
      <c r="D10666" s="41"/>
      <c r="E10666" s="43">
        <f>C10666</f>
        <v>0</v>
      </c>
      <c r="F10666" s="42"/>
    </row>
    <row r="10667" spans="1:6">
      <c r="A10667" s="39">
        <f>A10666</f>
        <v>46048</v>
      </c>
      <c r="B10667" s="40"/>
      <c r="C10667" s="40"/>
      <c r="D10667" s="41"/>
      <c r="E10667" s="43">
        <f>C10667</f>
        <v>0</v>
      </c>
      <c r="F10667" s="42"/>
    </row>
    <row r="10668" spans="1:6">
      <c r="A10668" s="39">
        <f>A10667</f>
        <v>46048</v>
      </c>
      <c r="B10668" s="40"/>
      <c r="C10668" s="40"/>
      <c r="D10668" s="41"/>
      <c r="E10668" s="43">
        <f>C10668</f>
        <v>0</v>
      </c>
      <c r="F10668" s="42"/>
    </row>
    <row r="10669" spans="1:6">
      <c r="A10669" s="39">
        <f>A10668</f>
        <v>46048</v>
      </c>
      <c r="B10669" s="40"/>
      <c r="C10669" s="40"/>
      <c r="D10669" s="41"/>
      <c r="E10669" s="43">
        <f>C10669</f>
        <v>0</v>
      </c>
      <c r="F10669" s="42"/>
    </row>
    <row r="10670" spans="1:6">
      <c r="A10670" s="39">
        <f>A10669</f>
        <v>46048</v>
      </c>
      <c r="B10670" s="40"/>
      <c r="C10670" s="40"/>
      <c r="D10670" s="41"/>
      <c r="E10670" s="43">
        <f>C10670</f>
        <v>0</v>
      </c>
      <c r="F10670" s="42"/>
    </row>
    <row r="10671" spans="1:6">
      <c r="A10671" s="39">
        <f>A10670</f>
        <v>46048</v>
      </c>
      <c r="B10671" s="40"/>
      <c r="C10671" s="40"/>
      <c r="D10671" s="41"/>
      <c r="E10671" s="43">
        <f>C10671</f>
        <v>0</v>
      </c>
      <c r="F10671" s="42"/>
    </row>
    <row r="10672" spans="1:6">
      <c r="A10672" s="39">
        <f>A10671</f>
        <v>46048</v>
      </c>
      <c r="B10672" s="40"/>
      <c r="C10672" s="40"/>
      <c r="D10672" s="41"/>
      <c r="E10672" s="43">
        <f>C10672</f>
        <v>0</v>
      </c>
      <c r="F10672" s="42"/>
    </row>
    <row r="10673" spans="1:6">
      <c r="A10673" s="39">
        <f>A10672</f>
        <v>46048</v>
      </c>
      <c r="B10673" s="40"/>
      <c r="C10673" s="40"/>
      <c r="D10673" s="41"/>
      <c r="E10673" s="43">
        <f>C10673</f>
        <v>0</v>
      </c>
      <c r="F10673" s="42"/>
    </row>
    <row r="10674" spans="1:6">
      <c r="A10674" s="39">
        <f>A10673</f>
        <v>46048</v>
      </c>
      <c r="B10674" s="40"/>
      <c r="C10674" s="40"/>
      <c r="D10674" s="41"/>
      <c r="E10674" s="43">
        <f>C10674</f>
        <v>0</v>
      </c>
      <c r="F10674" s="42"/>
    </row>
    <row r="10675" spans="1:6">
      <c r="A10675" s="39">
        <f>A10674</f>
        <v>46048</v>
      </c>
      <c r="B10675" s="40"/>
      <c r="C10675" s="40"/>
      <c r="D10675" s="41"/>
      <c r="E10675" s="43">
        <f>C10675</f>
        <v>0</v>
      </c>
      <c r="F10675" s="42"/>
    </row>
    <row r="10676" spans="1:6">
      <c r="A10676" s="39">
        <f>A10675</f>
        <v>46048</v>
      </c>
      <c r="B10676" s="40"/>
      <c r="C10676" s="40"/>
      <c r="D10676" s="41"/>
      <c r="E10676" s="43">
        <f>C10676</f>
        <v>0</v>
      </c>
      <c r="F10676" s="42"/>
    </row>
    <row r="10677" spans="1:6">
      <c r="A10677" s="39">
        <f>A10676</f>
        <v>46048</v>
      </c>
      <c r="B10677" s="40"/>
      <c r="C10677" s="40"/>
      <c r="D10677" s="41"/>
      <c r="E10677" s="43">
        <f>C10677</f>
        <v>0</v>
      </c>
      <c r="F10677" s="42"/>
    </row>
    <row r="10678" spans="1:6">
      <c r="A10678" s="39">
        <f>A10677</f>
        <v>46048</v>
      </c>
      <c r="B10678" s="40"/>
      <c r="C10678" s="40"/>
      <c r="D10678" s="41"/>
      <c r="E10678" s="43">
        <f>C10678</f>
        <v>0</v>
      </c>
      <c r="F10678" s="42"/>
    </row>
    <row r="10679" spans="1:6">
      <c r="A10679" s="39">
        <f>A10678</f>
        <v>46048</v>
      </c>
      <c r="B10679" s="40"/>
      <c r="C10679" s="40"/>
      <c r="D10679" s="41"/>
      <c r="E10679" s="43">
        <f>C10679</f>
        <v>0</v>
      </c>
      <c r="F10679" s="42"/>
    </row>
    <row r="10680" spans="1:6">
      <c r="A10680" s="39">
        <f>A10679</f>
        <v>46048</v>
      </c>
      <c r="B10680" s="40"/>
      <c r="C10680" s="40"/>
      <c r="D10680" s="41"/>
      <c r="E10680" s="43">
        <f>C10680</f>
        <v>0</v>
      </c>
      <c r="F10680" s="42"/>
    </row>
    <row r="10681" spans="1:6">
      <c r="A10681" s="39">
        <f>A10680</f>
        <v>46048</v>
      </c>
      <c r="B10681" s="40"/>
      <c r="C10681" s="40"/>
      <c r="D10681" s="41"/>
      <c r="E10681" s="43">
        <f>C10681</f>
        <v>0</v>
      </c>
      <c r="F10681" s="42"/>
    </row>
    <row r="10682" spans="1:6">
      <c r="A10682" s="39">
        <f>A10681</f>
        <v>46048</v>
      </c>
      <c r="B10682" s="40"/>
      <c r="C10682" s="40"/>
      <c r="D10682" s="41"/>
      <c r="E10682" s="43">
        <f>C10682</f>
        <v>0</v>
      </c>
      <c r="F10682" s="42"/>
    </row>
    <row r="10683" spans="1:6">
      <c r="A10683" s="39">
        <f>A10682</f>
        <v>46048</v>
      </c>
      <c r="B10683" s="40"/>
      <c r="C10683" s="40"/>
      <c r="D10683" s="41"/>
      <c r="E10683" s="43">
        <f>C10683</f>
        <v>0</v>
      </c>
      <c r="F10683" s="42"/>
    </row>
    <row r="10684" spans="1:6">
      <c r="A10684" s="39">
        <f>A10683</f>
        <v>46048</v>
      </c>
      <c r="B10684" s="40"/>
      <c r="C10684" s="40"/>
      <c r="D10684" s="41"/>
      <c r="E10684" s="43">
        <f>C10684</f>
        <v>0</v>
      </c>
      <c r="F10684" s="42"/>
    </row>
    <row r="10685" spans="1:6">
      <c r="A10685" s="39">
        <f>A10684</f>
        <v>46048</v>
      </c>
      <c r="B10685" s="40"/>
      <c r="C10685" s="40"/>
      <c r="D10685" s="41"/>
      <c r="E10685" s="43">
        <f>C10685</f>
        <v>0</v>
      </c>
      <c r="F10685" s="42"/>
    </row>
    <row r="10686" spans="1:6">
      <c r="A10686" s="39">
        <f>A10685</f>
        <v>46048</v>
      </c>
      <c r="B10686" s="40"/>
      <c r="C10686" s="40"/>
      <c r="D10686" s="41"/>
      <c r="E10686" s="43">
        <f>C10686</f>
        <v>0</v>
      </c>
      <c r="F10686" s="42"/>
    </row>
    <row r="10687" spans="1:6">
      <c r="A10687" s="39">
        <f>A10686</f>
        <v>46048</v>
      </c>
      <c r="B10687" s="40"/>
      <c r="C10687" s="40"/>
      <c r="D10687" s="41"/>
      <c r="E10687" s="43">
        <f>C10687</f>
        <v>0</v>
      </c>
      <c r="F10687" s="42"/>
    </row>
    <row r="10688" spans="1:6">
      <c r="A10688" s="39">
        <f>A10687</f>
        <v>46048</v>
      </c>
      <c r="B10688" s="40"/>
      <c r="C10688" s="40"/>
      <c r="D10688" s="41"/>
      <c r="E10688" s="43">
        <f>C10688</f>
        <v>0</v>
      </c>
      <c r="F10688" s="42"/>
    </row>
    <row r="10689" spans="1:6">
      <c r="A10689" s="39">
        <f>A10688</f>
        <v>46048</v>
      </c>
      <c r="B10689" s="40"/>
      <c r="C10689" s="40"/>
      <c r="D10689" s="41"/>
      <c r="E10689" s="43">
        <f>C10689</f>
        <v>0</v>
      </c>
      <c r="F10689" s="42"/>
    </row>
    <row r="10690" spans="1:6">
      <c r="A10690" s="39">
        <f>A10689</f>
        <v>46048</v>
      </c>
      <c r="B10690" s="40"/>
      <c r="C10690" s="40"/>
      <c r="D10690" s="41"/>
      <c r="E10690" s="43">
        <f>C10690</f>
        <v>0</v>
      </c>
      <c r="F10690" s="42"/>
    </row>
    <row r="10691" spans="1:6">
      <c r="A10691" s="39">
        <f>A10690</f>
        <v>46048</v>
      </c>
      <c r="B10691" s="40"/>
      <c r="C10691" s="40"/>
      <c r="D10691" s="41"/>
      <c r="E10691" s="43">
        <f>C10691</f>
        <v>0</v>
      </c>
      <c r="F10691" s="42"/>
    </row>
    <row r="10692" spans="1:6">
      <c r="A10692" s="39">
        <f>A10691</f>
        <v>46048</v>
      </c>
      <c r="B10692" s="40"/>
      <c r="C10692" s="40"/>
      <c r="D10692" s="41"/>
      <c r="E10692" s="43">
        <f>C10692</f>
        <v>0</v>
      </c>
      <c r="F10692" s="42"/>
    </row>
    <row r="10693" spans="1:6">
      <c r="A10693" s="39">
        <f>A10692</f>
        <v>46048</v>
      </c>
      <c r="B10693" s="40"/>
      <c r="C10693" s="40"/>
      <c r="D10693" s="41"/>
      <c r="E10693" s="43">
        <f>C10693</f>
        <v>0</v>
      </c>
      <c r="F10693" s="42"/>
    </row>
    <row r="10694" spans="1:6">
      <c r="A10694" s="39">
        <f>A10693</f>
        <v>46048</v>
      </c>
      <c r="B10694" s="40"/>
      <c r="C10694" s="40"/>
      <c r="D10694" s="41"/>
      <c r="E10694" s="43">
        <f>C10694</f>
        <v>0</v>
      </c>
      <c r="F10694" s="42"/>
    </row>
    <row r="10695" spans="1:6">
      <c r="A10695" s="39">
        <f>A10694</f>
        <v>46048</v>
      </c>
      <c r="B10695" s="40"/>
      <c r="C10695" s="40"/>
      <c r="D10695" s="41"/>
      <c r="E10695" s="43">
        <f>C10695</f>
        <v>0</v>
      </c>
      <c r="F10695" s="42"/>
    </row>
    <row r="10696" spans="1:6">
      <c r="A10696" s="39">
        <f>A10695</f>
        <v>46048</v>
      </c>
      <c r="B10696" s="40"/>
      <c r="C10696" s="40"/>
      <c r="D10696" s="41"/>
      <c r="E10696" s="43">
        <f>C10696</f>
        <v>0</v>
      </c>
      <c r="F10696" s="42"/>
    </row>
    <row r="10697" spans="1:6">
      <c r="A10697" s="39">
        <f>A10696</f>
        <v>46048</v>
      </c>
      <c r="B10697" s="40"/>
      <c r="C10697" s="40"/>
      <c r="D10697" s="41"/>
      <c r="E10697" s="43">
        <f>C10697</f>
        <v>0</v>
      </c>
      <c r="F10697" s="42"/>
    </row>
    <row r="10698" spans="1:6">
      <c r="A10698" s="39">
        <f>A10697</f>
        <v>46048</v>
      </c>
      <c r="B10698" s="40"/>
      <c r="C10698" s="40"/>
      <c r="D10698" s="41"/>
      <c r="E10698" s="43">
        <f>C10698</f>
        <v>0</v>
      </c>
      <c r="F10698" s="42"/>
    </row>
    <row r="10699" spans="1:6">
      <c r="A10699" s="39">
        <f>A10698</f>
        <v>46048</v>
      </c>
      <c r="B10699" s="40"/>
      <c r="C10699" s="40"/>
      <c r="D10699" s="41"/>
      <c r="E10699" s="43">
        <f>C10699</f>
        <v>0</v>
      </c>
      <c r="F10699" s="42"/>
    </row>
    <row r="10700" spans="1:6">
      <c r="A10700" s="39">
        <f>A10699</f>
        <v>46048</v>
      </c>
      <c r="B10700" s="40"/>
      <c r="C10700" s="40"/>
      <c r="D10700" s="41"/>
      <c r="E10700" s="43">
        <f>C10700</f>
        <v>0</v>
      </c>
      <c r="F10700" s="42"/>
    </row>
    <row r="10701" spans="1:6">
      <c r="A10701" s="39">
        <f>A10700</f>
        <v>46048</v>
      </c>
      <c r="B10701" s="40"/>
      <c r="C10701" s="40"/>
      <c r="D10701" s="41"/>
      <c r="E10701" s="43">
        <f>C10701</f>
        <v>0</v>
      </c>
      <c r="F10701" s="42"/>
    </row>
    <row r="10702" spans="1:6">
      <c r="A10702" s="39">
        <f>A10701</f>
        <v>46048</v>
      </c>
      <c r="B10702" s="40"/>
      <c r="C10702" s="40"/>
      <c r="D10702" s="41"/>
      <c r="E10702" s="43">
        <f>C10702</f>
        <v>0</v>
      </c>
      <c r="F10702" s="42"/>
    </row>
    <row r="10703" spans="1:6">
      <c r="A10703" s="39">
        <f>A10702</f>
        <v>46048</v>
      </c>
      <c r="B10703" s="40"/>
      <c r="C10703" s="40"/>
      <c r="D10703" s="41"/>
      <c r="E10703" s="43">
        <f>C10703</f>
        <v>0</v>
      </c>
      <c r="F10703" s="42"/>
    </row>
    <row r="10704" spans="1:6">
      <c r="A10704" s="39">
        <f>A10703</f>
        <v>46048</v>
      </c>
      <c r="B10704" s="40"/>
      <c r="C10704" s="40"/>
      <c r="D10704" s="41"/>
      <c r="E10704" s="43">
        <f>C10704</f>
        <v>0</v>
      </c>
      <c r="F10704" s="42"/>
    </row>
    <row r="10705" spans="1:6">
      <c r="A10705" s="39">
        <f>A10704</f>
        <v>46048</v>
      </c>
      <c r="B10705" s="40"/>
      <c r="C10705" s="40"/>
      <c r="D10705" s="41"/>
      <c r="E10705" s="43">
        <f>C10705</f>
        <v>0</v>
      </c>
      <c r="F10705" s="42"/>
    </row>
    <row r="10706" spans="1:6">
      <c r="A10706" s="39">
        <f>A10705</f>
        <v>46048</v>
      </c>
      <c r="B10706" s="40"/>
      <c r="C10706" s="40"/>
      <c r="D10706" s="41"/>
      <c r="E10706" s="43">
        <f>C10706</f>
        <v>0</v>
      </c>
      <c r="F10706" s="42"/>
    </row>
    <row r="10707" spans="1:6">
      <c r="A10707" s="39">
        <f>A10706</f>
        <v>46048</v>
      </c>
      <c r="B10707" s="40"/>
      <c r="C10707" s="40"/>
      <c r="D10707" s="41"/>
      <c r="E10707" s="43">
        <f>C10707</f>
        <v>0</v>
      </c>
      <c r="F10707" s="42"/>
    </row>
    <row r="10708" spans="1:6">
      <c r="A10708" s="39">
        <f>A10707</f>
        <v>46048</v>
      </c>
      <c r="B10708" s="40"/>
      <c r="C10708" s="40"/>
      <c r="D10708" s="41"/>
      <c r="E10708" s="43">
        <f>C10708</f>
        <v>0</v>
      </c>
      <c r="F10708" s="42"/>
    </row>
    <row r="10709" spans="1:6">
      <c r="A10709" s="39">
        <f>A10708</f>
        <v>46048</v>
      </c>
      <c r="B10709" s="40"/>
      <c r="C10709" s="40"/>
      <c r="D10709" s="41"/>
      <c r="E10709" s="43">
        <f>C10709</f>
        <v>0</v>
      </c>
      <c r="F10709" s="42"/>
    </row>
    <row r="10710" spans="1:6">
      <c r="A10710" s="39">
        <f>A10709</f>
        <v>46048</v>
      </c>
      <c r="B10710" s="40"/>
      <c r="C10710" s="40"/>
      <c r="D10710" s="41"/>
      <c r="E10710" s="43">
        <f>C10710</f>
        <v>0</v>
      </c>
      <c r="F10710" s="42"/>
    </row>
    <row r="10711" spans="1:6">
      <c r="A10711" s="39">
        <f>A10710</f>
        <v>46048</v>
      </c>
      <c r="B10711" s="40"/>
      <c r="C10711" s="40"/>
      <c r="D10711" s="41"/>
      <c r="E10711" s="43">
        <f>C10711</f>
        <v>0</v>
      </c>
      <c r="F10711" s="42"/>
    </row>
    <row r="10712" spans="1:6">
      <c r="A10712" s="39">
        <f>A10711</f>
        <v>46048</v>
      </c>
      <c r="B10712" s="40"/>
      <c r="C10712" s="40"/>
      <c r="D10712" s="41"/>
      <c r="E10712" s="43">
        <f>C10712</f>
        <v>0</v>
      </c>
      <c r="F10712" s="42"/>
    </row>
    <row r="10713" spans="1:6">
      <c r="A10713" s="39">
        <f>A10712</f>
        <v>46048</v>
      </c>
      <c r="B10713" s="40"/>
      <c r="C10713" s="40"/>
      <c r="D10713" s="41"/>
      <c r="E10713" s="43">
        <f>C10713</f>
        <v>0</v>
      </c>
      <c r="F10713" s="42"/>
    </row>
    <row r="10714" spans="1:6">
      <c r="A10714" s="39">
        <f>A10713</f>
        <v>46048</v>
      </c>
      <c r="B10714" s="40"/>
      <c r="C10714" s="40"/>
      <c r="D10714" s="41"/>
      <c r="E10714" s="43">
        <f>C10714</f>
        <v>0</v>
      </c>
      <c r="F10714" s="42"/>
    </row>
    <row r="10715" spans="1:6">
      <c r="A10715" s="39">
        <f>A10714</f>
        <v>46048</v>
      </c>
      <c r="B10715" s="40"/>
      <c r="C10715" s="40"/>
      <c r="D10715" s="41"/>
      <c r="E10715" s="43">
        <f>C10715</f>
        <v>0</v>
      </c>
      <c r="F10715" s="42"/>
    </row>
    <row r="10716" spans="1:6">
      <c r="A10716" s="39">
        <f>A10715</f>
        <v>46048</v>
      </c>
      <c r="B10716" s="40"/>
      <c r="C10716" s="40"/>
      <c r="D10716" s="41"/>
      <c r="E10716" s="43">
        <f>C10716</f>
        <v>0</v>
      </c>
      <c r="F10716" s="42"/>
    </row>
    <row r="10717" spans="1:6">
      <c r="A10717" s="39">
        <f>A10716</f>
        <v>46048</v>
      </c>
      <c r="B10717" s="40"/>
      <c r="C10717" s="40"/>
      <c r="D10717" s="41"/>
      <c r="E10717" s="43">
        <f>C10717</f>
        <v>0</v>
      </c>
      <c r="F10717" s="42"/>
    </row>
    <row r="10718" spans="1:6">
      <c r="A10718" s="39">
        <f>A10717</f>
        <v>46048</v>
      </c>
      <c r="B10718" s="40"/>
      <c r="C10718" s="40"/>
      <c r="D10718" s="41"/>
      <c r="E10718" s="43">
        <f>C10718</f>
        <v>0</v>
      </c>
      <c r="F10718" s="42"/>
    </row>
    <row r="10719" spans="1:6">
      <c r="A10719" s="39">
        <f>A10718</f>
        <v>46048</v>
      </c>
      <c r="B10719" s="40"/>
      <c r="C10719" s="40"/>
      <c r="D10719" s="41"/>
      <c r="E10719" s="43">
        <f>C10719</f>
        <v>0</v>
      </c>
      <c r="F10719" s="42"/>
    </row>
    <row r="10720" spans="1:6">
      <c r="A10720" s="39">
        <f>A10719</f>
        <v>46048</v>
      </c>
      <c r="B10720" s="40"/>
      <c r="C10720" s="40"/>
      <c r="D10720" s="41"/>
      <c r="E10720" s="43">
        <f>C10720</f>
        <v>0</v>
      </c>
      <c r="F10720" s="42"/>
    </row>
    <row r="10721" spans="1:6">
      <c r="A10721" s="39">
        <f>A10720</f>
        <v>46048</v>
      </c>
      <c r="B10721" s="40"/>
      <c r="C10721" s="40"/>
      <c r="D10721" s="41"/>
      <c r="E10721" s="43">
        <f>C10721</f>
        <v>0</v>
      </c>
      <c r="F10721" s="42"/>
    </row>
    <row r="10722" spans="1:6">
      <c r="A10722" s="39">
        <f>A10721</f>
        <v>46048</v>
      </c>
      <c r="B10722" s="40"/>
      <c r="C10722" s="40"/>
      <c r="D10722" s="41"/>
      <c r="E10722" s="43">
        <f>C10722</f>
        <v>0</v>
      </c>
      <c r="F10722" s="42"/>
    </row>
    <row r="10723" spans="1:6">
      <c r="A10723" s="39">
        <f>A10722</f>
        <v>46048</v>
      </c>
      <c r="B10723" s="40"/>
      <c r="C10723" s="40"/>
      <c r="D10723" s="41"/>
      <c r="E10723" s="43">
        <f>C10723</f>
        <v>0</v>
      </c>
      <c r="F10723" s="42"/>
    </row>
    <row r="10724" spans="1:6">
      <c r="A10724" s="39">
        <f>A10723</f>
        <v>46048</v>
      </c>
      <c r="B10724" s="40"/>
      <c r="C10724" s="40"/>
      <c r="D10724" s="41"/>
      <c r="E10724" s="43">
        <f>C10724</f>
        <v>0</v>
      </c>
      <c r="F10724" s="42"/>
    </row>
    <row r="10725" spans="1:6">
      <c r="A10725" s="39">
        <f>A10724</f>
        <v>46048</v>
      </c>
      <c r="B10725" s="40"/>
      <c r="C10725" s="40"/>
      <c r="D10725" s="41"/>
      <c r="E10725" s="43">
        <f>C10725</f>
        <v>0</v>
      </c>
      <c r="F10725" s="42"/>
    </row>
    <row r="10726" spans="1:6">
      <c r="A10726" s="39">
        <f>A10725</f>
        <v>46048</v>
      </c>
      <c r="B10726" s="40"/>
      <c r="C10726" s="40"/>
      <c r="D10726" s="41"/>
      <c r="E10726" s="43">
        <f>C10726</f>
        <v>0</v>
      </c>
      <c r="F10726" s="42"/>
    </row>
    <row r="10727" spans="1:6">
      <c r="A10727" s="39">
        <f>A10726</f>
        <v>46048</v>
      </c>
      <c r="B10727" s="40"/>
      <c r="C10727" s="40"/>
      <c r="D10727" s="41"/>
      <c r="E10727" s="43">
        <f>C10727</f>
        <v>0</v>
      </c>
      <c r="F10727" s="42"/>
    </row>
    <row r="10728" spans="1:6">
      <c r="A10728" s="39">
        <f>A10727</f>
        <v>46048</v>
      </c>
      <c r="B10728" s="40"/>
      <c r="C10728" s="40"/>
      <c r="D10728" s="41"/>
      <c r="E10728" s="43">
        <f>C10728</f>
        <v>0</v>
      </c>
      <c r="F10728" s="42"/>
    </row>
    <row r="10729" spans="1:6">
      <c r="A10729" s="39">
        <f>A10728</f>
        <v>46048</v>
      </c>
      <c r="B10729" s="40"/>
      <c r="C10729" s="40"/>
      <c r="D10729" s="41"/>
      <c r="E10729" s="43">
        <f>C10729</f>
        <v>0</v>
      </c>
      <c r="F10729" s="42"/>
    </row>
    <row r="10730" spans="1:6">
      <c r="A10730" s="39">
        <f>A10729</f>
        <v>46048</v>
      </c>
      <c r="B10730" s="40"/>
      <c r="C10730" s="40"/>
      <c r="D10730" s="41"/>
      <c r="E10730" s="43">
        <f>C10730</f>
        <v>0</v>
      </c>
      <c r="F10730" s="42"/>
    </row>
    <row r="10731" spans="1:6">
      <c r="A10731" s="39">
        <f>A10730</f>
        <v>46048</v>
      </c>
      <c r="B10731" s="40"/>
      <c r="C10731" s="40"/>
      <c r="D10731" s="41"/>
      <c r="E10731" s="43">
        <f>C10731</f>
        <v>0</v>
      </c>
      <c r="F10731" s="42"/>
    </row>
    <row r="10732" spans="1:6">
      <c r="A10732" s="39">
        <f>A10731</f>
        <v>46048</v>
      </c>
      <c r="B10732" s="40"/>
      <c r="C10732" s="40"/>
      <c r="D10732" s="41"/>
      <c r="E10732" s="43">
        <f>C10732</f>
        <v>0</v>
      </c>
      <c r="F10732" s="42"/>
    </row>
    <row r="10733" spans="1:6">
      <c r="A10733" s="39">
        <f>A10732</f>
        <v>46048</v>
      </c>
      <c r="B10733" s="40"/>
      <c r="C10733" s="40"/>
      <c r="D10733" s="41"/>
      <c r="E10733" s="43">
        <f>C10733</f>
        <v>0</v>
      </c>
      <c r="F10733" s="42"/>
    </row>
    <row r="10734" spans="1:6">
      <c r="A10734" s="39">
        <f>A10733</f>
        <v>46048</v>
      </c>
      <c r="B10734" s="40"/>
      <c r="C10734" s="40"/>
      <c r="D10734" s="41"/>
      <c r="E10734" s="43">
        <f>C10734</f>
        <v>0</v>
      </c>
      <c r="F10734" s="42"/>
    </row>
    <row r="10735" spans="1:6">
      <c r="A10735" s="39">
        <f>A10734</f>
        <v>46048</v>
      </c>
      <c r="B10735" s="40"/>
      <c r="C10735" s="40"/>
      <c r="D10735" s="41"/>
      <c r="E10735" s="43">
        <f>C10735</f>
        <v>0</v>
      </c>
      <c r="F10735" s="42"/>
    </row>
    <row r="10736" spans="1:6">
      <c r="A10736" s="39">
        <f>A10735</f>
        <v>46048</v>
      </c>
      <c r="B10736" s="40"/>
      <c r="C10736" s="40"/>
      <c r="D10736" s="41"/>
      <c r="E10736" s="43">
        <f>C10736</f>
        <v>0</v>
      </c>
      <c r="F10736" s="42"/>
    </row>
    <row r="10737" spans="1:6">
      <c r="A10737" s="39">
        <f>A10736</f>
        <v>46048</v>
      </c>
      <c r="B10737" s="40"/>
      <c r="C10737" s="40"/>
      <c r="D10737" s="41"/>
      <c r="E10737" s="43">
        <f>C10737</f>
        <v>0</v>
      </c>
      <c r="F10737" s="42"/>
    </row>
    <row r="10738" spans="1:6">
      <c r="A10738" s="39">
        <f>A10737</f>
        <v>46048</v>
      </c>
      <c r="B10738" s="40"/>
      <c r="C10738" s="40"/>
      <c r="D10738" s="41"/>
      <c r="E10738" s="43">
        <f>C10738</f>
        <v>0</v>
      </c>
      <c r="F10738" s="42"/>
    </row>
    <row r="10739" spans="1:6">
      <c r="A10739" s="39">
        <f>A10738</f>
        <v>46048</v>
      </c>
      <c r="B10739" s="40"/>
      <c r="C10739" s="40"/>
      <c r="D10739" s="41"/>
      <c r="E10739" s="43">
        <f>C10739</f>
        <v>0</v>
      </c>
      <c r="F10739" s="42"/>
    </row>
    <row r="10740" spans="1:6">
      <c r="A10740" s="39">
        <f>A10739</f>
        <v>46048</v>
      </c>
      <c r="B10740" s="40"/>
      <c r="C10740" s="40"/>
      <c r="D10740" s="41"/>
      <c r="E10740" s="43">
        <f>C10740</f>
        <v>0</v>
      </c>
      <c r="F10740" s="42"/>
    </row>
    <row r="10741" spans="1:6">
      <c r="A10741" s="39">
        <f>A10740</f>
        <v>46048</v>
      </c>
      <c r="B10741" s="40"/>
      <c r="C10741" s="40"/>
      <c r="D10741" s="41"/>
      <c r="E10741" s="43">
        <f>C10741</f>
        <v>0</v>
      </c>
      <c r="F10741" s="42"/>
    </row>
    <row r="10742" spans="1:6">
      <c r="A10742" s="39">
        <f>A10741</f>
        <v>46048</v>
      </c>
      <c r="B10742" s="40"/>
      <c r="C10742" s="40"/>
      <c r="D10742" s="41"/>
      <c r="E10742" s="43">
        <f>C10742</f>
        <v>0</v>
      </c>
      <c r="F10742" s="42"/>
    </row>
    <row r="10743" spans="1:6">
      <c r="A10743" s="39">
        <f>A10742</f>
        <v>46048</v>
      </c>
      <c r="B10743" s="40"/>
      <c r="C10743" s="40"/>
      <c r="D10743" s="41"/>
      <c r="E10743" s="43">
        <f>C10743</f>
        <v>0</v>
      </c>
      <c r="F10743" s="42"/>
    </row>
    <row r="10744" spans="1:6">
      <c r="A10744" s="39">
        <f>A10743</f>
        <v>46048</v>
      </c>
      <c r="B10744" s="40"/>
      <c r="C10744" s="40"/>
      <c r="D10744" s="41"/>
      <c r="E10744" s="43">
        <f>C10744</f>
        <v>0</v>
      </c>
      <c r="F10744" s="42"/>
    </row>
    <row r="10745" spans="1:6">
      <c r="A10745" s="39">
        <f>A10744</f>
        <v>46048</v>
      </c>
      <c r="B10745" s="40"/>
      <c r="C10745" s="40"/>
      <c r="D10745" s="41"/>
      <c r="E10745" s="43">
        <f>C10745</f>
        <v>0</v>
      </c>
      <c r="F10745" s="42"/>
    </row>
    <row r="10746" spans="1:6">
      <c r="A10746" s="39">
        <f>A10745</f>
        <v>46048</v>
      </c>
      <c r="B10746" s="40"/>
      <c r="C10746" s="40"/>
      <c r="D10746" s="41"/>
      <c r="E10746" s="43">
        <f>C10746</f>
        <v>0</v>
      </c>
      <c r="F10746" s="42"/>
    </row>
    <row r="10747" spans="1:6">
      <c r="A10747" s="39">
        <f>A10746</f>
        <v>46048</v>
      </c>
      <c r="B10747" s="40"/>
      <c r="C10747" s="40"/>
      <c r="D10747" s="41"/>
      <c r="E10747" s="43">
        <f>C10747</f>
        <v>0</v>
      </c>
      <c r="F10747" s="42"/>
    </row>
    <row r="10748" spans="1:6">
      <c r="A10748" s="39">
        <f>A10747</f>
        <v>46048</v>
      </c>
      <c r="B10748" s="40"/>
      <c r="C10748" s="40"/>
      <c r="D10748" s="41"/>
      <c r="E10748" s="43">
        <f>C10748</f>
        <v>0</v>
      </c>
      <c r="F10748" s="42"/>
    </row>
    <row r="10749" spans="1:6">
      <c r="A10749" s="39">
        <f>A10748</f>
        <v>46048</v>
      </c>
      <c r="B10749" s="40"/>
      <c r="C10749" s="40"/>
      <c r="D10749" s="41"/>
      <c r="E10749" s="43">
        <f>C10749</f>
        <v>0</v>
      </c>
      <c r="F10749" s="42"/>
    </row>
    <row r="10750" spans="1:6">
      <c r="A10750" s="39">
        <f>A10749</f>
        <v>46048</v>
      </c>
      <c r="B10750" s="40"/>
      <c r="C10750" s="40"/>
      <c r="D10750" s="41"/>
      <c r="E10750" s="43">
        <f>C10750</f>
        <v>0</v>
      </c>
      <c r="F10750" s="42"/>
    </row>
    <row r="10751" spans="1:6">
      <c r="A10751" s="39">
        <f>A10750</f>
        <v>46048</v>
      </c>
      <c r="B10751" s="40"/>
      <c r="C10751" s="40"/>
      <c r="D10751" s="41"/>
      <c r="E10751" s="43">
        <f>C10751</f>
        <v>0</v>
      </c>
      <c r="F10751" s="42"/>
    </row>
    <row r="10752" spans="1:6">
      <c r="A10752" s="39">
        <f>A10751</f>
        <v>46048</v>
      </c>
      <c r="B10752" s="40"/>
      <c r="C10752" s="40"/>
      <c r="D10752" s="41"/>
      <c r="E10752" s="43">
        <f>C10752</f>
        <v>0</v>
      </c>
      <c r="F10752" s="42"/>
    </row>
    <row r="10753" spans="1:6">
      <c r="A10753" s="39">
        <f>A10752</f>
        <v>46048</v>
      </c>
      <c r="B10753" s="40"/>
      <c r="C10753" s="40"/>
      <c r="D10753" s="41"/>
      <c r="E10753" s="43">
        <f>C10753</f>
        <v>0</v>
      </c>
      <c r="F10753" s="42"/>
    </row>
    <row r="10754" spans="1:6">
      <c r="A10754" s="39">
        <f>A10753</f>
        <v>46048</v>
      </c>
      <c r="B10754" s="40"/>
      <c r="C10754" s="40"/>
      <c r="D10754" s="41"/>
      <c r="E10754" s="43">
        <f>C10754</f>
        <v>0</v>
      </c>
      <c r="F10754" s="42"/>
    </row>
    <row r="10755" spans="1:6">
      <c r="A10755" s="39">
        <f>A10754</f>
        <v>46048</v>
      </c>
      <c r="B10755" s="40"/>
      <c r="C10755" s="40"/>
      <c r="D10755" s="41"/>
      <c r="E10755" s="43">
        <f>C10755</f>
        <v>0</v>
      </c>
      <c r="F10755" s="42"/>
    </row>
    <row r="10756" spans="1:6">
      <c r="A10756" s="39">
        <f>A10755</f>
        <v>46048</v>
      </c>
      <c r="B10756" s="40"/>
      <c r="C10756" s="40"/>
      <c r="D10756" s="41"/>
      <c r="E10756" s="43">
        <f>C10756</f>
        <v>0</v>
      </c>
      <c r="F10756" s="42"/>
    </row>
    <row r="10757" spans="1:6">
      <c r="A10757" s="39">
        <f>A10756</f>
        <v>46048</v>
      </c>
      <c r="B10757" s="40"/>
      <c r="C10757" s="40"/>
      <c r="D10757" s="41"/>
      <c r="E10757" s="43">
        <f>C10757</f>
        <v>0</v>
      </c>
      <c r="F10757" s="42"/>
    </row>
    <row r="10758" spans="1:6">
      <c r="A10758" s="39">
        <f>A10757</f>
        <v>46048</v>
      </c>
      <c r="B10758" s="40"/>
      <c r="C10758" s="40"/>
      <c r="D10758" s="41"/>
      <c r="E10758" s="43">
        <f>C10758</f>
        <v>0</v>
      </c>
      <c r="F10758" s="42"/>
    </row>
    <row r="10759" spans="1:6">
      <c r="A10759" s="39">
        <f>A10758</f>
        <v>46048</v>
      </c>
      <c r="B10759" s="40"/>
      <c r="C10759" s="40"/>
      <c r="D10759" s="41"/>
      <c r="E10759" s="43">
        <f>C10759</f>
        <v>0</v>
      </c>
      <c r="F10759" s="42"/>
    </row>
    <row r="10760" spans="1:6">
      <c r="A10760" s="39">
        <f>A10759</f>
        <v>46048</v>
      </c>
      <c r="B10760" s="40"/>
      <c r="C10760" s="40"/>
      <c r="D10760" s="41"/>
      <c r="E10760" s="43">
        <f>C10760</f>
        <v>0</v>
      </c>
      <c r="F10760" s="42"/>
    </row>
    <row r="10761" spans="1:6">
      <c r="A10761" s="39">
        <f>A10760</f>
        <v>46048</v>
      </c>
      <c r="B10761" s="40"/>
      <c r="C10761" s="40"/>
      <c r="D10761" s="41"/>
      <c r="E10761" s="43">
        <f>C10761</f>
        <v>0</v>
      </c>
      <c r="F10761" s="42"/>
    </row>
    <row r="10762" spans="1:6">
      <c r="A10762" s="39">
        <f>A10761</f>
        <v>46048</v>
      </c>
      <c r="B10762" s="40"/>
      <c r="C10762" s="40"/>
      <c r="D10762" s="41"/>
      <c r="E10762" s="43">
        <f>C10762</f>
        <v>0</v>
      </c>
      <c r="F10762" s="42"/>
    </row>
    <row r="10763" spans="1:6">
      <c r="A10763" s="39">
        <f>A10762</f>
        <v>46048</v>
      </c>
      <c r="B10763" s="40"/>
      <c r="C10763" s="40"/>
      <c r="D10763" s="41"/>
      <c r="E10763" s="43">
        <f>C10763</f>
        <v>0</v>
      </c>
      <c r="F10763" s="42"/>
    </row>
    <row r="10764" spans="1:6">
      <c r="A10764" s="39">
        <f>A10763</f>
        <v>46048</v>
      </c>
      <c r="B10764" s="40"/>
      <c r="C10764" s="40"/>
      <c r="D10764" s="41"/>
      <c r="E10764" s="43">
        <f>C10764</f>
        <v>0</v>
      </c>
      <c r="F10764" s="42"/>
    </row>
    <row r="10765" spans="1:6">
      <c r="A10765" s="39">
        <f>A10764</f>
        <v>46048</v>
      </c>
      <c r="B10765" s="40"/>
      <c r="C10765" s="40"/>
      <c r="D10765" s="41"/>
      <c r="E10765" s="43">
        <f>C10765</f>
        <v>0</v>
      </c>
      <c r="F10765" s="42"/>
    </row>
    <row r="10766" spans="1:6">
      <c r="A10766" s="39">
        <f>A10765</f>
        <v>46048</v>
      </c>
      <c r="B10766" s="40"/>
      <c r="C10766" s="40"/>
      <c r="D10766" s="41"/>
      <c r="E10766" s="43">
        <f>C10766</f>
        <v>0</v>
      </c>
      <c r="F10766" s="42"/>
    </row>
    <row r="10767" spans="1:6">
      <c r="A10767" s="39">
        <f>A10766</f>
        <v>46048</v>
      </c>
      <c r="B10767" s="40"/>
      <c r="C10767" s="40"/>
      <c r="D10767" s="41"/>
      <c r="E10767" s="43">
        <f>C10767</f>
        <v>0</v>
      </c>
      <c r="F10767" s="42"/>
    </row>
    <row r="10768" spans="1:6">
      <c r="A10768" s="39">
        <f>A10767</f>
        <v>46048</v>
      </c>
      <c r="B10768" s="40"/>
      <c r="C10768" s="40"/>
      <c r="D10768" s="41"/>
      <c r="E10768" s="43">
        <f>C10768</f>
        <v>0</v>
      </c>
      <c r="F10768" s="42"/>
    </row>
    <row r="10769" spans="1:6">
      <c r="A10769" s="39">
        <f>A10768</f>
        <v>46048</v>
      </c>
      <c r="B10769" s="40"/>
      <c r="C10769" s="40"/>
      <c r="D10769" s="41"/>
      <c r="E10769" s="43">
        <f>C10769</f>
        <v>0</v>
      </c>
      <c r="F10769" s="42"/>
    </row>
    <row r="10770" spans="1:6">
      <c r="A10770" s="39">
        <f>A10769</f>
        <v>46048</v>
      </c>
      <c r="B10770" s="40"/>
      <c r="C10770" s="40"/>
      <c r="D10770" s="41"/>
      <c r="E10770" s="43">
        <f>C10770</f>
        <v>0</v>
      </c>
      <c r="F10770" s="42"/>
    </row>
    <row r="10771" spans="1:6">
      <c r="A10771" s="39">
        <f>A10770</f>
        <v>46048</v>
      </c>
      <c r="B10771" s="40"/>
      <c r="C10771" s="40"/>
      <c r="D10771" s="41"/>
      <c r="E10771" s="43">
        <f>C10771</f>
        <v>0</v>
      </c>
      <c r="F10771" s="42"/>
    </row>
    <row r="10772" spans="1:6">
      <c r="A10772" s="39">
        <f>A10771</f>
        <v>46048</v>
      </c>
      <c r="B10772" s="40"/>
      <c r="C10772" s="40"/>
      <c r="D10772" s="41"/>
      <c r="E10772" s="43">
        <f>C10772</f>
        <v>0</v>
      </c>
      <c r="F10772" s="42"/>
    </row>
    <row r="10773" spans="1:6">
      <c r="A10773" s="39">
        <f>A10772</f>
        <v>46048</v>
      </c>
      <c r="B10773" s="40"/>
      <c r="C10773" s="40"/>
      <c r="D10773" s="41"/>
      <c r="E10773" s="43">
        <f>C10773</f>
        <v>0</v>
      </c>
      <c r="F10773" s="42"/>
    </row>
    <row r="10774" spans="1:6">
      <c r="A10774" s="39">
        <f>A10773</f>
        <v>46048</v>
      </c>
      <c r="B10774" s="40"/>
      <c r="C10774" s="40"/>
      <c r="D10774" s="41"/>
      <c r="E10774" s="43">
        <f>C10774</f>
        <v>0</v>
      </c>
      <c r="F10774" s="42"/>
    </row>
    <row r="10775" spans="1:6">
      <c r="A10775" s="39">
        <f>A10774</f>
        <v>46048</v>
      </c>
      <c r="B10775" s="40"/>
      <c r="C10775" s="40"/>
      <c r="D10775" s="41"/>
      <c r="E10775" s="43">
        <f>C10775</f>
        <v>0</v>
      </c>
      <c r="F10775" s="42"/>
    </row>
    <row r="10776" spans="1:6">
      <c r="A10776" s="39">
        <f>A10775</f>
        <v>46048</v>
      </c>
      <c r="B10776" s="40"/>
      <c r="C10776" s="40"/>
      <c r="D10776" s="41"/>
      <c r="E10776" s="43">
        <f>C10776</f>
        <v>0</v>
      </c>
      <c r="F10776" s="42"/>
    </row>
    <row r="10777" spans="1:6">
      <c r="A10777" s="39">
        <f>A10776</f>
        <v>46048</v>
      </c>
      <c r="B10777" s="40"/>
      <c r="C10777" s="40"/>
      <c r="D10777" s="41"/>
      <c r="E10777" s="43">
        <f>C10777</f>
        <v>0</v>
      </c>
      <c r="F10777" s="42"/>
    </row>
    <row r="10778" spans="1:6">
      <c r="A10778" s="39">
        <f>A10777</f>
        <v>46048</v>
      </c>
      <c r="B10778" s="40"/>
      <c r="C10778" s="40"/>
      <c r="D10778" s="41"/>
      <c r="E10778" s="43">
        <f>C10778</f>
        <v>0</v>
      </c>
      <c r="F10778" s="42"/>
    </row>
    <row r="10779" spans="1:6">
      <c r="A10779" s="39">
        <f>A10778</f>
        <v>46048</v>
      </c>
      <c r="B10779" s="40"/>
      <c r="C10779" s="40"/>
      <c r="D10779" s="41"/>
      <c r="E10779" s="43">
        <f>C10779</f>
        <v>0</v>
      </c>
      <c r="F10779" s="42"/>
    </row>
    <row r="10780" spans="1:6">
      <c r="A10780" s="39">
        <f>A10779</f>
        <v>46048</v>
      </c>
      <c r="B10780" s="40"/>
      <c r="C10780" s="40"/>
      <c r="D10780" s="41"/>
      <c r="E10780" s="43">
        <f>C10780</f>
        <v>0</v>
      </c>
      <c r="F10780" s="42"/>
    </row>
    <row r="10781" spans="1:6">
      <c r="A10781" s="39">
        <f>A10780</f>
        <v>46048</v>
      </c>
      <c r="B10781" s="40"/>
      <c r="C10781" s="40"/>
      <c r="D10781" s="41"/>
      <c r="E10781" s="43">
        <f>C10781</f>
        <v>0</v>
      </c>
      <c r="F10781" s="42"/>
    </row>
    <row r="10782" spans="1:6">
      <c r="A10782" s="39">
        <f>A10781</f>
        <v>46048</v>
      </c>
      <c r="B10782" s="40"/>
      <c r="C10782" s="40"/>
      <c r="D10782" s="41"/>
      <c r="E10782" s="43">
        <f>C10782</f>
        <v>0</v>
      </c>
      <c r="F10782" s="42"/>
    </row>
    <row r="10783" spans="1:6">
      <c r="A10783" s="39">
        <f>A10782</f>
        <v>46048</v>
      </c>
      <c r="B10783" s="40"/>
      <c r="C10783" s="40"/>
      <c r="D10783" s="41"/>
      <c r="E10783" s="43">
        <f>C10783</f>
        <v>0</v>
      </c>
      <c r="F10783" s="42"/>
    </row>
    <row r="10784" spans="1:6">
      <c r="A10784" s="39">
        <f>A10783</f>
        <v>46048</v>
      </c>
      <c r="B10784" s="40"/>
      <c r="C10784" s="40"/>
      <c r="D10784" s="41"/>
      <c r="E10784" s="43">
        <f>C10784</f>
        <v>0</v>
      </c>
      <c r="F10784" s="42"/>
    </row>
    <row r="10785" spans="1:6">
      <c r="A10785" s="39">
        <f>A10784</f>
        <v>46048</v>
      </c>
      <c r="B10785" s="40"/>
      <c r="C10785" s="40"/>
      <c r="D10785" s="41"/>
      <c r="E10785" s="43">
        <f>C10785</f>
        <v>0</v>
      </c>
      <c r="F10785" s="42"/>
    </row>
    <row r="10786" spans="1:6">
      <c r="A10786" s="39">
        <f>A10785</f>
        <v>46048</v>
      </c>
      <c r="B10786" s="40"/>
      <c r="C10786" s="40"/>
      <c r="D10786" s="41"/>
      <c r="E10786" s="43">
        <f>C10786</f>
        <v>0</v>
      </c>
      <c r="F10786" s="42"/>
    </row>
    <row r="10787" spans="1:6">
      <c r="A10787" s="39">
        <f>A10786</f>
        <v>46048</v>
      </c>
      <c r="B10787" s="40"/>
      <c r="C10787" s="40"/>
      <c r="D10787" s="41"/>
      <c r="E10787" s="43">
        <f>C10787</f>
        <v>0</v>
      </c>
      <c r="F10787" s="42"/>
    </row>
    <row r="10788" spans="1:6">
      <c r="A10788" s="39">
        <f>+A10787</f>
        <v>46048</v>
      </c>
      <c r="B10788" s="40"/>
      <c r="C10788" s="40"/>
      <c r="D10788" s="41"/>
      <c r="E10788" s="43">
        <f>C10788</f>
        <v>0</v>
      </c>
      <c r="F10788" s="42"/>
    </row>
    <row r="10789" spans="1:6">
      <c r="A10789" s="39">
        <f>A10788</f>
        <v>46048</v>
      </c>
      <c r="B10789" s="40"/>
      <c r="C10789" s="40"/>
      <c r="D10789" s="41"/>
      <c r="E10789" s="43">
        <f>C10789</f>
        <v>0</v>
      </c>
      <c r="F10789" s="42"/>
    </row>
    <row r="10790" spans="1:6">
      <c r="A10790" s="39">
        <f>A10789</f>
        <v>46048</v>
      </c>
      <c r="B10790" s="40"/>
      <c r="C10790" s="40"/>
      <c r="D10790" s="41"/>
      <c r="E10790" s="43">
        <f>C10790</f>
        <v>0</v>
      </c>
      <c r="F10790" s="42"/>
    </row>
    <row r="10791" spans="1:6">
      <c r="A10791" s="39">
        <f>A10790</f>
        <v>46048</v>
      </c>
      <c r="B10791" s="40"/>
      <c r="C10791" s="40"/>
      <c r="D10791" s="41"/>
      <c r="E10791" s="43">
        <f>C10791</f>
        <v>0</v>
      </c>
      <c r="F10791" s="42"/>
    </row>
    <row r="10792" spans="1:6">
      <c r="A10792" s="39">
        <f>A10791</f>
        <v>46048</v>
      </c>
      <c r="B10792" s="40"/>
      <c r="C10792" s="40"/>
      <c r="D10792" s="41"/>
      <c r="E10792" s="43">
        <f>C10792</f>
        <v>0</v>
      </c>
      <c r="F10792" s="42"/>
    </row>
    <row r="10793" spans="1:6">
      <c r="A10793" s="50">
        <f>A10792</f>
        <v>46048</v>
      </c>
      <c r="B10793" s="51"/>
      <c r="C10793" s="51"/>
      <c r="D10793" s="52"/>
      <c r="E10793" s="53">
        <f>C10793</f>
        <v>0</v>
      </c>
      <c r="F10793" s="54"/>
    </row>
    <row r="10794" spans="1:6">
      <c r="A10794" s="39"/>
      <c r="B10794" s="40"/>
      <c r="C10794" s="40"/>
    </row>
    <row r="10795" spans="1:6">
      <c r="A10795" s="39"/>
      <c r="B10795" s="40"/>
      <c r="C10795" s="40"/>
    </row>
    <row r="10796" spans="1:6">
      <c r="A10796" s="39"/>
    </row>
    <row r="10797" spans="1:6">
      <c r="A10797" s="39"/>
    </row>
    <row r="10798" spans="1:6">
      <c r="A10798" s="39"/>
    </row>
    <row r="10799" spans="1:6">
      <c r="A10799" s="39"/>
    </row>
    <row r="10800" spans="1:6">
      <c r="A10800" s="39"/>
    </row>
    <row r="10801" spans="1:1">
      <c r="A10801" s="39"/>
    </row>
    <row r="10802" spans="1:1">
      <c r="A10802" s="39"/>
    </row>
    <row r="10803" spans="1:1">
      <c r="A10803" s="39"/>
    </row>
    <row r="10804" spans="1:1">
      <c r="A10804" s="39"/>
    </row>
    <row r="10805" spans="1:1">
      <c r="A10805" s="39"/>
    </row>
    <row r="10806" spans="1:1">
      <c r="A10806" s="39"/>
    </row>
  </sheetData>
  <autoFilter ref="A66:F10793" xr:uid="{00000000-0009-0000-0000-000000000000}"/>
  <mergeCells count="4">
    <mergeCell ref="A1:A60"/>
    <mergeCell ref="A64:A65"/>
    <mergeCell ref="B64:C65"/>
    <mergeCell ref="D64:D65"/>
  </mergeCells>
  <conditionalFormatting sqref="A67:XFD10793">
    <cfRule type="expression" dxfId="3" priority="2">
      <formula>UPPER($C67)="TRASPASO"</formula>
    </cfRule>
    <cfRule type="expression" dxfId="2" priority="3">
      <formula>AND($D67&lt;0, UPPER($C67)&lt;&gt;"TRASPASO")</formula>
    </cfRule>
    <cfRule type="expression" dxfId="1" priority="4">
      <formula>AND($D67&gt;0,UPPER($C67)&lt;&gt;"TRASPASO")</formula>
    </cfRule>
  </conditionalFormatting>
  <dataValidations count="7">
    <dataValidation type="date" errorStyle="warning" operator="greaterThan" allowBlank="1" showErrorMessage="1" errorTitle="Ojo pon fecha" error="Tiene que ser del  año 2025 en adelante" promptTitle="Fecha 2025 en adelante" sqref="A1:A6 A64" xr:uid="{00000000-0002-0000-0000-000000000000}">
      <formula1>0</formula1>
      <formula2>0</formula2>
    </dataValidation>
    <dataValidation allowBlank="1" showErrorMessage="1" errorTitle="Tiene que ser numérico" error="No te pases del millón" promptTitle="Tiene que ser numérico" prompt="Numérico con dos decimales" sqref="F64:F65" xr:uid="{00000000-0002-0000-0000-000001000000}">
      <formula1>-1000000</formula1>
      <formula2>1000000</formula2>
    </dataValidation>
    <dataValidation allowBlank="1" showInputMessage="1" showErrorMessage="1" sqref="E1:E60 B61:B63 E64:E1510 E1512 E1519:E1759 E1762:E1925 E1930:E2015 E2020:E2365 E2370:E2400 E2403:E2504 E2509:E2528 E2553:E11793" xr:uid="{00000000-0002-0000-0000-000002000000}">
      <formula1>0</formula1>
      <formula2>0</formula2>
    </dataValidation>
    <dataValidation allowBlank="1" showInputMessage="1" showErrorMessage="1" errorTitle="Cuenta" error="Elije una de la lista deplegable" promptTitle="Cuenta" prompt="Elije una de la lista deplegable" sqref="B66:C66" xr:uid="{00000000-0002-0000-0000-000003000000}">
      <formula1>0</formula1>
      <formula2>0</formula2>
    </dataValidation>
    <dataValidation type="decimal" allowBlank="1" showInputMessage="1" showErrorMessage="1" promptTitle="Campo numérico" prompt="Tiene que ser importe entre -1000000 y +1000000" sqref="D1:D1683 D1685:D2528 D2553:D11793" xr:uid="{00000000-0002-0000-0000-000004000000}">
      <formula1>-1000000</formula1>
      <formula2>1000000</formula2>
    </dataValidation>
    <dataValidation operator="equal" allowBlank="1" showErrorMessage="1" sqref="C1:C60" xr:uid="{00000000-0002-0000-0000-000005000000}">
      <formula1>0</formula1>
      <formula2>0</formula2>
    </dataValidation>
    <dataValidation type="date" errorStyle="warning" operator="greaterThan" allowBlank="1" showErrorMessage="1" errorTitle="Ojo pon fecha" error="Tiene que ser del  año 2025 en adelante" promptTitle="Fecha 2025 en adelante" sqref="A66:A2528 A2553:A10806" xr:uid="{00000000-0002-0000-0000-000006000000}">
      <formula1>45657</formula1>
      <formula2>0</formula2>
    </dataValidation>
  </dataValidations>
  <hyperlinks>
    <hyperlink ref="E64" r:id="rId1" xr:uid="{00000000-0004-0000-0000-000000000000}"/>
  </hyperlinks>
  <pageMargins left="0.78749999999999998" right="0.78749999999999998" top="1.0249999999999999" bottom="1.0249999999999999" header="0.78749999999999998" footer="0.78749999999999998"/>
  <pageSetup paperSize="9" orientation="portrait" useFirstPageNumber="1" horizontalDpi="300" verticalDpi="300"/>
  <headerFooter>
    <oddHeader>&amp;C&amp;A</oddHeader>
    <oddFooter>&amp;CPágina &amp;P</oddFooter>
  </headerFooter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errorTitle="Elige uno entre" error="Común / Dani / Norma" promptTitle="Elige uno de la lista" prompt="Entre Común / Dani / Norma" xr:uid="{00000000-0002-0000-0000-000007000000}">
          <x14:formula1>
            <xm:f>Configuración!$D$2:$D$4</xm:f>
          </x14:formula1>
          <x14:formula2>
            <xm:f>0</xm:f>
          </x14:formula2>
          <xm:sqref>F1:F60 F66:F2528 F2555:F10793</xm:sqref>
        </x14:dataValidation>
        <x14:dataValidation type="list" operator="equal" allowBlank="1" showErrorMessage="1" xr:uid="{00000000-0002-0000-0000-000008000000}">
          <x14:formula1>
            <xm:f>Configuración!$C$2:$C$30</xm:f>
          </x14:formula1>
          <x14:formula2>
            <xm:f>0</xm:f>
          </x14:formula2>
          <xm:sqref>C67:C212 C214:C216 C218:C222 C226:C234 C236:C244 E1511 E1513:E1518 E1760:E1761 E1926:E1929 E2016:E2019 E2366:E2369 E2401:E2402 E2505:E2508 C246:C2528 C2553:C10795</xm:sqref>
        </x14:dataValidation>
        <x14:dataValidation type="list" allowBlank="1" showInputMessage="1" showErrorMessage="1" errorTitle="Cuenta" error="Elije una de la lista deplegable" promptTitle="Cuenta" prompt="Elije una de la lista deplegable" xr:uid="{00000000-0002-0000-0000-000009000000}">
          <x14:formula1>
            <xm:f>Configuración!$B$2:$B$73</xm:f>
          </x14:formula1>
          <x14:formula2>
            <xm:f>0</xm:f>
          </x14:formula2>
          <xm:sqref>B1:B60 B64:B65 B67:B212 B214:B216 B218:B222 B226:B234 B237:B244 B246:B2528 B2533 B2547:B11793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8CFCE"/>
  </sheetPr>
  <dimension ref="A1:FU144"/>
  <sheetViews>
    <sheetView zoomScale="80" zoomScaleNormal="80" workbookViewId="0">
      <pane ySplit="6" topLeftCell="A37" activePane="bottomLeft" state="frozen"/>
      <selection pane="bottomLeft" activeCell="E25" sqref="E25"/>
    </sheetView>
  </sheetViews>
  <sheetFormatPr defaultColWidth="11.5703125" defaultRowHeight="14.25"/>
  <cols>
    <col min="1" max="1" width="6" style="55" customWidth="1"/>
    <col min="2" max="2" width="45.5703125" style="56" customWidth="1"/>
    <col min="3" max="3" width="18.42578125" style="57" customWidth="1"/>
    <col min="4" max="4" width="21.28515625" style="58" customWidth="1"/>
    <col min="5" max="5" width="18.42578125" style="57" customWidth="1"/>
    <col min="6" max="6" width="12.85546875" style="59" customWidth="1"/>
    <col min="7" max="7" width="18.42578125" style="57" customWidth="1"/>
    <col min="8" max="8" width="12.85546875" style="60" customWidth="1"/>
    <col min="9" max="9" width="13.85546875" style="56" customWidth="1"/>
    <col min="10" max="10" width="19.85546875" style="61" customWidth="1"/>
    <col min="11" max="177" width="10.42578125" style="61" customWidth="1"/>
    <col min="178" max="16384" width="11.5703125" style="62"/>
  </cols>
  <sheetData>
    <row r="1" spans="1:177" s="67" customFormat="1" ht="17.25">
      <c r="A1" s="63"/>
      <c r="B1" s="274">
        <f ca="1">TODAY()</f>
        <v>46048</v>
      </c>
      <c r="C1" s="275" t="s">
        <v>778</v>
      </c>
      <c r="D1" s="275"/>
      <c r="E1" s="276" t="s">
        <v>779</v>
      </c>
      <c r="F1" s="276"/>
      <c r="G1" s="277" t="s">
        <v>780</v>
      </c>
      <c r="H1" s="277"/>
      <c r="I1" s="64"/>
      <c r="J1" s="65"/>
      <c r="K1" s="65"/>
      <c r="L1" s="65"/>
      <c r="M1" s="65"/>
      <c r="N1" s="65"/>
      <c r="O1" s="65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F1" s="66"/>
      <c r="AG1" s="66"/>
      <c r="AH1" s="66"/>
      <c r="AI1" s="66"/>
      <c r="AJ1" s="66"/>
      <c r="AK1" s="66"/>
      <c r="AL1" s="66"/>
      <c r="AM1" s="66"/>
      <c r="AN1" s="66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  <c r="BP1" s="66"/>
      <c r="BQ1" s="66"/>
      <c r="BR1" s="66"/>
      <c r="BS1" s="66"/>
      <c r="BT1" s="66"/>
      <c r="BU1" s="66"/>
      <c r="BV1" s="66"/>
      <c r="BW1" s="66"/>
      <c r="BX1" s="66"/>
      <c r="BY1" s="66"/>
      <c r="BZ1" s="66"/>
      <c r="CA1" s="66"/>
      <c r="CB1" s="66"/>
      <c r="CC1" s="66"/>
      <c r="CD1" s="66"/>
      <c r="CE1" s="66"/>
      <c r="CF1" s="66"/>
      <c r="CG1" s="66"/>
      <c r="CH1" s="66"/>
      <c r="CI1" s="66"/>
      <c r="CJ1" s="66"/>
      <c r="CK1" s="66"/>
      <c r="CL1" s="66"/>
      <c r="CM1" s="66"/>
      <c r="CN1" s="66"/>
      <c r="CO1" s="66"/>
      <c r="CP1" s="66"/>
      <c r="CQ1" s="66"/>
      <c r="CR1" s="66"/>
      <c r="CS1" s="66"/>
      <c r="CT1" s="66"/>
      <c r="CU1" s="66"/>
      <c r="CV1" s="66"/>
      <c r="CW1" s="66"/>
      <c r="CX1" s="66"/>
      <c r="CY1" s="66"/>
      <c r="CZ1" s="66"/>
      <c r="DA1" s="66"/>
      <c r="DB1" s="66"/>
      <c r="DC1" s="66"/>
      <c r="DD1" s="66"/>
      <c r="DE1" s="66"/>
      <c r="DF1" s="66"/>
      <c r="DG1" s="66"/>
      <c r="DH1" s="66"/>
      <c r="DI1" s="66"/>
      <c r="DJ1" s="66"/>
      <c r="DK1" s="66"/>
      <c r="DL1" s="66"/>
      <c r="DM1" s="66"/>
      <c r="DN1" s="66"/>
      <c r="DO1" s="66"/>
      <c r="DP1" s="66"/>
      <c r="DQ1" s="66"/>
      <c r="DR1" s="66"/>
      <c r="DS1" s="66"/>
      <c r="DT1" s="66"/>
      <c r="DU1" s="66"/>
      <c r="DV1" s="66"/>
      <c r="DW1" s="66"/>
      <c r="DX1" s="66"/>
      <c r="DY1" s="66"/>
      <c r="DZ1" s="66"/>
      <c r="EA1" s="66"/>
      <c r="EB1" s="66"/>
      <c r="EC1" s="66"/>
      <c r="ED1" s="66"/>
      <c r="EE1" s="66"/>
      <c r="EF1" s="66"/>
      <c r="EG1" s="66"/>
      <c r="EH1" s="66"/>
      <c r="EI1" s="66"/>
      <c r="EJ1" s="66"/>
      <c r="EK1" s="66"/>
      <c r="EL1" s="66"/>
      <c r="EM1" s="66"/>
      <c r="EN1" s="66"/>
      <c r="EO1" s="66"/>
      <c r="EP1" s="66"/>
      <c r="EQ1" s="66"/>
      <c r="ER1" s="66"/>
      <c r="ES1" s="66"/>
      <c r="ET1" s="66"/>
      <c r="EU1" s="66"/>
      <c r="EV1" s="66"/>
      <c r="EW1" s="66"/>
      <c r="EX1" s="66"/>
      <c r="EY1" s="66"/>
      <c r="EZ1" s="66"/>
      <c r="FA1" s="66"/>
      <c r="FB1" s="66"/>
      <c r="FC1" s="66"/>
      <c r="FD1" s="66"/>
      <c r="FE1" s="66"/>
      <c r="FF1" s="66"/>
      <c r="FG1" s="66"/>
      <c r="FH1" s="66"/>
      <c r="FI1" s="66"/>
      <c r="FJ1" s="66"/>
      <c r="FK1" s="66"/>
      <c r="FL1" s="66"/>
      <c r="FM1" s="66"/>
      <c r="FN1" s="66"/>
      <c r="FO1" s="66"/>
      <c r="FP1" s="66"/>
      <c r="FQ1" s="66"/>
      <c r="FR1" s="66"/>
      <c r="FS1" s="66"/>
      <c r="FT1" s="66"/>
      <c r="FU1" s="66"/>
    </row>
    <row r="2" spans="1:177" s="77" customFormat="1" ht="19.5">
      <c r="A2" s="68"/>
      <c r="B2" s="274"/>
      <c r="C2" s="69">
        <f>+C12+C15+C34+C44+C51+C56+C74+C87+C9</f>
        <v>775283.30899999989</v>
      </c>
      <c r="D2" s="70">
        <v>1</v>
      </c>
      <c r="E2" s="71">
        <f>+E12+E15+E34+E44+E51+E56+E74+E87+E9</f>
        <v>438382.31</v>
      </c>
      <c r="F2" s="72">
        <v>1</v>
      </c>
      <c r="G2" s="73">
        <f>+G12+G15+G34+G44+G51+G56+G74+G87+G9</f>
        <v>336900.99899999995</v>
      </c>
      <c r="H2" s="74">
        <v>1</v>
      </c>
      <c r="I2" s="75"/>
      <c r="J2" s="76"/>
      <c r="K2" s="76"/>
      <c r="L2" s="76"/>
      <c r="M2" s="76"/>
      <c r="N2" s="76"/>
      <c r="O2" s="7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  <c r="BP2" s="66"/>
      <c r="BQ2" s="66"/>
      <c r="BR2" s="66"/>
      <c r="BS2" s="66"/>
      <c r="BT2" s="66"/>
      <c r="BU2" s="66"/>
      <c r="BV2" s="66"/>
      <c r="BW2" s="66"/>
      <c r="BX2" s="66"/>
      <c r="BY2" s="66"/>
      <c r="BZ2" s="66"/>
      <c r="CA2" s="66"/>
      <c r="CB2" s="66"/>
      <c r="CC2" s="66"/>
      <c r="CD2" s="66"/>
      <c r="CE2" s="66"/>
      <c r="CF2" s="66"/>
      <c r="CG2" s="66"/>
      <c r="CH2" s="66"/>
      <c r="CI2" s="66"/>
      <c r="CJ2" s="66"/>
      <c r="CK2" s="66"/>
      <c r="CL2" s="66"/>
      <c r="CM2" s="66"/>
      <c r="CN2" s="66"/>
      <c r="CO2" s="66"/>
      <c r="CP2" s="66"/>
      <c r="CQ2" s="66"/>
      <c r="CR2" s="66"/>
      <c r="CS2" s="66"/>
      <c r="CT2" s="66"/>
      <c r="CU2" s="66"/>
      <c r="CV2" s="66"/>
      <c r="CW2" s="66"/>
      <c r="CX2" s="66"/>
      <c r="CY2" s="66"/>
      <c r="CZ2" s="66"/>
      <c r="DA2" s="66"/>
      <c r="DB2" s="66"/>
      <c r="DC2" s="66"/>
      <c r="DD2" s="66"/>
      <c r="DE2" s="66"/>
      <c r="DF2" s="66"/>
      <c r="DG2" s="66"/>
      <c r="DH2" s="66"/>
      <c r="DI2" s="66"/>
      <c r="DJ2" s="66"/>
      <c r="DK2" s="66"/>
      <c r="DL2" s="66"/>
      <c r="DM2" s="66"/>
      <c r="DN2" s="66"/>
      <c r="DO2" s="66"/>
      <c r="DP2" s="66"/>
      <c r="DQ2" s="66"/>
      <c r="DR2" s="66"/>
      <c r="DS2" s="66"/>
      <c r="DT2" s="66"/>
      <c r="DU2" s="66"/>
      <c r="DV2" s="66"/>
      <c r="DW2" s="66"/>
      <c r="DX2" s="66"/>
      <c r="DY2" s="66"/>
      <c r="DZ2" s="66"/>
      <c r="EA2" s="66"/>
      <c r="EB2" s="66"/>
      <c r="EC2" s="66"/>
      <c r="ED2" s="66"/>
      <c r="EE2" s="66"/>
      <c r="EF2" s="66"/>
      <c r="EG2" s="66"/>
      <c r="EH2" s="66"/>
      <c r="EI2" s="66"/>
      <c r="EJ2" s="66"/>
      <c r="EK2" s="66"/>
      <c r="EL2" s="66"/>
      <c r="EM2" s="66"/>
      <c r="EN2" s="66"/>
      <c r="EO2" s="66"/>
      <c r="EP2" s="66"/>
      <c r="EQ2" s="66"/>
      <c r="ER2" s="66"/>
      <c r="ES2" s="66"/>
      <c r="ET2" s="66"/>
      <c r="EU2" s="66"/>
      <c r="EV2" s="66"/>
      <c r="EW2" s="66"/>
      <c r="EX2" s="66"/>
      <c r="EY2" s="66"/>
      <c r="EZ2" s="66"/>
      <c r="FA2" s="66"/>
      <c r="FB2" s="66"/>
      <c r="FC2" s="66"/>
      <c r="FD2" s="66"/>
      <c r="FE2" s="66"/>
      <c r="FF2" s="66"/>
      <c r="FG2" s="66"/>
      <c r="FH2" s="66"/>
      <c r="FI2" s="66"/>
      <c r="FJ2" s="66"/>
      <c r="FK2" s="66"/>
      <c r="FL2" s="66"/>
      <c r="FM2" s="66"/>
      <c r="FN2" s="66"/>
      <c r="FO2" s="66"/>
      <c r="FP2" s="66"/>
      <c r="FQ2" s="66"/>
      <c r="FR2" s="66"/>
      <c r="FS2" s="66"/>
      <c r="FT2" s="66"/>
      <c r="FU2" s="66"/>
    </row>
    <row r="3" spans="1:177" s="77" customFormat="1" ht="17.25">
      <c r="A3" s="68"/>
      <c r="B3" s="78" t="s">
        <v>781</v>
      </c>
      <c r="C3" s="79">
        <f>+C15+C34+C12</f>
        <v>98932.278999999995</v>
      </c>
      <c r="D3" s="80">
        <f>+C3/C2</f>
        <v>0.12760790520256127</v>
      </c>
      <c r="E3" s="81">
        <f>+E12+E15+E34</f>
        <v>5438.7700000000159</v>
      </c>
      <c r="F3" s="82">
        <f>+E3/E2</f>
        <v>1.2406454083423248E-2</v>
      </c>
      <c r="G3" s="83">
        <f>+G12+G15+G34</f>
        <v>93493.508999999976</v>
      </c>
      <c r="H3" s="84">
        <f>+G3/G2</f>
        <v>0.27751033472002257</v>
      </c>
      <c r="I3" s="75"/>
      <c r="J3" s="76"/>
      <c r="K3" s="76"/>
      <c r="L3" s="76"/>
      <c r="M3" s="76"/>
      <c r="N3" s="76"/>
      <c r="O3" s="7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  <c r="BP3" s="66"/>
      <c r="BQ3" s="66"/>
      <c r="BR3" s="66"/>
      <c r="BS3" s="66"/>
      <c r="BT3" s="66"/>
      <c r="BU3" s="66"/>
      <c r="BV3" s="66"/>
      <c r="BW3" s="66"/>
      <c r="BX3" s="66"/>
      <c r="BY3" s="66"/>
      <c r="BZ3" s="66"/>
      <c r="CA3" s="66"/>
      <c r="CB3" s="66"/>
      <c r="CC3" s="66"/>
      <c r="CD3" s="66"/>
      <c r="CE3" s="66"/>
      <c r="CF3" s="66"/>
      <c r="CG3" s="66"/>
      <c r="CH3" s="66"/>
      <c r="CI3" s="66"/>
      <c r="CJ3" s="66"/>
      <c r="CK3" s="66"/>
      <c r="CL3" s="66"/>
      <c r="CM3" s="66"/>
      <c r="CN3" s="66"/>
      <c r="CO3" s="66"/>
      <c r="CP3" s="66"/>
      <c r="CQ3" s="66"/>
      <c r="CR3" s="66"/>
      <c r="CS3" s="66"/>
      <c r="CT3" s="66"/>
      <c r="CU3" s="66"/>
      <c r="CV3" s="66"/>
      <c r="CW3" s="66"/>
      <c r="CX3" s="66"/>
      <c r="CY3" s="66"/>
      <c r="CZ3" s="66"/>
      <c r="DA3" s="66"/>
      <c r="DB3" s="66"/>
      <c r="DC3" s="66"/>
      <c r="DD3" s="66"/>
      <c r="DE3" s="66"/>
      <c r="DF3" s="66"/>
      <c r="DG3" s="66"/>
      <c r="DH3" s="66"/>
      <c r="DI3" s="66"/>
      <c r="DJ3" s="66"/>
      <c r="DK3" s="66"/>
      <c r="DL3" s="66"/>
      <c r="DM3" s="66"/>
      <c r="DN3" s="66"/>
      <c r="DO3" s="66"/>
      <c r="DP3" s="66"/>
      <c r="DQ3" s="66"/>
      <c r="DR3" s="66"/>
      <c r="DS3" s="66"/>
      <c r="DT3" s="66"/>
      <c r="DU3" s="66"/>
      <c r="DV3" s="66"/>
      <c r="DW3" s="66"/>
      <c r="DX3" s="66"/>
      <c r="DY3" s="66"/>
      <c r="DZ3" s="66"/>
      <c r="EA3" s="66"/>
      <c r="EB3" s="66"/>
      <c r="EC3" s="66"/>
      <c r="ED3" s="66"/>
      <c r="EE3" s="66"/>
      <c r="EF3" s="66"/>
      <c r="EG3" s="66"/>
      <c r="EH3" s="66"/>
      <c r="EI3" s="66"/>
      <c r="EJ3" s="66"/>
      <c r="EK3" s="66"/>
      <c r="EL3" s="66"/>
      <c r="EM3" s="66"/>
      <c r="EN3" s="66"/>
      <c r="EO3" s="66"/>
      <c r="EP3" s="66"/>
      <c r="EQ3" s="66"/>
      <c r="ER3" s="66"/>
      <c r="ES3" s="66"/>
      <c r="ET3" s="66"/>
      <c r="EU3" s="66"/>
      <c r="EV3" s="66"/>
      <c r="EW3" s="66"/>
      <c r="EX3" s="66"/>
      <c r="EY3" s="66"/>
      <c r="EZ3" s="66"/>
      <c r="FA3" s="66"/>
      <c r="FB3" s="66"/>
      <c r="FC3" s="66"/>
      <c r="FD3" s="66"/>
      <c r="FE3" s="66"/>
      <c r="FF3" s="66"/>
      <c r="FG3" s="66"/>
      <c r="FH3" s="66"/>
      <c r="FI3" s="66"/>
      <c r="FJ3" s="66"/>
      <c r="FK3" s="66"/>
      <c r="FL3" s="66"/>
      <c r="FM3" s="66"/>
      <c r="FN3" s="66"/>
      <c r="FO3" s="66"/>
      <c r="FP3" s="66"/>
      <c r="FQ3" s="66"/>
      <c r="FR3" s="66"/>
      <c r="FS3" s="66"/>
      <c r="FT3" s="66"/>
      <c r="FU3" s="66"/>
    </row>
    <row r="4" spans="1:177" s="77" customFormat="1" ht="17.25">
      <c r="A4" s="68"/>
      <c r="B4" s="78" t="s">
        <v>782</v>
      </c>
      <c r="C4" s="79">
        <f>+C7+C8</f>
        <v>27543.570000000003</v>
      </c>
      <c r="D4" s="80">
        <f>+C4/C2</f>
        <v>3.5527103034795254E-2</v>
      </c>
      <c r="E4" s="81">
        <f>+E9</f>
        <v>27543.570000000003</v>
      </c>
      <c r="F4" s="82">
        <f>+E4/E2</f>
        <v>6.2830021585496929E-2</v>
      </c>
      <c r="G4" s="83">
        <f>+G9</f>
        <v>0</v>
      </c>
      <c r="H4" s="84">
        <f>+G4/G2</f>
        <v>0</v>
      </c>
      <c r="I4" s="75"/>
      <c r="J4" s="76"/>
      <c r="K4" s="76"/>
      <c r="L4" s="76"/>
      <c r="M4" s="76"/>
      <c r="N4" s="76"/>
      <c r="O4" s="7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  <c r="BP4" s="66"/>
      <c r="BQ4" s="66"/>
      <c r="BR4" s="66"/>
      <c r="BS4" s="66"/>
      <c r="BT4" s="66"/>
      <c r="BU4" s="66"/>
      <c r="BV4" s="66"/>
      <c r="BW4" s="66"/>
      <c r="BX4" s="66"/>
      <c r="BY4" s="66"/>
      <c r="BZ4" s="66"/>
      <c r="CA4" s="66"/>
      <c r="CB4" s="66"/>
      <c r="CC4" s="66"/>
      <c r="CD4" s="66"/>
      <c r="CE4" s="66"/>
      <c r="CF4" s="66"/>
      <c r="CG4" s="66"/>
      <c r="CH4" s="66"/>
      <c r="CI4" s="66"/>
      <c r="CJ4" s="66"/>
      <c r="CK4" s="66"/>
      <c r="CL4" s="66"/>
      <c r="CM4" s="66"/>
      <c r="CN4" s="66"/>
      <c r="CO4" s="66"/>
      <c r="CP4" s="66"/>
      <c r="CQ4" s="66"/>
      <c r="CR4" s="66"/>
      <c r="CS4" s="66"/>
      <c r="CT4" s="66"/>
      <c r="CU4" s="66"/>
      <c r="CV4" s="66"/>
      <c r="CW4" s="66"/>
      <c r="CX4" s="66"/>
      <c r="CY4" s="66"/>
      <c r="CZ4" s="66"/>
      <c r="DA4" s="66"/>
      <c r="DB4" s="66"/>
      <c r="DC4" s="66"/>
      <c r="DD4" s="66"/>
      <c r="DE4" s="66"/>
      <c r="DF4" s="66"/>
      <c r="DG4" s="66"/>
      <c r="DH4" s="66"/>
      <c r="DI4" s="66"/>
      <c r="DJ4" s="66"/>
      <c r="DK4" s="66"/>
      <c r="DL4" s="66"/>
      <c r="DM4" s="66"/>
      <c r="DN4" s="66"/>
      <c r="DO4" s="66"/>
      <c r="DP4" s="66"/>
      <c r="DQ4" s="66"/>
      <c r="DR4" s="66"/>
      <c r="DS4" s="66"/>
      <c r="DT4" s="66"/>
      <c r="DU4" s="66"/>
      <c r="DV4" s="66"/>
      <c r="DW4" s="66"/>
      <c r="DX4" s="66"/>
      <c r="DY4" s="66"/>
      <c r="DZ4" s="66"/>
      <c r="EA4" s="66"/>
      <c r="EB4" s="66"/>
      <c r="EC4" s="66"/>
      <c r="ED4" s="66"/>
      <c r="EE4" s="66"/>
      <c r="EF4" s="66"/>
      <c r="EG4" s="66"/>
      <c r="EH4" s="66"/>
      <c r="EI4" s="66"/>
      <c r="EJ4" s="66"/>
      <c r="EK4" s="66"/>
      <c r="EL4" s="66"/>
      <c r="EM4" s="66"/>
      <c r="EN4" s="66"/>
      <c r="EO4" s="66"/>
      <c r="EP4" s="66"/>
      <c r="EQ4" s="66"/>
      <c r="ER4" s="66"/>
      <c r="ES4" s="66"/>
      <c r="ET4" s="66"/>
      <c r="EU4" s="66"/>
      <c r="EV4" s="66"/>
      <c r="EW4" s="66"/>
      <c r="EX4" s="66"/>
      <c r="EY4" s="66"/>
      <c r="EZ4" s="66"/>
      <c r="FA4" s="66"/>
      <c r="FB4" s="66"/>
      <c r="FC4" s="66"/>
      <c r="FD4" s="66"/>
      <c r="FE4" s="66"/>
      <c r="FF4" s="66"/>
      <c r="FG4" s="66"/>
      <c r="FH4" s="66"/>
      <c r="FI4" s="66"/>
      <c r="FJ4" s="66"/>
      <c r="FK4" s="66"/>
      <c r="FL4" s="66"/>
      <c r="FM4" s="66"/>
      <c r="FN4" s="66"/>
      <c r="FO4" s="66"/>
      <c r="FP4" s="66"/>
      <c r="FQ4" s="66"/>
      <c r="FR4" s="66"/>
      <c r="FS4" s="66"/>
      <c r="FT4" s="66"/>
      <c r="FU4" s="66"/>
    </row>
    <row r="5" spans="1:177" s="77" customFormat="1" ht="17.25" customHeight="1">
      <c r="A5" s="68"/>
      <c r="B5" s="85" t="s">
        <v>783</v>
      </c>
      <c r="C5" s="86">
        <f>+C44+C51+C56+C74</f>
        <v>228767.12</v>
      </c>
      <c r="D5" s="87">
        <f>+C5/C2</f>
        <v>0.29507551284068728</v>
      </c>
      <c r="E5" s="88">
        <f>+E44+E51+E56+E74</f>
        <v>111132.03</v>
      </c>
      <c r="F5" s="89">
        <f>+E5/E2</f>
        <v>0.25350482322153922</v>
      </c>
      <c r="G5" s="90">
        <f>+G44+G51+G56+G74</f>
        <v>117635.09</v>
      </c>
      <c r="H5" s="91">
        <f>+G5/G2</f>
        <v>0.34916812460980567</v>
      </c>
      <c r="I5" s="75"/>
      <c r="J5" s="76"/>
      <c r="K5" s="76"/>
      <c r="L5" s="76"/>
      <c r="M5" s="76"/>
      <c r="N5" s="76"/>
      <c r="O5" s="7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  <c r="BP5" s="66"/>
      <c r="BQ5" s="66"/>
      <c r="BR5" s="66"/>
      <c r="BS5" s="66"/>
      <c r="BT5" s="66"/>
      <c r="BU5" s="66"/>
      <c r="BV5" s="66"/>
      <c r="BW5" s="66"/>
      <c r="BX5" s="66"/>
      <c r="BY5" s="66"/>
      <c r="BZ5" s="66"/>
      <c r="CA5" s="66"/>
      <c r="CB5" s="66"/>
      <c r="CC5" s="66"/>
      <c r="CD5" s="66"/>
      <c r="CE5" s="66"/>
      <c r="CF5" s="66"/>
      <c r="CG5" s="66"/>
      <c r="CH5" s="66"/>
      <c r="CI5" s="66"/>
      <c r="CJ5" s="66"/>
      <c r="CK5" s="66"/>
      <c r="CL5" s="66"/>
      <c r="CM5" s="66"/>
      <c r="CN5" s="66"/>
      <c r="CO5" s="66"/>
      <c r="CP5" s="66"/>
      <c r="CQ5" s="66"/>
      <c r="CR5" s="66"/>
      <c r="CS5" s="66"/>
      <c r="CT5" s="66"/>
      <c r="CU5" s="66"/>
      <c r="CV5" s="66"/>
      <c r="CW5" s="66"/>
      <c r="CX5" s="66"/>
      <c r="CY5" s="66"/>
      <c r="CZ5" s="66"/>
      <c r="DA5" s="66"/>
      <c r="DB5" s="66"/>
      <c r="DC5" s="66"/>
      <c r="DD5" s="66"/>
      <c r="DE5" s="66"/>
      <c r="DF5" s="66"/>
      <c r="DG5" s="66"/>
      <c r="DH5" s="66"/>
      <c r="DI5" s="66"/>
      <c r="DJ5" s="66"/>
      <c r="DK5" s="66"/>
      <c r="DL5" s="66"/>
      <c r="DM5" s="66"/>
      <c r="DN5" s="66"/>
      <c r="DO5" s="66"/>
      <c r="DP5" s="66"/>
      <c r="DQ5" s="66"/>
      <c r="DR5" s="66"/>
      <c r="DS5" s="66"/>
      <c r="DT5" s="66"/>
      <c r="DU5" s="66"/>
      <c r="DV5" s="66"/>
      <c r="DW5" s="66"/>
      <c r="DX5" s="66"/>
      <c r="DY5" s="66"/>
      <c r="DZ5" s="66"/>
      <c r="EA5" s="66"/>
      <c r="EB5" s="66"/>
      <c r="EC5" s="66"/>
      <c r="ED5" s="66"/>
      <c r="EE5" s="66"/>
      <c r="EF5" s="66"/>
      <c r="EG5" s="66"/>
      <c r="EH5" s="66"/>
      <c r="EI5" s="66"/>
      <c r="EJ5" s="66"/>
      <c r="EK5" s="66"/>
      <c r="EL5" s="66"/>
      <c r="EM5" s="66"/>
      <c r="EN5" s="66"/>
      <c r="EO5" s="66"/>
      <c r="EP5" s="66"/>
      <c r="EQ5" s="66"/>
      <c r="ER5" s="66"/>
      <c r="ES5" s="66"/>
      <c r="ET5" s="66"/>
      <c r="EU5" s="66"/>
      <c r="EV5" s="66"/>
      <c r="EW5" s="66"/>
      <c r="EX5" s="66"/>
      <c r="EY5" s="66"/>
      <c r="EZ5" s="66"/>
      <c r="FA5" s="66"/>
      <c r="FB5" s="66"/>
      <c r="FC5" s="66"/>
      <c r="FD5" s="66"/>
      <c r="FE5" s="66"/>
      <c r="FF5" s="66"/>
      <c r="FG5" s="66"/>
      <c r="FH5" s="66"/>
      <c r="FI5" s="66"/>
      <c r="FJ5" s="66"/>
      <c r="FK5" s="66"/>
      <c r="FL5" s="66"/>
      <c r="FM5" s="66"/>
      <c r="FN5" s="66"/>
      <c r="FO5" s="66"/>
      <c r="FP5" s="66"/>
      <c r="FQ5" s="66"/>
      <c r="FR5" s="66"/>
      <c r="FS5" s="66"/>
      <c r="FT5" s="66"/>
      <c r="FU5" s="66"/>
    </row>
    <row r="6" spans="1:177" s="99" customFormat="1" ht="17.25">
      <c r="A6" s="68"/>
      <c r="B6" s="92" t="s">
        <v>784</v>
      </c>
      <c r="C6" s="93">
        <f>+C87</f>
        <v>420040.33999999997</v>
      </c>
      <c r="D6" s="94">
        <f>+C6/C2</f>
        <v>0.54178947892195628</v>
      </c>
      <c r="E6" s="95">
        <f>+E87</f>
        <v>294267.94</v>
      </c>
      <c r="F6" s="96">
        <f>+E6/E2</f>
        <v>0.67125870110954067</v>
      </c>
      <c r="G6" s="97">
        <f>+G87</f>
        <v>125772.4</v>
      </c>
      <c r="H6" s="98">
        <f>+G6/G2</f>
        <v>0.37332154067017181</v>
      </c>
      <c r="I6" s="75"/>
      <c r="J6" s="76"/>
      <c r="K6" s="76"/>
      <c r="L6" s="76"/>
      <c r="M6" s="76"/>
      <c r="N6" s="76"/>
      <c r="O6" s="7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  <c r="BP6" s="66"/>
      <c r="BQ6" s="66"/>
      <c r="BR6" s="66"/>
      <c r="BS6" s="66"/>
      <c r="BT6" s="66"/>
      <c r="BU6" s="66"/>
      <c r="BV6" s="66"/>
      <c r="BW6" s="66"/>
      <c r="BX6" s="66"/>
      <c r="BY6" s="66"/>
      <c r="BZ6" s="66"/>
      <c r="CA6" s="66"/>
      <c r="CB6" s="66"/>
      <c r="CC6" s="66"/>
      <c r="CD6" s="66"/>
      <c r="CE6" s="66"/>
      <c r="CF6" s="66"/>
      <c r="CG6" s="66"/>
      <c r="CH6" s="66"/>
      <c r="CI6" s="66"/>
      <c r="CJ6" s="66"/>
      <c r="CK6" s="66"/>
      <c r="CL6" s="66"/>
      <c r="CM6" s="66"/>
      <c r="CN6" s="66"/>
      <c r="CO6" s="66"/>
      <c r="CP6" s="66"/>
      <c r="CQ6" s="66"/>
      <c r="CR6" s="66"/>
      <c r="CS6" s="66"/>
      <c r="CT6" s="66"/>
      <c r="CU6" s="66"/>
      <c r="CV6" s="66"/>
      <c r="CW6" s="66"/>
      <c r="CX6" s="66"/>
      <c r="CY6" s="66"/>
      <c r="CZ6" s="66"/>
      <c r="DA6" s="66"/>
      <c r="DB6" s="66"/>
      <c r="DC6" s="66"/>
      <c r="DD6" s="66"/>
      <c r="DE6" s="66"/>
      <c r="DF6" s="66"/>
      <c r="DG6" s="66"/>
      <c r="DH6" s="66"/>
      <c r="DI6" s="66"/>
      <c r="DJ6" s="66"/>
      <c r="DK6" s="66"/>
      <c r="DL6" s="66"/>
      <c r="DM6" s="66"/>
      <c r="DN6" s="66"/>
      <c r="DO6" s="66"/>
      <c r="DP6" s="66"/>
      <c r="DQ6" s="66"/>
      <c r="DR6" s="66"/>
      <c r="DS6" s="66"/>
      <c r="DT6" s="66"/>
      <c r="DU6" s="66"/>
      <c r="DV6" s="66"/>
      <c r="DW6" s="66"/>
      <c r="DX6" s="66"/>
      <c r="DY6" s="66"/>
      <c r="DZ6" s="66"/>
      <c r="EA6" s="66"/>
      <c r="EB6" s="66"/>
      <c r="EC6" s="66"/>
      <c r="ED6" s="66"/>
      <c r="EE6" s="66"/>
      <c r="EF6" s="66"/>
      <c r="EG6" s="66"/>
      <c r="EH6" s="66"/>
      <c r="EI6" s="66"/>
      <c r="EJ6" s="66"/>
      <c r="EK6" s="66"/>
      <c r="EL6" s="66"/>
      <c r="EM6" s="66"/>
      <c r="EN6" s="66"/>
      <c r="EO6" s="66"/>
      <c r="EP6" s="66"/>
      <c r="EQ6" s="66"/>
      <c r="ER6" s="66"/>
      <c r="ES6" s="66"/>
      <c r="ET6" s="66"/>
      <c r="EU6" s="66"/>
      <c r="EV6" s="66"/>
      <c r="EW6" s="66"/>
      <c r="EX6" s="66"/>
      <c r="EY6" s="66"/>
      <c r="EZ6" s="66"/>
      <c r="FA6" s="66"/>
      <c r="FB6" s="66"/>
      <c r="FC6" s="66"/>
      <c r="FD6" s="66"/>
      <c r="FE6" s="66"/>
      <c r="FF6" s="66"/>
      <c r="FG6" s="66"/>
      <c r="FH6" s="66"/>
      <c r="FI6" s="66"/>
      <c r="FJ6" s="66"/>
      <c r="FK6" s="66"/>
      <c r="FL6" s="66"/>
      <c r="FM6" s="66"/>
      <c r="FN6" s="66"/>
      <c r="FO6" s="66"/>
      <c r="FP6" s="66"/>
      <c r="FQ6" s="66"/>
      <c r="FR6" s="66"/>
      <c r="FS6" s="66"/>
      <c r="FT6" s="66"/>
      <c r="FU6" s="66"/>
    </row>
    <row r="7" spans="1:177" s="108" customFormat="1" ht="16.5">
      <c r="A7" s="100"/>
      <c r="B7" s="101" t="str">
        <f>+Configuración!B33</f>
        <v>D-Ledger</v>
      </c>
      <c r="C7" s="102">
        <f>+Movimientos!D20</f>
        <v>27541.070000000003</v>
      </c>
      <c r="D7" s="103">
        <f>+C7/$C$2</f>
        <v>3.5523878407138526E-2</v>
      </c>
      <c r="E7" s="104">
        <f>+C7</f>
        <v>27541.070000000003</v>
      </c>
      <c r="F7" s="103">
        <f>+E7/$E$2</f>
        <v>6.2824318800637741E-2</v>
      </c>
      <c r="G7" s="104" t="s">
        <v>785</v>
      </c>
      <c r="H7" s="105" t="s">
        <v>785</v>
      </c>
      <c r="I7" s="106"/>
      <c r="J7" s="24"/>
      <c r="K7" s="24"/>
      <c r="L7" s="24"/>
      <c r="M7" s="24"/>
      <c r="N7" s="24"/>
      <c r="O7" s="24"/>
      <c r="P7" s="107"/>
      <c r="Q7" s="107"/>
      <c r="R7" s="107"/>
      <c r="S7" s="107"/>
      <c r="T7" s="107"/>
      <c r="U7" s="107"/>
      <c r="V7" s="107"/>
      <c r="W7" s="107"/>
      <c r="X7" s="107"/>
      <c r="Y7" s="107"/>
      <c r="Z7" s="107"/>
      <c r="AA7" s="107"/>
      <c r="AB7" s="107"/>
      <c r="AC7" s="107"/>
      <c r="AD7" s="107"/>
      <c r="AE7" s="107"/>
      <c r="AF7" s="107"/>
      <c r="AG7" s="107"/>
      <c r="AH7" s="107"/>
      <c r="AI7" s="107"/>
      <c r="AJ7" s="107"/>
      <c r="AK7" s="107"/>
      <c r="AL7" s="107"/>
      <c r="AM7" s="107"/>
      <c r="AN7" s="107"/>
      <c r="AO7" s="107"/>
      <c r="AP7" s="107"/>
      <c r="AQ7" s="107"/>
      <c r="AR7" s="107"/>
      <c r="AS7" s="107"/>
      <c r="AT7" s="107"/>
      <c r="AU7" s="107"/>
      <c r="AV7" s="107"/>
      <c r="AW7" s="107"/>
      <c r="AX7" s="107"/>
      <c r="AY7" s="107"/>
      <c r="AZ7" s="107"/>
      <c r="BA7" s="107"/>
      <c r="BB7" s="107"/>
      <c r="BC7" s="107"/>
      <c r="BD7" s="107"/>
      <c r="BE7" s="107"/>
      <c r="BF7" s="107"/>
      <c r="BG7" s="107"/>
      <c r="BH7" s="107"/>
      <c r="BI7" s="107"/>
      <c r="BJ7" s="107"/>
      <c r="BK7" s="107"/>
      <c r="BL7" s="107"/>
      <c r="BM7" s="107"/>
      <c r="BN7" s="107"/>
      <c r="BO7" s="107"/>
      <c r="BP7" s="107"/>
      <c r="BQ7" s="107"/>
      <c r="BR7" s="107"/>
      <c r="BS7" s="107"/>
      <c r="BT7" s="107"/>
      <c r="BU7" s="107"/>
      <c r="BV7" s="107"/>
      <c r="BW7" s="107"/>
      <c r="BX7" s="107"/>
      <c r="BY7" s="107"/>
      <c r="BZ7" s="107"/>
      <c r="CA7" s="107"/>
      <c r="CB7" s="107"/>
      <c r="CC7" s="107"/>
      <c r="CD7" s="107"/>
      <c r="CE7" s="107"/>
      <c r="CF7" s="107"/>
      <c r="CG7" s="107"/>
      <c r="CH7" s="107"/>
      <c r="CI7" s="107"/>
      <c r="CJ7" s="107"/>
      <c r="CK7" s="107"/>
      <c r="CL7" s="107"/>
      <c r="CM7" s="107"/>
      <c r="CN7" s="107"/>
      <c r="CO7" s="107"/>
      <c r="CP7" s="107"/>
      <c r="CQ7" s="107"/>
      <c r="CR7" s="107"/>
      <c r="CS7" s="107"/>
      <c r="CT7" s="107"/>
      <c r="CU7" s="107"/>
      <c r="CV7" s="107"/>
      <c r="CW7" s="107"/>
      <c r="CX7" s="107"/>
      <c r="CY7" s="107"/>
      <c r="CZ7" s="107"/>
      <c r="DA7" s="107"/>
      <c r="DB7" s="107"/>
      <c r="DC7" s="107"/>
      <c r="DD7" s="107"/>
      <c r="DE7" s="107"/>
      <c r="DF7" s="107"/>
      <c r="DG7" s="107"/>
      <c r="DH7" s="107"/>
      <c r="DI7" s="107"/>
      <c r="DJ7" s="107"/>
      <c r="DK7" s="107"/>
      <c r="DL7" s="107"/>
      <c r="DM7" s="107"/>
      <c r="DN7" s="107"/>
      <c r="DO7" s="107"/>
      <c r="DP7" s="107"/>
      <c r="DQ7" s="107"/>
      <c r="DR7" s="107"/>
      <c r="DS7" s="107"/>
      <c r="DT7" s="107"/>
      <c r="DU7" s="107"/>
      <c r="DV7" s="107"/>
      <c r="DW7" s="107"/>
      <c r="DX7" s="107"/>
      <c r="DY7" s="107"/>
      <c r="DZ7" s="107"/>
      <c r="EA7" s="107"/>
      <c r="EB7" s="107"/>
      <c r="EC7" s="107"/>
      <c r="ED7" s="107"/>
      <c r="EE7" s="107"/>
      <c r="EF7" s="107"/>
      <c r="EG7" s="107"/>
      <c r="EH7" s="107"/>
      <c r="EI7" s="107"/>
      <c r="EJ7" s="107"/>
      <c r="EK7" s="107"/>
      <c r="EL7" s="107"/>
      <c r="EM7" s="107"/>
      <c r="EN7" s="107"/>
      <c r="EO7" s="107"/>
      <c r="EP7" s="107"/>
      <c r="EQ7" s="107"/>
      <c r="ER7" s="107"/>
      <c r="ES7" s="107"/>
      <c r="ET7" s="107"/>
      <c r="EU7" s="107"/>
      <c r="EV7" s="107"/>
      <c r="EW7" s="107"/>
      <c r="EX7" s="107"/>
      <c r="EY7" s="107"/>
      <c r="EZ7" s="107"/>
      <c r="FA7" s="107"/>
      <c r="FB7" s="107"/>
      <c r="FC7" s="107"/>
      <c r="FD7" s="107"/>
      <c r="FE7" s="107"/>
      <c r="FF7" s="107"/>
      <c r="FG7" s="107"/>
      <c r="FH7" s="107"/>
      <c r="FI7" s="107"/>
      <c r="FJ7" s="107"/>
      <c r="FK7" s="107"/>
      <c r="FL7" s="107"/>
      <c r="FM7" s="107"/>
      <c r="FN7" s="107"/>
      <c r="FO7" s="107"/>
      <c r="FP7" s="107"/>
      <c r="FQ7" s="107"/>
      <c r="FR7" s="107"/>
      <c r="FS7" s="107"/>
      <c r="FT7" s="107"/>
      <c r="FU7" s="107"/>
    </row>
    <row r="8" spans="1:177" s="108" customFormat="1" ht="16.5">
      <c r="A8" s="100"/>
      <c r="B8" s="101" t="str">
        <f>+Configuración!B35</f>
        <v>D-Metamask</v>
      </c>
      <c r="C8" s="102">
        <f>+Movimientos!D22</f>
        <v>2.5000000000000009</v>
      </c>
      <c r="D8" s="103">
        <f>+C8/$C$2</f>
        <v>3.2246276567267119E-6</v>
      </c>
      <c r="E8" s="104">
        <f>+C8</f>
        <v>2.5000000000000009</v>
      </c>
      <c r="F8" s="103">
        <f>+E8/$E$2</f>
        <v>5.7027848591791967E-6</v>
      </c>
      <c r="G8" s="104" t="s">
        <v>785</v>
      </c>
      <c r="H8" s="105" t="s">
        <v>785</v>
      </c>
      <c r="I8" s="106"/>
      <c r="J8" s="24"/>
      <c r="K8" s="24"/>
      <c r="L8" s="24"/>
      <c r="M8" s="24"/>
      <c r="N8" s="24"/>
      <c r="O8" s="24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  <c r="AA8" s="107"/>
      <c r="AB8" s="107"/>
      <c r="AC8" s="107"/>
      <c r="AD8" s="107"/>
      <c r="AE8" s="107"/>
      <c r="AF8" s="107"/>
      <c r="AG8" s="107"/>
      <c r="AH8" s="107"/>
      <c r="AI8" s="107"/>
      <c r="AJ8" s="107"/>
      <c r="AK8" s="107"/>
      <c r="AL8" s="107"/>
      <c r="AM8" s="107"/>
      <c r="AN8" s="107"/>
      <c r="AO8" s="107"/>
      <c r="AP8" s="107"/>
      <c r="AQ8" s="107"/>
      <c r="AR8" s="107"/>
      <c r="AS8" s="107"/>
      <c r="AT8" s="107"/>
      <c r="AU8" s="107"/>
      <c r="AV8" s="107"/>
      <c r="AW8" s="107"/>
      <c r="AX8" s="107"/>
      <c r="AY8" s="107"/>
      <c r="AZ8" s="107"/>
      <c r="BA8" s="107"/>
      <c r="BB8" s="107"/>
      <c r="BC8" s="107"/>
      <c r="BD8" s="107"/>
      <c r="BE8" s="107"/>
      <c r="BF8" s="107"/>
      <c r="BG8" s="107"/>
      <c r="BH8" s="107"/>
      <c r="BI8" s="107"/>
      <c r="BJ8" s="107"/>
      <c r="BK8" s="107"/>
      <c r="BL8" s="107"/>
      <c r="BM8" s="107"/>
      <c r="BN8" s="107"/>
      <c r="BO8" s="107"/>
      <c r="BP8" s="107"/>
      <c r="BQ8" s="107"/>
      <c r="BR8" s="107"/>
      <c r="BS8" s="107"/>
      <c r="BT8" s="107"/>
      <c r="BU8" s="107"/>
      <c r="BV8" s="107"/>
      <c r="BW8" s="107"/>
      <c r="BX8" s="107"/>
      <c r="BY8" s="107"/>
      <c r="BZ8" s="107"/>
      <c r="CA8" s="107"/>
      <c r="CB8" s="107"/>
      <c r="CC8" s="107"/>
      <c r="CD8" s="107"/>
      <c r="CE8" s="107"/>
      <c r="CF8" s="107"/>
      <c r="CG8" s="107"/>
      <c r="CH8" s="107"/>
      <c r="CI8" s="107"/>
      <c r="CJ8" s="107"/>
      <c r="CK8" s="107"/>
      <c r="CL8" s="107"/>
      <c r="CM8" s="107"/>
      <c r="CN8" s="107"/>
      <c r="CO8" s="107"/>
      <c r="CP8" s="107"/>
      <c r="CQ8" s="107"/>
      <c r="CR8" s="107"/>
      <c r="CS8" s="107"/>
      <c r="CT8" s="107"/>
      <c r="CU8" s="107"/>
      <c r="CV8" s="107"/>
      <c r="CW8" s="107"/>
      <c r="CX8" s="107"/>
      <c r="CY8" s="107"/>
      <c r="CZ8" s="107"/>
      <c r="DA8" s="107"/>
      <c r="DB8" s="107"/>
      <c r="DC8" s="107"/>
      <c r="DD8" s="107"/>
      <c r="DE8" s="107"/>
      <c r="DF8" s="107"/>
      <c r="DG8" s="107"/>
      <c r="DH8" s="107"/>
      <c r="DI8" s="107"/>
      <c r="DJ8" s="107"/>
      <c r="DK8" s="107"/>
      <c r="DL8" s="107"/>
      <c r="DM8" s="107"/>
      <c r="DN8" s="107"/>
      <c r="DO8" s="107"/>
      <c r="DP8" s="107"/>
      <c r="DQ8" s="107"/>
      <c r="DR8" s="107"/>
      <c r="DS8" s="107"/>
      <c r="DT8" s="107"/>
      <c r="DU8" s="107"/>
      <c r="DV8" s="107"/>
      <c r="DW8" s="107"/>
      <c r="DX8" s="107"/>
      <c r="DY8" s="107"/>
      <c r="DZ8" s="107"/>
      <c r="EA8" s="107"/>
      <c r="EB8" s="107"/>
      <c r="EC8" s="107"/>
      <c r="ED8" s="107"/>
      <c r="EE8" s="107"/>
      <c r="EF8" s="107"/>
      <c r="EG8" s="107"/>
      <c r="EH8" s="107"/>
      <c r="EI8" s="107"/>
      <c r="EJ8" s="107"/>
      <c r="EK8" s="107"/>
      <c r="EL8" s="107"/>
      <c r="EM8" s="107"/>
      <c r="EN8" s="107"/>
      <c r="EO8" s="107"/>
      <c r="EP8" s="107"/>
      <c r="EQ8" s="107"/>
      <c r="ER8" s="107"/>
      <c r="ES8" s="107"/>
      <c r="ET8" s="107"/>
      <c r="EU8" s="107"/>
      <c r="EV8" s="107"/>
      <c r="EW8" s="107"/>
      <c r="EX8" s="107"/>
      <c r="EY8" s="107"/>
      <c r="EZ8" s="107"/>
      <c r="FA8" s="107"/>
      <c r="FB8" s="107"/>
      <c r="FC8" s="107"/>
      <c r="FD8" s="107"/>
      <c r="FE8" s="107"/>
      <c r="FF8" s="107"/>
      <c r="FG8" s="107"/>
      <c r="FH8" s="107"/>
      <c r="FI8" s="107"/>
      <c r="FJ8" s="107"/>
      <c r="FK8" s="107"/>
      <c r="FL8" s="107"/>
      <c r="FM8" s="107"/>
      <c r="FN8" s="107"/>
      <c r="FO8" s="107"/>
      <c r="FP8" s="107"/>
      <c r="FQ8" s="107"/>
      <c r="FR8" s="107"/>
      <c r="FS8" s="107"/>
      <c r="FT8" s="107"/>
      <c r="FU8" s="107"/>
    </row>
    <row r="9" spans="1:177" s="108" customFormat="1" ht="16.5">
      <c r="A9" s="100"/>
      <c r="B9" s="109" t="s">
        <v>782</v>
      </c>
      <c r="C9" s="110">
        <f>+C7+C8</f>
        <v>27543.570000000003</v>
      </c>
      <c r="D9" s="111">
        <f>SUM(D7:D8)</f>
        <v>3.5527103034795254E-2</v>
      </c>
      <c r="E9" s="110">
        <f>SUM(E7:E8)</f>
        <v>27543.570000000003</v>
      </c>
      <c r="F9" s="111">
        <f>SUM(F7:F8)</f>
        <v>6.2830021585496915E-2</v>
      </c>
      <c r="G9" s="110">
        <f>SUM(G7:G8)</f>
        <v>0</v>
      </c>
      <c r="H9" s="112">
        <v>0</v>
      </c>
      <c r="I9" s="106"/>
      <c r="J9" s="24"/>
      <c r="K9" s="24"/>
      <c r="L9" s="24"/>
      <c r="M9" s="24"/>
      <c r="N9" s="24"/>
      <c r="O9" s="24"/>
      <c r="P9" s="107"/>
      <c r="Q9" s="107"/>
      <c r="R9" s="107"/>
      <c r="S9" s="107"/>
      <c r="T9" s="107"/>
      <c r="U9" s="107"/>
      <c r="V9" s="107"/>
      <c r="W9" s="107"/>
      <c r="X9" s="107"/>
      <c r="Y9" s="107"/>
      <c r="Z9" s="107"/>
      <c r="AA9" s="107"/>
      <c r="AB9" s="107"/>
      <c r="AC9" s="107"/>
      <c r="AD9" s="107"/>
      <c r="AE9" s="107"/>
      <c r="AF9" s="107"/>
      <c r="AG9" s="107"/>
      <c r="AH9" s="107"/>
      <c r="AI9" s="107"/>
      <c r="AJ9" s="107"/>
      <c r="AK9" s="107"/>
      <c r="AL9" s="107"/>
      <c r="AM9" s="107"/>
      <c r="AN9" s="107"/>
      <c r="AO9" s="107"/>
      <c r="AP9" s="107"/>
      <c r="AQ9" s="107"/>
      <c r="AR9" s="107"/>
      <c r="AS9" s="107"/>
      <c r="AT9" s="107"/>
      <c r="AU9" s="107"/>
      <c r="AV9" s="107"/>
      <c r="AW9" s="107"/>
      <c r="AX9" s="107"/>
      <c r="AY9" s="107"/>
      <c r="AZ9" s="107"/>
      <c r="BA9" s="107"/>
      <c r="BB9" s="107"/>
      <c r="BC9" s="107"/>
      <c r="BD9" s="107"/>
      <c r="BE9" s="107"/>
      <c r="BF9" s="107"/>
      <c r="BG9" s="107"/>
      <c r="BH9" s="107"/>
      <c r="BI9" s="107"/>
      <c r="BJ9" s="107"/>
      <c r="BK9" s="107"/>
      <c r="BL9" s="107"/>
      <c r="BM9" s="107"/>
      <c r="BN9" s="107"/>
      <c r="BO9" s="107"/>
      <c r="BP9" s="107"/>
      <c r="BQ9" s="107"/>
      <c r="BR9" s="107"/>
      <c r="BS9" s="107"/>
      <c r="BT9" s="107"/>
      <c r="BU9" s="107"/>
      <c r="BV9" s="107"/>
      <c r="BW9" s="107"/>
      <c r="BX9" s="107"/>
      <c r="BY9" s="107"/>
      <c r="BZ9" s="107"/>
      <c r="CA9" s="107"/>
      <c r="CB9" s="107"/>
      <c r="CC9" s="107"/>
      <c r="CD9" s="107"/>
      <c r="CE9" s="107"/>
      <c r="CF9" s="107"/>
      <c r="CG9" s="107"/>
      <c r="CH9" s="107"/>
      <c r="CI9" s="107"/>
      <c r="CJ9" s="107"/>
      <c r="CK9" s="107"/>
      <c r="CL9" s="107"/>
      <c r="CM9" s="107"/>
      <c r="CN9" s="107"/>
      <c r="CO9" s="107"/>
      <c r="CP9" s="107"/>
      <c r="CQ9" s="107"/>
      <c r="CR9" s="107"/>
      <c r="CS9" s="107"/>
      <c r="CT9" s="107"/>
      <c r="CU9" s="107"/>
      <c r="CV9" s="107"/>
      <c r="CW9" s="107"/>
      <c r="CX9" s="107"/>
      <c r="CY9" s="107"/>
      <c r="CZ9" s="107"/>
      <c r="DA9" s="107"/>
      <c r="DB9" s="107"/>
      <c r="DC9" s="107"/>
      <c r="DD9" s="107"/>
      <c r="DE9" s="107"/>
      <c r="DF9" s="107"/>
      <c r="DG9" s="107"/>
      <c r="DH9" s="107"/>
      <c r="DI9" s="107"/>
      <c r="DJ9" s="107"/>
      <c r="DK9" s="107"/>
      <c r="DL9" s="107"/>
      <c r="DM9" s="107"/>
      <c r="DN9" s="107"/>
      <c r="DO9" s="107"/>
      <c r="DP9" s="107"/>
      <c r="DQ9" s="107"/>
      <c r="DR9" s="107"/>
      <c r="DS9" s="107"/>
      <c r="DT9" s="107"/>
      <c r="DU9" s="107"/>
      <c r="DV9" s="107"/>
      <c r="DW9" s="107"/>
      <c r="DX9" s="107"/>
      <c r="DY9" s="107"/>
      <c r="DZ9" s="107"/>
      <c r="EA9" s="107"/>
      <c r="EB9" s="107"/>
      <c r="EC9" s="107"/>
      <c r="ED9" s="107"/>
      <c r="EE9" s="107"/>
      <c r="EF9" s="107"/>
      <c r="EG9" s="107"/>
      <c r="EH9" s="107"/>
      <c r="EI9" s="107"/>
      <c r="EJ9" s="107"/>
      <c r="EK9" s="107"/>
      <c r="EL9" s="107"/>
      <c r="EM9" s="107"/>
      <c r="EN9" s="107"/>
      <c r="EO9" s="107"/>
      <c r="EP9" s="107"/>
      <c r="EQ9" s="107"/>
      <c r="ER9" s="107"/>
      <c r="ES9" s="107"/>
      <c r="ET9" s="107"/>
      <c r="EU9" s="107"/>
      <c r="EV9" s="107"/>
      <c r="EW9" s="107"/>
      <c r="EX9" s="107"/>
      <c r="EY9" s="107"/>
      <c r="EZ9" s="107"/>
      <c r="FA9" s="107"/>
      <c r="FB9" s="107"/>
      <c r="FC9" s="107"/>
      <c r="FD9" s="107"/>
      <c r="FE9" s="107"/>
      <c r="FF9" s="107"/>
      <c r="FG9" s="107"/>
      <c r="FH9" s="107"/>
      <c r="FI9" s="107"/>
      <c r="FJ9" s="107"/>
      <c r="FK9" s="107"/>
      <c r="FL9" s="107"/>
      <c r="FM9" s="107"/>
      <c r="FN9" s="107"/>
      <c r="FO9" s="107"/>
      <c r="FP9" s="107"/>
      <c r="FQ9" s="107"/>
      <c r="FR9" s="107"/>
      <c r="FS9" s="107"/>
      <c r="FT9" s="107"/>
      <c r="FU9" s="107"/>
    </row>
    <row r="10" spans="1:177" s="108" customFormat="1" ht="16.5">
      <c r="A10" s="100"/>
      <c r="B10" s="113" t="str">
        <f>+Configuración!B24</f>
        <v>D-Efectivo</v>
      </c>
      <c r="C10" s="114">
        <f>+Movimientos!D11</f>
        <v>150</v>
      </c>
      <c r="D10" s="115">
        <f>+C10/$C$2</f>
        <v>1.9347765940360263E-4</v>
      </c>
      <c r="E10" s="116">
        <f>+C10</f>
        <v>150</v>
      </c>
      <c r="F10" s="115">
        <f>+E10/$E$2</f>
        <v>3.4216709155075167E-4</v>
      </c>
      <c r="G10" s="116" t="s">
        <v>785</v>
      </c>
      <c r="H10" s="117" t="s">
        <v>785</v>
      </c>
      <c r="I10" s="106"/>
      <c r="J10" s="24"/>
      <c r="K10" s="24"/>
      <c r="L10" s="24"/>
      <c r="M10" s="24"/>
      <c r="N10" s="24"/>
      <c r="O10" s="24"/>
      <c r="P10" s="107"/>
      <c r="Q10" s="107"/>
      <c r="R10" s="107"/>
      <c r="S10" s="107"/>
      <c r="T10" s="107"/>
      <c r="U10" s="107"/>
      <c r="V10" s="107"/>
      <c r="W10" s="107"/>
      <c r="X10" s="107"/>
      <c r="Y10" s="107"/>
      <c r="Z10" s="107"/>
      <c r="AA10" s="107"/>
      <c r="AB10" s="107"/>
      <c r="AC10" s="107"/>
      <c r="AD10" s="107"/>
      <c r="AE10" s="107"/>
      <c r="AF10" s="107"/>
      <c r="AG10" s="107"/>
      <c r="AH10" s="107"/>
      <c r="AI10" s="107"/>
      <c r="AJ10" s="107"/>
      <c r="AK10" s="107"/>
      <c r="AL10" s="107"/>
      <c r="AM10" s="107"/>
      <c r="AN10" s="107"/>
      <c r="AO10" s="107"/>
      <c r="AP10" s="107"/>
      <c r="AQ10" s="107"/>
      <c r="AR10" s="107"/>
      <c r="AS10" s="107"/>
      <c r="AT10" s="107"/>
      <c r="AU10" s="107"/>
      <c r="AV10" s="107"/>
      <c r="AW10" s="107"/>
      <c r="AX10" s="107"/>
      <c r="AY10" s="107"/>
      <c r="AZ10" s="107"/>
      <c r="BA10" s="107"/>
      <c r="BB10" s="107"/>
      <c r="BC10" s="107"/>
      <c r="BD10" s="107"/>
      <c r="BE10" s="107"/>
      <c r="BF10" s="107"/>
      <c r="BG10" s="107"/>
      <c r="BH10" s="107"/>
      <c r="BI10" s="107"/>
      <c r="BJ10" s="107"/>
      <c r="BK10" s="107"/>
      <c r="BL10" s="107"/>
      <c r="BM10" s="107"/>
      <c r="BN10" s="107"/>
      <c r="BO10" s="107"/>
      <c r="BP10" s="107"/>
      <c r="BQ10" s="107"/>
      <c r="BR10" s="107"/>
      <c r="BS10" s="107"/>
      <c r="BT10" s="107"/>
      <c r="BU10" s="107"/>
      <c r="BV10" s="107"/>
      <c r="BW10" s="107"/>
      <c r="BX10" s="107"/>
      <c r="BY10" s="107"/>
      <c r="BZ10" s="107"/>
      <c r="CA10" s="107"/>
      <c r="CB10" s="107"/>
      <c r="CC10" s="107"/>
      <c r="CD10" s="107"/>
      <c r="CE10" s="107"/>
      <c r="CF10" s="107"/>
      <c r="CG10" s="107"/>
      <c r="CH10" s="107"/>
      <c r="CI10" s="107"/>
      <c r="CJ10" s="107"/>
      <c r="CK10" s="107"/>
      <c r="CL10" s="107"/>
      <c r="CM10" s="107"/>
      <c r="CN10" s="107"/>
      <c r="CO10" s="107"/>
      <c r="CP10" s="107"/>
      <c r="CQ10" s="107"/>
      <c r="CR10" s="107"/>
      <c r="CS10" s="107"/>
      <c r="CT10" s="107"/>
      <c r="CU10" s="107"/>
      <c r="CV10" s="107"/>
      <c r="CW10" s="107"/>
      <c r="CX10" s="107"/>
      <c r="CY10" s="107"/>
      <c r="CZ10" s="107"/>
      <c r="DA10" s="107"/>
      <c r="DB10" s="107"/>
      <c r="DC10" s="107"/>
      <c r="DD10" s="107"/>
      <c r="DE10" s="107"/>
      <c r="DF10" s="107"/>
      <c r="DG10" s="107"/>
      <c r="DH10" s="107"/>
      <c r="DI10" s="107"/>
      <c r="DJ10" s="107"/>
      <c r="DK10" s="107"/>
      <c r="DL10" s="107"/>
      <c r="DM10" s="107"/>
      <c r="DN10" s="107"/>
      <c r="DO10" s="107"/>
      <c r="DP10" s="107"/>
      <c r="DQ10" s="107"/>
      <c r="DR10" s="107"/>
      <c r="DS10" s="107"/>
      <c r="DT10" s="107"/>
      <c r="DU10" s="107"/>
      <c r="DV10" s="107"/>
      <c r="DW10" s="107"/>
      <c r="DX10" s="107"/>
      <c r="DY10" s="107"/>
      <c r="DZ10" s="107"/>
      <c r="EA10" s="107"/>
      <c r="EB10" s="107"/>
      <c r="EC10" s="107"/>
      <c r="ED10" s="107"/>
      <c r="EE10" s="107"/>
      <c r="EF10" s="107"/>
      <c r="EG10" s="107"/>
      <c r="EH10" s="107"/>
      <c r="EI10" s="107"/>
      <c r="EJ10" s="107"/>
      <c r="EK10" s="107"/>
      <c r="EL10" s="107"/>
      <c r="EM10" s="107"/>
      <c r="EN10" s="107"/>
      <c r="EO10" s="107"/>
      <c r="EP10" s="107"/>
      <c r="EQ10" s="107"/>
      <c r="ER10" s="107"/>
      <c r="ES10" s="107"/>
      <c r="ET10" s="107"/>
      <c r="EU10" s="107"/>
      <c r="EV10" s="107"/>
      <c r="EW10" s="107"/>
      <c r="EX10" s="107"/>
      <c r="EY10" s="107"/>
      <c r="EZ10" s="107"/>
      <c r="FA10" s="107"/>
      <c r="FB10" s="107"/>
      <c r="FC10" s="107"/>
      <c r="FD10" s="107"/>
      <c r="FE10" s="107"/>
      <c r="FF10" s="107"/>
      <c r="FG10" s="107"/>
      <c r="FH10" s="107"/>
      <c r="FI10" s="107"/>
      <c r="FJ10" s="107"/>
      <c r="FK10" s="107"/>
      <c r="FL10" s="107"/>
      <c r="FM10" s="107"/>
      <c r="FN10" s="107"/>
      <c r="FO10" s="107"/>
      <c r="FP10" s="107"/>
      <c r="FQ10" s="107"/>
      <c r="FR10" s="107"/>
      <c r="FS10" s="107"/>
      <c r="FT10" s="107"/>
      <c r="FU10" s="107"/>
    </row>
    <row r="11" spans="1:177" s="108" customFormat="1" ht="16.5">
      <c r="A11" s="100"/>
      <c r="B11" s="113" t="str">
        <f>+Configuración!B56</f>
        <v>N-Efectivo</v>
      </c>
      <c r="C11" s="114">
        <f>+Movimientos!D43</f>
        <v>683.83999999999958</v>
      </c>
      <c r="D11" s="115">
        <f>+C11/$C$2</f>
        <v>8.8205175071039697E-4</v>
      </c>
      <c r="E11" s="116" t="s">
        <v>785</v>
      </c>
      <c r="F11" s="115" t="s">
        <v>785</v>
      </c>
      <c r="G11" s="116">
        <f>+C11</f>
        <v>683.83999999999958</v>
      </c>
      <c r="H11" s="118">
        <f>+G11/$G$2</f>
        <v>2.0297951090373573E-3</v>
      </c>
      <c r="I11" s="106"/>
      <c r="J11" s="24"/>
      <c r="K11" s="24"/>
      <c r="L11" s="24"/>
      <c r="M11" s="24"/>
      <c r="N11" s="24"/>
      <c r="O11" s="24"/>
      <c r="P11" s="107"/>
      <c r="Q11" s="107"/>
      <c r="R11" s="107"/>
      <c r="S11" s="107"/>
      <c r="T11" s="107"/>
      <c r="U11" s="107"/>
      <c r="V11" s="107"/>
      <c r="W11" s="107"/>
      <c r="X11" s="107"/>
      <c r="Y11" s="107"/>
      <c r="Z11" s="107"/>
      <c r="AA11" s="107"/>
      <c r="AB11" s="107"/>
      <c r="AC11" s="107"/>
      <c r="AD11" s="107"/>
      <c r="AE11" s="107"/>
      <c r="AF11" s="107"/>
      <c r="AG11" s="107"/>
      <c r="AH11" s="107"/>
      <c r="AI11" s="107"/>
      <c r="AJ11" s="107"/>
      <c r="AK11" s="107"/>
      <c r="AL11" s="107"/>
      <c r="AM11" s="107"/>
      <c r="AN11" s="107"/>
      <c r="AO11" s="107"/>
      <c r="AP11" s="107"/>
      <c r="AQ11" s="107"/>
      <c r="AR11" s="107"/>
      <c r="AS11" s="107"/>
      <c r="AT11" s="107"/>
      <c r="AU11" s="107"/>
      <c r="AV11" s="107"/>
      <c r="AW11" s="107"/>
      <c r="AX11" s="107"/>
      <c r="AY11" s="107"/>
      <c r="AZ11" s="107"/>
      <c r="BA11" s="107"/>
      <c r="BB11" s="107"/>
      <c r="BC11" s="107"/>
      <c r="BD11" s="107"/>
      <c r="BE11" s="107"/>
      <c r="BF11" s="107"/>
      <c r="BG11" s="107"/>
      <c r="BH11" s="107"/>
      <c r="BI11" s="107"/>
      <c r="BJ11" s="107"/>
      <c r="BK11" s="107"/>
      <c r="BL11" s="107"/>
      <c r="BM11" s="107"/>
      <c r="BN11" s="107"/>
      <c r="BO11" s="107"/>
      <c r="BP11" s="107"/>
      <c r="BQ11" s="107"/>
      <c r="BR11" s="107"/>
      <c r="BS11" s="107"/>
      <c r="BT11" s="107"/>
      <c r="BU11" s="107"/>
      <c r="BV11" s="107"/>
      <c r="BW11" s="107"/>
      <c r="BX11" s="107"/>
      <c r="BY11" s="107"/>
      <c r="BZ11" s="107"/>
      <c r="CA11" s="107"/>
      <c r="CB11" s="107"/>
      <c r="CC11" s="107"/>
      <c r="CD11" s="107"/>
      <c r="CE11" s="107"/>
      <c r="CF11" s="107"/>
      <c r="CG11" s="107"/>
      <c r="CH11" s="107"/>
      <c r="CI11" s="107"/>
      <c r="CJ11" s="107"/>
      <c r="CK11" s="107"/>
      <c r="CL11" s="107"/>
      <c r="CM11" s="107"/>
      <c r="CN11" s="107"/>
      <c r="CO11" s="107"/>
      <c r="CP11" s="107"/>
      <c r="CQ11" s="107"/>
      <c r="CR11" s="107"/>
      <c r="CS11" s="107"/>
      <c r="CT11" s="107"/>
      <c r="CU11" s="107"/>
      <c r="CV11" s="107"/>
      <c r="CW11" s="107"/>
      <c r="CX11" s="107"/>
      <c r="CY11" s="107"/>
      <c r="CZ11" s="107"/>
      <c r="DA11" s="107"/>
      <c r="DB11" s="107"/>
      <c r="DC11" s="107"/>
      <c r="DD11" s="107"/>
      <c r="DE11" s="107"/>
      <c r="DF11" s="107"/>
      <c r="DG11" s="107"/>
      <c r="DH11" s="107"/>
      <c r="DI11" s="107"/>
      <c r="DJ11" s="107"/>
      <c r="DK11" s="107"/>
      <c r="DL11" s="107"/>
      <c r="DM11" s="107"/>
      <c r="DN11" s="107"/>
      <c r="DO11" s="107"/>
      <c r="DP11" s="107"/>
      <c r="DQ11" s="107"/>
      <c r="DR11" s="107"/>
      <c r="DS11" s="107"/>
      <c r="DT11" s="107"/>
      <c r="DU11" s="107"/>
      <c r="DV11" s="107"/>
      <c r="DW11" s="107"/>
      <c r="DX11" s="107"/>
      <c r="DY11" s="107"/>
      <c r="DZ11" s="107"/>
      <c r="EA11" s="107"/>
      <c r="EB11" s="107"/>
      <c r="EC11" s="107"/>
      <c r="ED11" s="107"/>
      <c r="EE11" s="107"/>
      <c r="EF11" s="107"/>
      <c r="EG11" s="107"/>
      <c r="EH11" s="107"/>
      <c r="EI11" s="107"/>
      <c r="EJ11" s="107"/>
      <c r="EK11" s="107"/>
      <c r="EL11" s="107"/>
      <c r="EM11" s="107"/>
      <c r="EN11" s="107"/>
      <c r="EO11" s="107"/>
      <c r="EP11" s="107"/>
      <c r="EQ11" s="107"/>
      <c r="ER11" s="107"/>
      <c r="ES11" s="107"/>
      <c r="ET11" s="107"/>
      <c r="EU11" s="107"/>
      <c r="EV11" s="107"/>
      <c r="EW11" s="107"/>
      <c r="EX11" s="107"/>
      <c r="EY11" s="107"/>
      <c r="EZ11" s="107"/>
      <c r="FA11" s="107"/>
      <c r="FB11" s="107"/>
      <c r="FC11" s="107"/>
      <c r="FD11" s="107"/>
      <c r="FE11" s="107"/>
      <c r="FF11" s="107"/>
      <c r="FG11" s="107"/>
      <c r="FH11" s="107"/>
      <c r="FI11" s="107"/>
      <c r="FJ11" s="107"/>
      <c r="FK11" s="107"/>
      <c r="FL11" s="107"/>
      <c r="FM11" s="107"/>
      <c r="FN11" s="107"/>
      <c r="FO11" s="107"/>
      <c r="FP11" s="107"/>
      <c r="FQ11" s="107"/>
      <c r="FR11" s="107"/>
      <c r="FS11" s="107"/>
      <c r="FT11" s="107"/>
      <c r="FU11" s="107"/>
    </row>
    <row r="12" spans="1:177" s="108" customFormat="1" ht="16.5">
      <c r="A12" s="100"/>
      <c r="B12" s="119" t="s">
        <v>786</v>
      </c>
      <c r="C12" s="120">
        <f>SUM(C10:C11)</f>
        <v>833.83999999999958</v>
      </c>
      <c r="D12" s="121">
        <f>SUM(D10:D11)</f>
        <v>1.0755294101139996E-3</v>
      </c>
      <c r="E12" s="122">
        <f>SUM(E10:E11)</f>
        <v>150</v>
      </c>
      <c r="F12" s="121">
        <f>SUM(F10:F11)</f>
        <v>3.4216709155075167E-4</v>
      </c>
      <c r="G12" s="122">
        <f>SUM(G10:G11)</f>
        <v>683.83999999999958</v>
      </c>
      <c r="H12" s="123">
        <f>SUM(H10:H11)</f>
        <v>2.0297951090373573E-3</v>
      </c>
      <c r="I12" s="106"/>
      <c r="J12" s="24"/>
      <c r="K12" s="24"/>
      <c r="L12" s="24"/>
      <c r="M12" s="24"/>
      <c r="N12" s="24"/>
      <c r="O12" s="24"/>
      <c r="P12" s="107"/>
      <c r="Q12" s="107"/>
      <c r="R12" s="107"/>
      <c r="S12" s="107"/>
      <c r="T12" s="107"/>
      <c r="U12" s="107"/>
      <c r="V12" s="107"/>
      <c r="W12" s="107"/>
      <c r="X12" s="107"/>
      <c r="Y12" s="107"/>
      <c r="Z12" s="107"/>
      <c r="AA12" s="107"/>
      <c r="AB12" s="107"/>
      <c r="AC12" s="107"/>
      <c r="AD12" s="107"/>
      <c r="AE12" s="107"/>
      <c r="AF12" s="107"/>
      <c r="AG12" s="107"/>
      <c r="AH12" s="107"/>
      <c r="AI12" s="107"/>
      <c r="AJ12" s="107"/>
      <c r="AK12" s="107"/>
      <c r="AL12" s="107"/>
      <c r="AM12" s="107"/>
      <c r="AN12" s="107"/>
      <c r="AO12" s="107"/>
      <c r="AP12" s="107"/>
      <c r="AQ12" s="107"/>
      <c r="AR12" s="107"/>
      <c r="AS12" s="107"/>
      <c r="AT12" s="107"/>
      <c r="AU12" s="107"/>
      <c r="AV12" s="107"/>
      <c r="AW12" s="107"/>
      <c r="AX12" s="107"/>
      <c r="AY12" s="107"/>
      <c r="AZ12" s="107"/>
      <c r="BA12" s="107"/>
      <c r="BB12" s="107"/>
      <c r="BC12" s="107"/>
      <c r="BD12" s="107"/>
      <c r="BE12" s="107"/>
      <c r="BF12" s="107"/>
      <c r="BG12" s="107"/>
      <c r="BH12" s="107"/>
      <c r="BI12" s="107"/>
      <c r="BJ12" s="107"/>
      <c r="BK12" s="107"/>
      <c r="BL12" s="107"/>
      <c r="BM12" s="107"/>
      <c r="BN12" s="107"/>
      <c r="BO12" s="107"/>
      <c r="BP12" s="107"/>
      <c r="BQ12" s="107"/>
      <c r="BR12" s="107"/>
      <c r="BS12" s="107"/>
      <c r="BT12" s="107"/>
      <c r="BU12" s="107"/>
      <c r="BV12" s="107"/>
      <c r="BW12" s="107"/>
      <c r="BX12" s="107"/>
      <c r="BY12" s="107"/>
      <c r="BZ12" s="107"/>
      <c r="CA12" s="107"/>
      <c r="CB12" s="107"/>
      <c r="CC12" s="107"/>
      <c r="CD12" s="107"/>
      <c r="CE12" s="107"/>
      <c r="CF12" s="107"/>
      <c r="CG12" s="107"/>
      <c r="CH12" s="107"/>
      <c r="CI12" s="107"/>
      <c r="CJ12" s="107"/>
      <c r="CK12" s="107"/>
      <c r="CL12" s="107"/>
      <c r="CM12" s="107"/>
      <c r="CN12" s="107"/>
      <c r="CO12" s="107"/>
      <c r="CP12" s="107"/>
      <c r="CQ12" s="107"/>
      <c r="CR12" s="107"/>
      <c r="CS12" s="107"/>
      <c r="CT12" s="107"/>
      <c r="CU12" s="107"/>
      <c r="CV12" s="107"/>
      <c r="CW12" s="107"/>
      <c r="CX12" s="107"/>
      <c r="CY12" s="107"/>
      <c r="CZ12" s="107"/>
      <c r="DA12" s="107"/>
      <c r="DB12" s="107"/>
      <c r="DC12" s="107"/>
      <c r="DD12" s="107"/>
      <c r="DE12" s="107"/>
      <c r="DF12" s="107"/>
      <c r="DG12" s="107"/>
      <c r="DH12" s="107"/>
      <c r="DI12" s="107"/>
      <c r="DJ12" s="107"/>
      <c r="DK12" s="107"/>
      <c r="DL12" s="107"/>
      <c r="DM12" s="107"/>
      <c r="DN12" s="107"/>
      <c r="DO12" s="107"/>
      <c r="DP12" s="107"/>
      <c r="DQ12" s="107"/>
      <c r="DR12" s="107"/>
      <c r="DS12" s="107"/>
      <c r="DT12" s="107"/>
      <c r="DU12" s="107"/>
      <c r="DV12" s="107"/>
      <c r="DW12" s="107"/>
      <c r="DX12" s="107"/>
      <c r="DY12" s="107"/>
      <c r="DZ12" s="107"/>
      <c r="EA12" s="107"/>
      <c r="EB12" s="107"/>
      <c r="EC12" s="107"/>
      <c r="ED12" s="107"/>
      <c r="EE12" s="107"/>
      <c r="EF12" s="107"/>
      <c r="EG12" s="107"/>
      <c r="EH12" s="107"/>
      <c r="EI12" s="107"/>
      <c r="EJ12" s="107"/>
      <c r="EK12" s="107"/>
      <c r="EL12" s="107"/>
      <c r="EM12" s="107"/>
      <c r="EN12" s="107"/>
      <c r="EO12" s="107"/>
      <c r="EP12" s="107"/>
      <c r="EQ12" s="107"/>
      <c r="ER12" s="107"/>
      <c r="ES12" s="107"/>
      <c r="ET12" s="107"/>
      <c r="EU12" s="107"/>
      <c r="EV12" s="107"/>
      <c r="EW12" s="107"/>
      <c r="EX12" s="107"/>
      <c r="EY12" s="107"/>
      <c r="EZ12" s="107"/>
      <c r="FA12" s="107"/>
      <c r="FB12" s="107"/>
      <c r="FC12" s="107"/>
      <c r="FD12" s="107"/>
      <c r="FE12" s="107"/>
      <c r="FF12" s="107"/>
      <c r="FG12" s="107"/>
      <c r="FH12" s="107"/>
      <c r="FI12" s="107"/>
      <c r="FJ12" s="107"/>
      <c r="FK12" s="107"/>
      <c r="FL12" s="107"/>
      <c r="FM12" s="107"/>
      <c r="FN12" s="107"/>
      <c r="FO12" s="107"/>
      <c r="FP12" s="107"/>
      <c r="FQ12" s="107"/>
      <c r="FR12" s="107"/>
      <c r="FS12" s="107"/>
      <c r="FT12" s="107"/>
      <c r="FU12" s="107"/>
    </row>
    <row r="13" spans="1:177" s="108" customFormat="1" ht="16.5" hidden="1">
      <c r="A13" s="100"/>
      <c r="B13" s="113" t="str">
        <f>+Configuración!B47</f>
        <v>D-Tarjeta</v>
      </c>
      <c r="C13" s="114">
        <f>ROUND(+Movimientos!D34,2)</f>
        <v>0</v>
      </c>
      <c r="D13" s="115">
        <f>+C13/$C$2</f>
        <v>0</v>
      </c>
      <c r="E13" s="116">
        <f>+C13</f>
        <v>0</v>
      </c>
      <c r="F13" s="115">
        <f>+E13/$E$2</f>
        <v>0</v>
      </c>
      <c r="G13" s="116" t="s">
        <v>785</v>
      </c>
      <c r="H13" s="117" t="s">
        <v>785</v>
      </c>
      <c r="I13" s="106"/>
      <c r="J13" s="24"/>
      <c r="K13" s="24"/>
      <c r="L13" s="24"/>
      <c r="M13" s="24"/>
      <c r="N13" s="24"/>
      <c r="O13" s="24"/>
      <c r="P13" s="107"/>
      <c r="Q13" s="107"/>
      <c r="R13" s="107"/>
      <c r="S13" s="107"/>
      <c r="T13" s="107"/>
      <c r="U13" s="107"/>
      <c r="V13" s="107"/>
      <c r="W13" s="107"/>
      <c r="X13" s="107"/>
      <c r="Y13" s="107"/>
      <c r="Z13" s="107"/>
      <c r="AA13" s="107"/>
      <c r="AB13" s="107"/>
      <c r="AC13" s="107"/>
      <c r="AD13" s="107"/>
      <c r="AE13" s="107"/>
      <c r="AF13" s="107"/>
      <c r="AG13" s="107"/>
      <c r="AH13" s="107"/>
      <c r="AI13" s="107"/>
      <c r="AJ13" s="107"/>
      <c r="AK13" s="107"/>
      <c r="AL13" s="107"/>
      <c r="AM13" s="107"/>
      <c r="AN13" s="107"/>
      <c r="AO13" s="107"/>
      <c r="AP13" s="107"/>
      <c r="AQ13" s="107"/>
      <c r="AR13" s="107"/>
      <c r="AS13" s="107"/>
      <c r="AT13" s="107"/>
      <c r="AU13" s="107"/>
      <c r="AV13" s="107"/>
      <c r="AW13" s="107"/>
      <c r="AX13" s="107"/>
      <c r="AY13" s="107"/>
      <c r="AZ13" s="107"/>
      <c r="BA13" s="107"/>
      <c r="BB13" s="107"/>
      <c r="BC13" s="107"/>
      <c r="BD13" s="107"/>
      <c r="BE13" s="107"/>
      <c r="BF13" s="107"/>
      <c r="BG13" s="107"/>
      <c r="BH13" s="107"/>
      <c r="BI13" s="107"/>
      <c r="BJ13" s="107"/>
      <c r="BK13" s="107"/>
      <c r="BL13" s="107"/>
      <c r="BM13" s="107"/>
      <c r="BN13" s="107"/>
      <c r="BO13" s="107"/>
      <c r="BP13" s="107"/>
      <c r="BQ13" s="107"/>
      <c r="BR13" s="107"/>
      <c r="BS13" s="107"/>
      <c r="BT13" s="107"/>
      <c r="BU13" s="107"/>
      <c r="BV13" s="107"/>
      <c r="BW13" s="107"/>
      <c r="BX13" s="107"/>
      <c r="BY13" s="107"/>
      <c r="BZ13" s="107"/>
      <c r="CA13" s="107"/>
      <c r="CB13" s="107"/>
      <c r="CC13" s="107"/>
      <c r="CD13" s="107"/>
      <c r="CE13" s="107"/>
      <c r="CF13" s="107"/>
      <c r="CG13" s="107"/>
      <c r="CH13" s="107"/>
      <c r="CI13" s="107"/>
      <c r="CJ13" s="107"/>
      <c r="CK13" s="107"/>
      <c r="CL13" s="107"/>
      <c r="CM13" s="107"/>
      <c r="CN13" s="107"/>
      <c r="CO13" s="107"/>
      <c r="CP13" s="107"/>
      <c r="CQ13" s="107"/>
      <c r="CR13" s="107"/>
      <c r="CS13" s="107"/>
      <c r="CT13" s="107"/>
      <c r="CU13" s="107"/>
      <c r="CV13" s="107"/>
      <c r="CW13" s="107"/>
      <c r="CX13" s="107"/>
      <c r="CY13" s="107"/>
      <c r="CZ13" s="107"/>
      <c r="DA13" s="107"/>
      <c r="DB13" s="107"/>
      <c r="DC13" s="107"/>
      <c r="DD13" s="107"/>
      <c r="DE13" s="107"/>
      <c r="DF13" s="107"/>
      <c r="DG13" s="107"/>
      <c r="DH13" s="107"/>
      <c r="DI13" s="107"/>
      <c r="DJ13" s="107"/>
      <c r="DK13" s="107"/>
      <c r="DL13" s="107"/>
      <c r="DM13" s="107"/>
      <c r="DN13" s="107"/>
      <c r="DO13" s="107"/>
      <c r="DP13" s="107"/>
      <c r="DQ13" s="107"/>
      <c r="DR13" s="107"/>
      <c r="DS13" s="107"/>
      <c r="DT13" s="107"/>
      <c r="DU13" s="107"/>
      <c r="DV13" s="107"/>
      <c r="DW13" s="107"/>
      <c r="DX13" s="107"/>
      <c r="DY13" s="107"/>
      <c r="DZ13" s="107"/>
      <c r="EA13" s="107"/>
      <c r="EB13" s="107"/>
      <c r="EC13" s="107"/>
      <c r="ED13" s="107"/>
      <c r="EE13" s="107"/>
      <c r="EF13" s="107"/>
      <c r="EG13" s="107"/>
      <c r="EH13" s="107"/>
      <c r="EI13" s="107"/>
      <c r="EJ13" s="107"/>
      <c r="EK13" s="107"/>
      <c r="EL13" s="107"/>
      <c r="EM13" s="107"/>
      <c r="EN13" s="107"/>
      <c r="EO13" s="107"/>
      <c r="EP13" s="107"/>
      <c r="EQ13" s="107"/>
      <c r="ER13" s="107"/>
      <c r="ES13" s="107"/>
      <c r="ET13" s="107"/>
      <c r="EU13" s="107"/>
      <c r="EV13" s="107"/>
      <c r="EW13" s="107"/>
      <c r="EX13" s="107"/>
      <c r="EY13" s="107"/>
      <c r="EZ13" s="107"/>
      <c r="FA13" s="107"/>
      <c r="FB13" s="107"/>
      <c r="FC13" s="107"/>
      <c r="FD13" s="107"/>
      <c r="FE13" s="107"/>
      <c r="FF13" s="107"/>
      <c r="FG13" s="107"/>
      <c r="FH13" s="107"/>
      <c r="FI13" s="107"/>
      <c r="FJ13" s="107"/>
      <c r="FK13" s="107"/>
      <c r="FL13" s="107"/>
      <c r="FM13" s="107"/>
      <c r="FN13" s="107"/>
      <c r="FO13" s="107"/>
      <c r="FP13" s="107"/>
      <c r="FQ13" s="107"/>
      <c r="FR13" s="107"/>
      <c r="FS13" s="107"/>
      <c r="FT13" s="107"/>
      <c r="FU13" s="107"/>
    </row>
    <row r="14" spans="1:177" s="108" customFormat="1" ht="16.5">
      <c r="A14" s="100"/>
      <c r="B14" s="113" t="str">
        <f>+Configuración!B70</f>
        <v>N-Tarjeta</v>
      </c>
      <c r="C14" s="124">
        <f>+Movimientos!D57</f>
        <v>-412.66099999999989</v>
      </c>
      <c r="D14" s="125">
        <f>+C14/$C$2</f>
        <v>-5.3227122938100026E-4</v>
      </c>
      <c r="E14" s="116" t="s">
        <v>785</v>
      </c>
      <c r="F14" s="125" t="s">
        <v>785</v>
      </c>
      <c r="G14" s="116">
        <f>+C14</f>
        <v>-412.66099999999989</v>
      </c>
      <c r="H14" s="118">
        <f>+G14/$G$2</f>
        <v>-1.2248731859652335E-3</v>
      </c>
      <c r="I14" s="106"/>
      <c r="J14" s="24"/>
      <c r="K14" s="24"/>
      <c r="L14" s="24"/>
      <c r="M14" s="24"/>
      <c r="N14" s="24"/>
      <c r="O14" s="24"/>
      <c r="P14" s="107"/>
      <c r="Q14" s="107"/>
      <c r="R14" s="107"/>
      <c r="S14" s="107"/>
      <c r="T14" s="107"/>
      <c r="U14" s="107"/>
      <c r="V14" s="107"/>
      <c r="W14" s="107"/>
      <c r="X14" s="107"/>
      <c r="Y14" s="107"/>
      <c r="Z14" s="107"/>
      <c r="AA14" s="107"/>
      <c r="AB14" s="107"/>
      <c r="AC14" s="107"/>
      <c r="AD14" s="107"/>
      <c r="AE14" s="107"/>
      <c r="AF14" s="107"/>
      <c r="AG14" s="107"/>
      <c r="AH14" s="107"/>
      <c r="AI14" s="107"/>
      <c r="AJ14" s="107"/>
      <c r="AK14" s="107"/>
      <c r="AL14" s="107"/>
      <c r="AM14" s="107"/>
      <c r="AN14" s="107"/>
      <c r="AO14" s="107"/>
      <c r="AP14" s="107"/>
      <c r="AQ14" s="107"/>
      <c r="AR14" s="107"/>
      <c r="AS14" s="107"/>
      <c r="AT14" s="107"/>
      <c r="AU14" s="107"/>
      <c r="AV14" s="107"/>
      <c r="AW14" s="107"/>
      <c r="AX14" s="107"/>
      <c r="AY14" s="107"/>
      <c r="AZ14" s="107"/>
      <c r="BA14" s="107"/>
      <c r="BB14" s="107"/>
      <c r="BC14" s="107"/>
      <c r="BD14" s="107"/>
      <c r="BE14" s="107"/>
      <c r="BF14" s="107"/>
      <c r="BG14" s="107"/>
      <c r="BH14" s="107"/>
      <c r="BI14" s="107"/>
      <c r="BJ14" s="107"/>
      <c r="BK14" s="107"/>
      <c r="BL14" s="107"/>
      <c r="BM14" s="107"/>
      <c r="BN14" s="107"/>
      <c r="BO14" s="107"/>
      <c r="BP14" s="107"/>
      <c r="BQ14" s="107"/>
      <c r="BR14" s="107"/>
      <c r="BS14" s="107"/>
      <c r="BT14" s="107"/>
      <c r="BU14" s="107"/>
      <c r="BV14" s="107"/>
      <c r="BW14" s="107"/>
      <c r="BX14" s="107"/>
      <c r="BY14" s="107"/>
      <c r="BZ14" s="107"/>
      <c r="CA14" s="107"/>
      <c r="CB14" s="107"/>
      <c r="CC14" s="107"/>
      <c r="CD14" s="107"/>
      <c r="CE14" s="107"/>
      <c r="CF14" s="107"/>
      <c r="CG14" s="107"/>
      <c r="CH14" s="107"/>
      <c r="CI14" s="107"/>
      <c r="CJ14" s="107"/>
      <c r="CK14" s="107"/>
      <c r="CL14" s="107"/>
      <c r="CM14" s="107"/>
      <c r="CN14" s="107"/>
      <c r="CO14" s="107"/>
      <c r="CP14" s="107"/>
      <c r="CQ14" s="107"/>
      <c r="CR14" s="107"/>
      <c r="CS14" s="107"/>
      <c r="CT14" s="107"/>
      <c r="CU14" s="107"/>
      <c r="CV14" s="107"/>
      <c r="CW14" s="107"/>
      <c r="CX14" s="107"/>
      <c r="CY14" s="107"/>
      <c r="CZ14" s="107"/>
      <c r="DA14" s="107"/>
      <c r="DB14" s="107"/>
      <c r="DC14" s="107"/>
      <c r="DD14" s="107"/>
      <c r="DE14" s="107"/>
      <c r="DF14" s="107"/>
      <c r="DG14" s="107"/>
      <c r="DH14" s="107"/>
      <c r="DI14" s="107"/>
      <c r="DJ14" s="107"/>
      <c r="DK14" s="107"/>
      <c r="DL14" s="107"/>
      <c r="DM14" s="107"/>
      <c r="DN14" s="107"/>
      <c r="DO14" s="107"/>
      <c r="DP14" s="107"/>
      <c r="DQ14" s="107"/>
      <c r="DR14" s="107"/>
      <c r="DS14" s="107"/>
      <c r="DT14" s="107"/>
      <c r="DU14" s="107"/>
      <c r="DV14" s="107"/>
      <c r="DW14" s="107"/>
      <c r="DX14" s="107"/>
      <c r="DY14" s="107"/>
      <c r="DZ14" s="107"/>
      <c r="EA14" s="107"/>
      <c r="EB14" s="107"/>
      <c r="EC14" s="107"/>
      <c r="ED14" s="107"/>
      <c r="EE14" s="107"/>
      <c r="EF14" s="107"/>
      <c r="EG14" s="107"/>
      <c r="EH14" s="107"/>
      <c r="EI14" s="107"/>
      <c r="EJ14" s="107"/>
      <c r="EK14" s="107"/>
      <c r="EL14" s="107"/>
      <c r="EM14" s="107"/>
      <c r="EN14" s="107"/>
      <c r="EO14" s="107"/>
      <c r="EP14" s="107"/>
      <c r="EQ14" s="107"/>
      <c r="ER14" s="107"/>
      <c r="ES14" s="107"/>
      <c r="ET14" s="107"/>
      <c r="EU14" s="107"/>
      <c r="EV14" s="107"/>
      <c r="EW14" s="107"/>
      <c r="EX14" s="107"/>
      <c r="EY14" s="107"/>
      <c r="EZ14" s="107"/>
      <c r="FA14" s="107"/>
      <c r="FB14" s="107"/>
      <c r="FC14" s="107"/>
      <c r="FD14" s="107"/>
      <c r="FE14" s="107"/>
      <c r="FF14" s="107"/>
      <c r="FG14" s="107"/>
      <c r="FH14" s="107"/>
      <c r="FI14" s="107"/>
      <c r="FJ14" s="107"/>
      <c r="FK14" s="107"/>
      <c r="FL14" s="107"/>
      <c r="FM14" s="107"/>
      <c r="FN14" s="107"/>
      <c r="FO14" s="107"/>
      <c r="FP14" s="107"/>
      <c r="FQ14" s="107"/>
      <c r="FR14" s="107"/>
      <c r="FS14" s="107"/>
      <c r="FT14" s="107"/>
      <c r="FU14" s="107"/>
    </row>
    <row r="15" spans="1:177" s="108" customFormat="1" ht="16.5">
      <c r="A15" s="100"/>
      <c r="B15" s="126" t="s">
        <v>787</v>
      </c>
      <c r="C15" s="127">
        <f>SUM(C13:C14)</f>
        <v>-412.66099999999989</v>
      </c>
      <c r="D15" s="128">
        <f>SUM(D13:D14)</f>
        <v>-5.3227122938100026E-4</v>
      </c>
      <c r="E15" s="120">
        <f>SUM(E13:E14)</f>
        <v>0</v>
      </c>
      <c r="F15" s="128">
        <f>SUM(F13:F14)</f>
        <v>0</v>
      </c>
      <c r="G15" s="120">
        <f>SUM(G13:G14)</f>
        <v>-412.66099999999989</v>
      </c>
      <c r="H15" s="129">
        <f>SUM(H13:H14)</f>
        <v>-1.2248731859652335E-3</v>
      </c>
      <c r="I15" s="106"/>
      <c r="J15" s="24"/>
      <c r="K15" s="24"/>
      <c r="L15" s="24"/>
      <c r="M15" s="24"/>
      <c r="N15" s="24"/>
      <c r="O15" s="24"/>
      <c r="P15" s="107"/>
      <c r="Q15" s="107"/>
      <c r="R15" s="107"/>
      <c r="S15" s="107"/>
      <c r="T15" s="107"/>
      <c r="U15" s="107"/>
      <c r="V15" s="107"/>
      <c r="W15" s="107"/>
      <c r="X15" s="107"/>
      <c r="Y15" s="107"/>
      <c r="Z15" s="107"/>
      <c r="AA15" s="107"/>
      <c r="AB15" s="107"/>
      <c r="AC15" s="107"/>
      <c r="AD15" s="107"/>
      <c r="AE15" s="107"/>
      <c r="AF15" s="107"/>
      <c r="AG15" s="107"/>
      <c r="AH15" s="107"/>
      <c r="AI15" s="107"/>
      <c r="AJ15" s="107"/>
      <c r="AK15" s="107"/>
      <c r="AL15" s="107"/>
      <c r="AM15" s="107"/>
      <c r="AN15" s="107"/>
      <c r="AO15" s="107"/>
      <c r="AP15" s="107"/>
      <c r="AQ15" s="107"/>
      <c r="AR15" s="107"/>
      <c r="AS15" s="107"/>
      <c r="AT15" s="107"/>
      <c r="AU15" s="107"/>
      <c r="AV15" s="107"/>
      <c r="AW15" s="107"/>
      <c r="AX15" s="107"/>
      <c r="AY15" s="107"/>
      <c r="AZ15" s="107"/>
      <c r="BA15" s="107"/>
      <c r="BB15" s="107"/>
      <c r="BC15" s="107"/>
      <c r="BD15" s="107"/>
      <c r="BE15" s="107"/>
      <c r="BF15" s="107"/>
      <c r="BG15" s="107"/>
      <c r="BH15" s="107"/>
      <c r="BI15" s="107"/>
      <c r="BJ15" s="107"/>
      <c r="BK15" s="107"/>
      <c r="BL15" s="107"/>
      <c r="BM15" s="107"/>
      <c r="BN15" s="107"/>
      <c r="BO15" s="107"/>
      <c r="BP15" s="107"/>
      <c r="BQ15" s="107"/>
      <c r="BR15" s="107"/>
      <c r="BS15" s="107"/>
      <c r="BT15" s="107"/>
      <c r="BU15" s="107"/>
      <c r="BV15" s="107"/>
      <c r="BW15" s="107"/>
      <c r="BX15" s="107"/>
      <c r="BY15" s="107"/>
      <c r="BZ15" s="107"/>
      <c r="CA15" s="107"/>
      <c r="CB15" s="107"/>
      <c r="CC15" s="107"/>
      <c r="CD15" s="107"/>
      <c r="CE15" s="107"/>
      <c r="CF15" s="107"/>
      <c r="CG15" s="107"/>
      <c r="CH15" s="107"/>
      <c r="CI15" s="107"/>
      <c r="CJ15" s="107"/>
      <c r="CK15" s="107"/>
      <c r="CL15" s="107"/>
      <c r="CM15" s="107"/>
      <c r="CN15" s="107"/>
      <c r="CO15" s="107"/>
      <c r="CP15" s="107"/>
      <c r="CQ15" s="107"/>
      <c r="CR15" s="107"/>
      <c r="CS15" s="107"/>
      <c r="CT15" s="107"/>
      <c r="CU15" s="107"/>
      <c r="CV15" s="107"/>
      <c r="CW15" s="107"/>
      <c r="CX15" s="107"/>
      <c r="CY15" s="107"/>
      <c r="CZ15" s="107"/>
      <c r="DA15" s="107"/>
      <c r="DB15" s="107"/>
      <c r="DC15" s="107"/>
      <c r="DD15" s="107"/>
      <c r="DE15" s="107"/>
      <c r="DF15" s="107"/>
      <c r="DG15" s="107"/>
      <c r="DH15" s="107"/>
      <c r="DI15" s="107"/>
      <c r="DJ15" s="107"/>
      <c r="DK15" s="107"/>
      <c r="DL15" s="107"/>
      <c r="DM15" s="107"/>
      <c r="DN15" s="107"/>
      <c r="DO15" s="107"/>
      <c r="DP15" s="107"/>
      <c r="DQ15" s="107"/>
      <c r="DR15" s="107"/>
      <c r="DS15" s="107"/>
      <c r="DT15" s="107"/>
      <c r="DU15" s="107"/>
      <c r="DV15" s="107"/>
      <c r="DW15" s="107"/>
      <c r="DX15" s="107"/>
      <c r="DY15" s="107"/>
      <c r="DZ15" s="107"/>
      <c r="EA15" s="107"/>
      <c r="EB15" s="107"/>
      <c r="EC15" s="107"/>
      <c r="ED15" s="107"/>
      <c r="EE15" s="107"/>
      <c r="EF15" s="107"/>
      <c r="EG15" s="107"/>
      <c r="EH15" s="107"/>
      <c r="EI15" s="107"/>
      <c r="EJ15" s="107"/>
      <c r="EK15" s="107"/>
      <c r="EL15" s="107"/>
      <c r="EM15" s="107"/>
      <c r="EN15" s="107"/>
      <c r="EO15" s="107"/>
      <c r="EP15" s="107"/>
      <c r="EQ15" s="107"/>
      <c r="ER15" s="107"/>
      <c r="ES15" s="107"/>
      <c r="ET15" s="107"/>
      <c r="EU15" s="107"/>
      <c r="EV15" s="107"/>
      <c r="EW15" s="107"/>
      <c r="EX15" s="107"/>
      <c r="EY15" s="107"/>
      <c r="EZ15" s="107"/>
      <c r="FA15" s="107"/>
      <c r="FB15" s="107"/>
      <c r="FC15" s="107"/>
      <c r="FD15" s="107"/>
      <c r="FE15" s="107"/>
      <c r="FF15" s="107"/>
      <c r="FG15" s="107"/>
      <c r="FH15" s="107"/>
      <c r="FI15" s="107"/>
      <c r="FJ15" s="107"/>
      <c r="FK15" s="107"/>
      <c r="FL15" s="107"/>
      <c r="FM15" s="107"/>
      <c r="FN15" s="107"/>
      <c r="FO15" s="107"/>
      <c r="FP15" s="107"/>
      <c r="FQ15" s="107"/>
      <c r="FR15" s="107"/>
      <c r="FS15" s="107"/>
      <c r="FT15" s="107"/>
      <c r="FU15" s="107"/>
    </row>
    <row r="16" spans="1:177" s="108" customFormat="1" ht="16.5">
      <c r="A16" s="100"/>
      <c r="B16" s="130" t="str">
        <f>+Configuración!B14</f>
        <v>D-Bankinter</v>
      </c>
      <c r="C16" s="131">
        <f>+Movimientos!D1</f>
        <v>4169.8600000000124</v>
      </c>
      <c r="D16" s="132">
        <f>+C16/$C$2</f>
        <v>5.3784983522713924E-3</v>
      </c>
      <c r="E16" s="133">
        <f>+C16</f>
        <v>4169.8600000000124</v>
      </c>
      <c r="F16" s="132">
        <f>+E16/$E$2</f>
        <v>9.5119257891588104E-3</v>
      </c>
      <c r="G16" s="133" t="s">
        <v>785</v>
      </c>
      <c r="H16" s="134" t="s">
        <v>785</v>
      </c>
      <c r="I16" s="106"/>
      <c r="J16" s="135"/>
      <c r="K16" s="24"/>
      <c r="L16" s="24"/>
      <c r="M16" s="24"/>
      <c r="N16" s="24"/>
      <c r="O16" s="24"/>
      <c r="P16" s="107"/>
      <c r="Q16" s="107"/>
      <c r="R16" s="107"/>
      <c r="S16" s="107"/>
      <c r="T16" s="107"/>
      <c r="U16" s="107"/>
      <c r="V16" s="107"/>
      <c r="W16" s="107"/>
      <c r="X16" s="107"/>
      <c r="Y16" s="107"/>
      <c r="Z16" s="107"/>
      <c r="AA16" s="107"/>
      <c r="AB16" s="107"/>
      <c r="AC16" s="107"/>
      <c r="AD16" s="107"/>
      <c r="AE16" s="107"/>
      <c r="AF16" s="107"/>
      <c r="AG16" s="107"/>
      <c r="AH16" s="107"/>
      <c r="AI16" s="107"/>
      <c r="AJ16" s="107"/>
      <c r="AK16" s="107"/>
      <c r="AL16" s="107"/>
      <c r="AM16" s="107"/>
      <c r="AN16" s="107"/>
      <c r="AO16" s="107"/>
      <c r="AP16" s="107"/>
      <c r="AQ16" s="107"/>
      <c r="AR16" s="107"/>
      <c r="AS16" s="107"/>
      <c r="AT16" s="107"/>
      <c r="AU16" s="107"/>
      <c r="AV16" s="107"/>
      <c r="AW16" s="107"/>
      <c r="AX16" s="107"/>
      <c r="AY16" s="107"/>
      <c r="AZ16" s="107"/>
      <c r="BA16" s="107"/>
      <c r="BB16" s="107"/>
      <c r="BC16" s="107"/>
      <c r="BD16" s="107"/>
      <c r="BE16" s="107"/>
      <c r="BF16" s="107"/>
      <c r="BG16" s="107"/>
      <c r="BH16" s="107"/>
      <c r="BI16" s="107"/>
      <c r="BJ16" s="107"/>
      <c r="BK16" s="107"/>
      <c r="BL16" s="107"/>
      <c r="BM16" s="107"/>
      <c r="BN16" s="107"/>
      <c r="BO16" s="107"/>
      <c r="BP16" s="107"/>
      <c r="BQ16" s="107"/>
      <c r="BR16" s="107"/>
      <c r="BS16" s="107"/>
      <c r="BT16" s="107"/>
      <c r="BU16" s="107"/>
      <c r="BV16" s="107"/>
      <c r="BW16" s="107"/>
      <c r="BX16" s="107"/>
      <c r="BY16" s="107"/>
      <c r="BZ16" s="107"/>
      <c r="CA16" s="107"/>
      <c r="CB16" s="107"/>
      <c r="CC16" s="107"/>
      <c r="CD16" s="107"/>
      <c r="CE16" s="107"/>
      <c r="CF16" s="107"/>
      <c r="CG16" s="107"/>
      <c r="CH16" s="107"/>
      <c r="CI16" s="107"/>
      <c r="CJ16" s="107"/>
      <c r="CK16" s="107"/>
      <c r="CL16" s="107"/>
      <c r="CM16" s="107"/>
      <c r="CN16" s="107"/>
      <c r="CO16" s="107"/>
      <c r="CP16" s="107"/>
      <c r="CQ16" s="107"/>
      <c r="CR16" s="107"/>
      <c r="CS16" s="107"/>
      <c r="CT16" s="107"/>
      <c r="CU16" s="107"/>
      <c r="CV16" s="107"/>
      <c r="CW16" s="107"/>
      <c r="CX16" s="107"/>
      <c r="CY16" s="107"/>
      <c r="CZ16" s="107"/>
      <c r="DA16" s="107"/>
      <c r="DB16" s="107"/>
      <c r="DC16" s="107"/>
      <c r="DD16" s="107"/>
      <c r="DE16" s="107"/>
      <c r="DF16" s="107"/>
      <c r="DG16" s="107"/>
      <c r="DH16" s="107"/>
      <c r="DI16" s="107"/>
      <c r="DJ16" s="107"/>
      <c r="DK16" s="107"/>
      <c r="DL16" s="107"/>
      <c r="DM16" s="107"/>
      <c r="DN16" s="107"/>
      <c r="DO16" s="107"/>
      <c r="DP16" s="107"/>
      <c r="DQ16" s="107"/>
      <c r="DR16" s="107"/>
      <c r="DS16" s="107"/>
      <c r="DT16" s="107"/>
      <c r="DU16" s="107"/>
      <c r="DV16" s="107"/>
      <c r="DW16" s="107"/>
      <c r="DX16" s="107"/>
      <c r="DY16" s="107"/>
      <c r="DZ16" s="107"/>
      <c r="EA16" s="107"/>
      <c r="EB16" s="107"/>
      <c r="EC16" s="107"/>
      <c r="ED16" s="107"/>
      <c r="EE16" s="107"/>
      <c r="EF16" s="107"/>
      <c r="EG16" s="107"/>
      <c r="EH16" s="107"/>
      <c r="EI16" s="107"/>
      <c r="EJ16" s="107"/>
      <c r="EK16" s="107"/>
      <c r="EL16" s="107"/>
      <c r="EM16" s="107"/>
      <c r="EN16" s="107"/>
      <c r="EO16" s="107"/>
      <c r="EP16" s="107"/>
      <c r="EQ16" s="107"/>
      <c r="ER16" s="107"/>
      <c r="ES16" s="107"/>
      <c r="ET16" s="107"/>
      <c r="EU16" s="107"/>
      <c r="EV16" s="107"/>
      <c r="EW16" s="107"/>
      <c r="EX16" s="107"/>
      <c r="EY16" s="107"/>
      <c r="EZ16" s="107"/>
      <c r="FA16" s="107"/>
      <c r="FB16" s="107"/>
      <c r="FC16" s="107"/>
      <c r="FD16" s="107"/>
      <c r="FE16" s="107"/>
      <c r="FF16" s="107"/>
      <c r="FG16" s="107"/>
      <c r="FH16" s="107"/>
      <c r="FI16" s="107"/>
      <c r="FJ16" s="107"/>
      <c r="FK16" s="107"/>
      <c r="FL16" s="107"/>
      <c r="FM16" s="107"/>
      <c r="FN16" s="107"/>
      <c r="FO16" s="107"/>
      <c r="FP16" s="107"/>
      <c r="FQ16" s="107"/>
      <c r="FR16" s="107"/>
      <c r="FS16" s="107"/>
      <c r="FT16" s="107"/>
      <c r="FU16" s="107"/>
    </row>
    <row r="17" spans="1:177" s="108" customFormat="1" ht="16.5">
      <c r="A17" s="100"/>
      <c r="B17" s="136" t="str">
        <f>+Configuración!B15</f>
        <v>D-Bbva</v>
      </c>
      <c r="C17" s="137">
        <f>+Movimientos!D2</f>
        <v>199.99999999999909</v>
      </c>
      <c r="D17" s="132">
        <f>+C17/$C$2</f>
        <v>2.5797021253813569E-4</v>
      </c>
      <c r="E17" s="138">
        <f>+C17</f>
        <v>199.99999999999909</v>
      </c>
      <c r="F17" s="132">
        <f>+E17/$E$2</f>
        <v>4.5622278873433348E-4</v>
      </c>
      <c r="G17" s="138" t="s">
        <v>785</v>
      </c>
      <c r="H17" s="139" t="s">
        <v>785</v>
      </c>
      <c r="I17" s="106"/>
      <c r="J17" s="135"/>
      <c r="K17" s="24"/>
      <c r="L17" s="24"/>
      <c r="M17" s="24"/>
      <c r="N17" s="24"/>
      <c r="O17" s="24"/>
      <c r="P17" s="107"/>
      <c r="Q17" s="107"/>
      <c r="R17" s="107"/>
      <c r="S17" s="107"/>
      <c r="T17" s="107"/>
      <c r="U17" s="107"/>
      <c r="V17" s="107"/>
      <c r="W17" s="107"/>
      <c r="X17" s="107"/>
      <c r="Y17" s="107"/>
      <c r="Z17" s="107"/>
      <c r="AA17" s="107"/>
      <c r="AB17" s="107"/>
      <c r="AC17" s="107"/>
      <c r="AD17" s="107"/>
      <c r="AE17" s="107"/>
      <c r="AF17" s="107"/>
      <c r="AG17" s="107"/>
      <c r="AH17" s="107"/>
      <c r="AI17" s="107"/>
      <c r="AJ17" s="107"/>
      <c r="AK17" s="107"/>
      <c r="AL17" s="107"/>
      <c r="AM17" s="107"/>
      <c r="AN17" s="107"/>
      <c r="AO17" s="107"/>
      <c r="AP17" s="107"/>
      <c r="AQ17" s="107"/>
      <c r="AR17" s="107"/>
      <c r="AS17" s="107"/>
      <c r="AT17" s="107"/>
      <c r="AU17" s="107"/>
      <c r="AV17" s="107"/>
      <c r="AW17" s="107"/>
      <c r="AX17" s="107"/>
      <c r="AY17" s="107"/>
      <c r="AZ17" s="107"/>
      <c r="BA17" s="107"/>
      <c r="BB17" s="107"/>
      <c r="BC17" s="107"/>
      <c r="BD17" s="107"/>
      <c r="BE17" s="107"/>
      <c r="BF17" s="107"/>
      <c r="BG17" s="107"/>
      <c r="BH17" s="107"/>
      <c r="BI17" s="107"/>
      <c r="BJ17" s="107"/>
      <c r="BK17" s="107"/>
      <c r="BL17" s="107"/>
      <c r="BM17" s="107"/>
      <c r="BN17" s="107"/>
      <c r="BO17" s="107"/>
      <c r="BP17" s="107"/>
      <c r="BQ17" s="107"/>
      <c r="BR17" s="107"/>
      <c r="BS17" s="107"/>
      <c r="BT17" s="107"/>
      <c r="BU17" s="107"/>
      <c r="BV17" s="107"/>
      <c r="BW17" s="107"/>
      <c r="BX17" s="107"/>
      <c r="BY17" s="107"/>
      <c r="BZ17" s="107"/>
      <c r="CA17" s="107"/>
      <c r="CB17" s="107"/>
      <c r="CC17" s="107"/>
      <c r="CD17" s="107"/>
      <c r="CE17" s="107"/>
      <c r="CF17" s="107"/>
      <c r="CG17" s="107"/>
      <c r="CH17" s="107"/>
      <c r="CI17" s="107"/>
      <c r="CJ17" s="107"/>
      <c r="CK17" s="107"/>
      <c r="CL17" s="107"/>
      <c r="CM17" s="107"/>
      <c r="CN17" s="107"/>
      <c r="CO17" s="107"/>
      <c r="CP17" s="107"/>
      <c r="CQ17" s="107"/>
      <c r="CR17" s="107"/>
      <c r="CS17" s="107"/>
      <c r="CT17" s="107"/>
      <c r="CU17" s="107"/>
      <c r="CV17" s="107"/>
      <c r="CW17" s="107"/>
      <c r="CX17" s="107"/>
      <c r="CY17" s="107"/>
      <c r="CZ17" s="107"/>
      <c r="DA17" s="107"/>
      <c r="DB17" s="107"/>
      <c r="DC17" s="107"/>
      <c r="DD17" s="107"/>
      <c r="DE17" s="107"/>
      <c r="DF17" s="107"/>
      <c r="DG17" s="107"/>
      <c r="DH17" s="107"/>
      <c r="DI17" s="107"/>
      <c r="DJ17" s="107"/>
      <c r="DK17" s="107"/>
      <c r="DL17" s="107"/>
      <c r="DM17" s="107"/>
      <c r="DN17" s="107"/>
      <c r="DO17" s="107"/>
      <c r="DP17" s="107"/>
      <c r="DQ17" s="107"/>
      <c r="DR17" s="107"/>
      <c r="DS17" s="107"/>
      <c r="DT17" s="107"/>
      <c r="DU17" s="107"/>
      <c r="DV17" s="107"/>
      <c r="DW17" s="107"/>
      <c r="DX17" s="107"/>
      <c r="DY17" s="107"/>
      <c r="DZ17" s="107"/>
      <c r="EA17" s="107"/>
      <c r="EB17" s="107"/>
      <c r="EC17" s="107"/>
      <c r="ED17" s="107"/>
      <c r="EE17" s="107"/>
      <c r="EF17" s="107"/>
      <c r="EG17" s="107"/>
      <c r="EH17" s="107"/>
      <c r="EI17" s="107"/>
      <c r="EJ17" s="107"/>
      <c r="EK17" s="107"/>
      <c r="EL17" s="107"/>
      <c r="EM17" s="107"/>
      <c r="EN17" s="107"/>
      <c r="EO17" s="107"/>
      <c r="EP17" s="107"/>
      <c r="EQ17" s="107"/>
      <c r="ER17" s="107"/>
      <c r="ES17" s="107"/>
      <c r="ET17" s="107"/>
      <c r="EU17" s="107"/>
      <c r="EV17" s="107"/>
      <c r="EW17" s="107"/>
      <c r="EX17" s="107"/>
      <c r="EY17" s="107"/>
      <c r="EZ17" s="107"/>
      <c r="FA17" s="107"/>
      <c r="FB17" s="107"/>
      <c r="FC17" s="107"/>
      <c r="FD17" s="107"/>
      <c r="FE17" s="107"/>
      <c r="FF17" s="107"/>
      <c r="FG17" s="107"/>
      <c r="FH17" s="107"/>
      <c r="FI17" s="107"/>
      <c r="FJ17" s="107"/>
      <c r="FK17" s="107"/>
      <c r="FL17" s="107"/>
      <c r="FM17" s="107"/>
      <c r="FN17" s="107"/>
      <c r="FO17" s="107"/>
      <c r="FP17" s="107"/>
      <c r="FQ17" s="107"/>
      <c r="FR17" s="107"/>
      <c r="FS17" s="107"/>
      <c r="FT17" s="107"/>
      <c r="FU17" s="107"/>
    </row>
    <row r="18" spans="1:177" s="108" customFormat="1" ht="16.5" hidden="1">
      <c r="A18" s="100"/>
      <c r="B18" s="136" t="str">
        <f>+Configuración!B30</f>
        <v>D-Ing</v>
      </c>
      <c r="C18" s="137">
        <f>+Movimientos!D17</f>
        <v>0</v>
      </c>
      <c r="D18" s="132">
        <f>+C18/$C$2</f>
        <v>0</v>
      </c>
      <c r="E18" s="138">
        <f>+C18</f>
        <v>0</v>
      </c>
      <c r="F18" s="132">
        <f>+E18/$E$2</f>
        <v>0</v>
      </c>
      <c r="G18" s="138" t="s">
        <v>785</v>
      </c>
      <c r="H18" s="139" t="s">
        <v>785</v>
      </c>
      <c r="I18" s="106"/>
      <c r="J18" s="24"/>
      <c r="K18" s="24"/>
      <c r="L18" s="24"/>
      <c r="M18" s="24"/>
      <c r="N18" s="24"/>
      <c r="O18" s="24"/>
      <c r="P18" s="107"/>
      <c r="Q18" s="107"/>
      <c r="R18" s="107"/>
      <c r="S18" s="107"/>
      <c r="T18" s="107"/>
      <c r="U18" s="107"/>
      <c r="V18" s="107"/>
      <c r="W18" s="107"/>
      <c r="X18" s="107"/>
      <c r="Y18" s="107"/>
      <c r="Z18" s="107"/>
      <c r="AA18" s="107"/>
      <c r="AB18" s="107"/>
      <c r="AC18" s="107"/>
      <c r="AD18" s="107"/>
      <c r="AE18" s="107"/>
      <c r="AF18" s="107"/>
      <c r="AG18" s="107"/>
      <c r="AH18" s="107"/>
      <c r="AI18" s="107"/>
      <c r="AJ18" s="107"/>
      <c r="AK18" s="107"/>
      <c r="AL18" s="107"/>
      <c r="AM18" s="107"/>
      <c r="AN18" s="107"/>
      <c r="AO18" s="107"/>
      <c r="AP18" s="107"/>
      <c r="AQ18" s="107"/>
      <c r="AR18" s="107"/>
      <c r="AS18" s="107"/>
      <c r="AT18" s="107"/>
      <c r="AU18" s="107"/>
      <c r="AV18" s="107"/>
      <c r="AW18" s="107"/>
      <c r="AX18" s="107"/>
      <c r="AY18" s="107"/>
      <c r="AZ18" s="107"/>
      <c r="BA18" s="107"/>
      <c r="BB18" s="107"/>
      <c r="BC18" s="107"/>
      <c r="BD18" s="107"/>
      <c r="BE18" s="107"/>
      <c r="BF18" s="107"/>
      <c r="BG18" s="107"/>
      <c r="BH18" s="107"/>
      <c r="BI18" s="107"/>
      <c r="BJ18" s="107"/>
      <c r="BK18" s="107"/>
      <c r="BL18" s="107"/>
      <c r="BM18" s="107"/>
      <c r="BN18" s="107"/>
      <c r="BO18" s="107"/>
      <c r="BP18" s="107"/>
      <c r="BQ18" s="107"/>
      <c r="BR18" s="107"/>
      <c r="BS18" s="107"/>
      <c r="BT18" s="107"/>
      <c r="BU18" s="107"/>
      <c r="BV18" s="107"/>
      <c r="BW18" s="107"/>
      <c r="BX18" s="107"/>
      <c r="BY18" s="107"/>
      <c r="BZ18" s="107"/>
      <c r="CA18" s="107"/>
      <c r="CB18" s="107"/>
      <c r="CC18" s="107"/>
      <c r="CD18" s="107"/>
      <c r="CE18" s="107"/>
      <c r="CF18" s="107"/>
      <c r="CG18" s="107"/>
      <c r="CH18" s="107"/>
      <c r="CI18" s="107"/>
      <c r="CJ18" s="107"/>
      <c r="CK18" s="107"/>
      <c r="CL18" s="107"/>
      <c r="CM18" s="107"/>
      <c r="CN18" s="107"/>
      <c r="CO18" s="107"/>
      <c r="CP18" s="107"/>
      <c r="CQ18" s="107"/>
      <c r="CR18" s="107"/>
      <c r="CS18" s="107"/>
      <c r="CT18" s="107"/>
      <c r="CU18" s="107"/>
      <c r="CV18" s="107"/>
      <c r="CW18" s="107"/>
      <c r="CX18" s="107"/>
      <c r="CY18" s="107"/>
      <c r="CZ18" s="107"/>
      <c r="DA18" s="107"/>
      <c r="DB18" s="107"/>
      <c r="DC18" s="107"/>
      <c r="DD18" s="107"/>
      <c r="DE18" s="107"/>
      <c r="DF18" s="107"/>
      <c r="DG18" s="107"/>
      <c r="DH18" s="107"/>
      <c r="DI18" s="107"/>
      <c r="DJ18" s="107"/>
      <c r="DK18" s="107"/>
      <c r="DL18" s="107"/>
      <c r="DM18" s="107"/>
      <c r="DN18" s="107"/>
      <c r="DO18" s="107"/>
      <c r="DP18" s="107"/>
      <c r="DQ18" s="107"/>
      <c r="DR18" s="107"/>
      <c r="DS18" s="107"/>
      <c r="DT18" s="107"/>
      <c r="DU18" s="107"/>
      <c r="DV18" s="107"/>
      <c r="DW18" s="107"/>
      <c r="DX18" s="107"/>
      <c r="DY18" s="107"/>
      <c r="DZ18" s="107"/>
      <c r="EA18" s="107"/>
      <c r="EB18" s="107"/>
      <c r="EC18" s="107"/>
      <c r="ED18" s="107"/>
      <c r="EE18" s="107"/>
      <c r="EF18" s="107"/>
      <c r="EG18" s="107"/>
      <c r="EH18" s="107"/>
      <c r="EI18" s="107"/>
      <c r="EJ18" s="107"/>
      <c r="EK18" s="107"/>
      <c r="EL18" s="107"/>
      <c r="EM18" s="107"/>
      <c r="EN18" s="107"/>
      <c r="EO18" s="107"/>
      <c r="EP18" s="107"/>
      <c r="EQ18" s="107"/>
      <c r="ER18" s="107"/>
      <c r="ES18" s="107"/>
      <c r="ET18" s="107"/>
      <c r="EU18" s="107"/>
      <c r="EV18" s="107"/>
      <c r="EW18" s="107"/>
      <c r="EX18" s="107"/>
      <c r="EY18" s="107"/>
      <c r="EZ18" s="107"/>
      <c r="FA18" s="107"/>
      <c r="FB18" s="107"/>
      <c r="FC18" s="107"/>
      <c r="FD18" s="107"/>
      <c r="FE18" s="107"/>
      <c r="FF18" s="107"/>
      <c r="FG18" s="107"/>
      <c r="FH18" s="107"/>
      <c r="FI18" s="107"/>
      <c r="FJ18" s="107"/>
      <c r="FK18" s="107"/>
      <c r="FL18" s="107"/>
      <c r="FM18" s="107"/>
      <c r="FN18" s="107"/>
      <c r="FO18" s="107"/>
      <c r="FP18" s="107"/>
      <c r="FQ18" s="107"/>
      <c r="FR18" s="107"/>
      <c r="FS18" s="107"/>
      <c r="FT18" s="107"/>
      <c r="FU18" s="107"/>
    </row>
    <row r="19" spans="1:177" s="108" customFormat="1" ht="16.5">
      <c r="A19" s="100"/>
      <c r="B19" s="136" t="str">
        <f>+Configuración!B37</f>
        <v>D-Myinvestor</v>
      </c>
      <c r="C19" s="137">
        <f>+Movimientos!D24</f>
        <v>187.09000000000106</v>
      </c>
      <c r="D19" s="132">
        <f>+C19/$C$2</f>
        <v>2.4131823531880147E-4</v>
      </c>
      <c r="E19" s="138">
        <f>+C19</f>
        <v>187.09000000000106</v>
      </c>
      <c r="F19" s="132">
        <f>+E19/$E$2</f>
        <v>4.2677360772153659E-4</v>
      </c>
      <c r="G19" s="138" t="s">
        <v>785</v>
      </c>
      <c r="H19" s="139" t="s">
        <v>785</v>
      </c>
      <c r="I19" s="106"/>
      <c r="J19" s="24"/>
      <c r="K19" s="24"/>
      <c r="L19" s="24"/>
      <c r="M19" s="24"/>
      <c r="N19" s="24"/>
      <c r="O19" s="24"/>
      <c r="P19" s="107"/>
      <c r="Q19" s="107"/>
      <c r="R19" s="107"/>
      <c r="S19" s="107"/>
      <c r="T19" s="107"/>
      <c r="U19" s="107"/>
      <c r="V19" s="107"/>
      <c r="W19" s="107"/>
      <c r="X19" s="107"/>
      <c r="Y19" s="107"/>
      <c r="Z19" s="107"/>
      <c r="AA19" s="107"/>
      <c r="AB19" s="107"/>
      <c r="AC19" s="107"/>
      <c r="AD19" s="107"/>
      <c r="AE19" s="107"/>
      <c r="AF19" s="107"/>
      <c r="AG19" s="107"/>
      <c r="AH19" s="107"/>
      <c r="AI19" s="107"/>
      <c r="AJ19" s="107"/>
      <c r="AK19" s="107"/>
      <c r="AL19" s="107"/>
      <c r="AM19" s="107"/>
      <c r="AN19" s="107"/>
      <c r="AO19" s="107"/>
      <c r="AP19" s="107"/>
      <c r="AQ19" s="107"/>
      <c r="AR19" s="107"/>
      <c r="AS19" s="107"/>
      <c r="AT19" s="107"/>
      <c r="AU19" s="107"/>
      <c r="AV19" s="107"/>
      <c r="AW19" s="107"/>
      <c r="AX19" s="107"/>
      <c r="AY19" s="107"/>
      <c r="AZ19" s="107"/>
      <c r="BA19" s="107"/>
      <c r="BB19" s="107"/>
      <c r="BC19" s="107"/>
      <c r="BD19" s="107"/>
      <c r="BE19" s="107"/>
      <c r="BF19" s="107"/>
      <c r="BG19" s="107"/>
      <c r="BH19" s="107"/>
      <c r="BI19" s="107"/>
      <c r="BJ19" s="107"/>
      <c r="BK19" s="107"/>
      <c r="BL19" s="107"/>
      <c r="BM19" s="107"/>
      <c r="BN19" s="107"/>
      <c r="BO19" s="107"/>
      <c r="BP19" s="107"/>
      <c r="BQ19" s="107"/>
      <c r="BR19" s="107"/>
      <c r="BS19" s="107"/>
      <c r="BT19" s="107"/>
      <c r="BU19" s="107"/>
      <c r="BV19" s="107"/>
      <c r="BW19" s="107"/>
      <c r="BX19" s="107"/>
      <c r="BY19" s="107"/>
      <c r="BZ19" s="107"/>
      <c r="CA19" s="107"/>
      <c r="CB19" s="107"/>
      <c r="CC19" s="107"/>
      <c r="CD19" s="107"/>
      <c r="CE19" s="107"/>
      <c r="CF19" s="107"/>
      <c r="CG19" s="107"/>
      <c r="CH19" s="107"/>
      <c r="CI19" s="107"/>
      <c r="CJ19" s="107"/>
      <c r="CK19" s="107"/>
      <c r="CL19" s="107"/>
      <c r="CM19" s="107"/>
      <c r="CN19" s="107"/>
      <c r="CO19" s="107"/>
      <c r="CP19" s="107"/>
      <c r="CQ19" s="107"/>
      <c r="CR19" s="107"/>
      <c r="CS19" s="107"/>
      <c r="CT19" s="107"/>
      <c r="CU19" s="107"/>
      <c r="CV19" s="107"/>
      <c r="CW19" s="107"/>
      <c r="CX19" s="107"/>
      <c r="CY19" s="107"/>
      <c r="CZ19" s="107"/>
      <c r="DA19" s="107"/>
      <c r="DB19" s="107"/>
      <c r="DC19" s="107"/>
      <c r="DD19" s="107"/>
      <c r="DE19" s="107"/>
      <c r="DF19" s="107"/>
      <c r="DG19" s="107"/>
      <c r="DH19" s="107"/>
      <c r="DI19" s="107"/>
      <c r="DJ19" s="107"/>
      <c r="DK19" s="107"/>
      <c r="DL19" s="107"/>
      <c r="DM19" s="107"/>
      <c r="DN19" s="107"/>
      <c r="DO19" s="107"/>
      <c r="DP19" s="107"/>
      <c r="DQ19" s="107"/>
      <c r="DR19" s="107"/>
      <c r="DS19" s="107"/>
      <c r="DT19" s="107"/>
      <c r="DU19" s="107"/>
      <c r="DV19" s="107"/>
      <c r="DW19" s="107"/>
      <c r="DX19" s="107"/>
      <c r="DY19" s="107"/>
      <c r="DZ19" s="107"/>
      <c r="EA19" s="107"/>
      <c r="EB19" s="107"/>
      <c r="EC19" s="107"/>
      <c r="ED19" s="107"/>
      <c r="EE19" s="107"/>
      <c r="EF19" s="107"/>
      <c r="EG19" s="107"/>
      <c r="EH19" s="107"/>
      <c r="EI19" s="107"/>
      <c r="EJ19" s="107"/>
      <c r="EK19" s="107"/>
      <c r="EL19" s="107"/>
      <c r="EM19" s="107"/>
      <c r="EN19" s="107"/>
      <c r="EO19" s="107"/>
      <c r="EP19" s="107"/>
      <c r="EQ19" s="107"/>
      <c r="ER19" s="107"/>
      <c r="ES19" s="107"/>
      <c r="ET19" s="107"/>
      <c r="EU19" s="107"/>
      <c r="EV19" s="107"/>
      <c r="EW19" s="107"/>
      <c r="EX19" s="107"/>
      <c r="EY19" s="107"/>
      <c r="EZ19" s="107"/>
      <c r="FA19" s="107"/>
      <c r="FB19" s="107"/>
      <c r="FC19" s="107"/>
      <c r="FD19" s="107"/>
      <c r="FE19" s="107"/>
      <c r="FF19" s="107"/>
      <c r="FG19" s="107"/>
      <c r="FH19" s="107"/>
      <c r="FI19" s="107"/>
      <c r="FJ19" s="107"/>
      <c r="FK19" s="107"/>
      <c r="FL19" s="107"/>
      <c r="FM19" s="107"/>
      <c r="FN19" s="107"/>
      <c r="FO19" s="107"/>
      <c r="FP19" s="107"/>
      <c r="FQ19" s="107"/>
      <c r="FR19" s="107"/>
      <c r="FS19" s="107"/>
      <c r="FT19" s="107"/>
      <c r="FU19" s="107"/>
    </row>
    <row r="20" spans="1:177" s="108" customFormat="1" ht="16.5" hidden="1">
      <c r="A20" s="100"/>
      <c r="B20" s="136" t="str">
        <f>+Configuración!B40</f>
        <v>D-N26</v>
      </c>
      <c r="C20" s="137">
        <f>ROUND(+Movimientos!D27,2)</f>
        <v>0</v>
      </c>
      <c r="D20" s="132">
        <f>+C20/$C$2</f>
        <v>0</v>
      </c>
      <c r="E20" s="138">
        <f>+C20</f>
        <v>0</v>
      </c>
      <c r="F20" s="132">
        <f>+E20/$E$2</f>
        <v>0</v>
      </c>
      <c r="G20" s="138" t="s">
        <v>785</v>
      </c>
      <c r="H20" s="139" t="s">
        <v>785</v>
      </c>
      <c r="I20" s="106"/>
      <c r="J20" s="24"/>
      <c r="K20" s="24"/>
      <c r="L20" s="24"/>
      <c r="M20" s="24"/>
      <c r="N20" s="24"/>
      <c r="O20" s="24"/>
      <c r="P20" s="107"/>
      <c r="Q20" s="107"/>
      <c r="R20" s="107"/>
      <c r="S20" s="107"/>
      <c r="T20" s="107"/>
      <c r="U20" s="107"/>
      <c r="V20" s="107"/>
      <c r="W20" s="107"/>
      <c r="X20" s="107"/>
      <c r="Y20" s="107"/>
      <c r="Z20" s="107"/>
      <c r="AA20" s="107"/>
      <c r="AB20" s="107"/>
      <c r="AC20" s="107"/>
      <c r="AD20" s="107"/>
      <c r="AE20" s="107"/>
      <c r="AF20" s="107"/>
      <c r="AG20" s="107"/>
      <c r="AH20" s="107"/>
      <c r="AI20" s="107"/>
      <c r="AJ20" s="107"/>
      <c r="AK20" s="107"/>
      <c r="AL20" s="107"/>
      <c r="AM20" s="107"/>
      <c r="AN20" s="107"/>
      <c r="AO20" s="107"/>
      <c r="AP20" s="107"/>
      <c r="AQ20" s="107"/>
      <c r="AR20" s="107"/>
      <c r="AS20" s="107"/>
      <c r="AT20" s="107"/>
      <c r="AU20" s="107"/>
      <c r="AV20" s="107"/>
      <c r="AW20" s="107"/>
      <c r="AX20" s="107"/>
      <c r="AY20" s="107"/>
      <c r="AZ20" s="107"/>
      <c r="BA20" s="107"/>
      <c r="BB20" s="107"/>
      <c r="BC20" s="107"/>
      <c r="BD20" s="107"/>
      <c r="BE20" s="107"/>
      <c r="BF20" s="107"/>
      <c r="BG20" s="107"/>
      <c r="BH20" s="107"/>
      <c r="BI20" s="107"/>
      <c r="BJ20" s="107"/>
      <c r="BK20" s="107"/>
      <c r="BL20" s="107"/>
      <c r="BM20" s="107"/>
      <c r="BN20" s="107"/>
      <c r="BO20" s="107"/>
      <c r="BP20" s="107"/>
      <c r="BQ20" s="107"/>
      <c r="BR20" s="107"/>
      <c r="BS20" s="107"/>
      <c r="BT20" s="107"/>
      <c r="BU20" s="107"/>
      <c r="BV20" s="107"/>
      <c r="BW20" s="107"/>
      <c r="BX20" s="107"/>
      <c r="BY20" s="107"/>
      <c r="BZ20" s="107"/>
      <c r="CA20" s="107"/>
      <c r="CB20" s="107"/>
      <c r="CC20" s="107"/>
      <c r="CD20" s="107"/>
      <c r="CE20" s="107"/>
      <c r="CF20" s="107"/>
      <c r="CG20" s="107"/>
      <c r="CH20" s="107"/>
      <c r="CI20" s="107"/>
      <c r="CJ20" s="107"/>
      <c r="CK20" s="107"/>
      <c r="CL20" s="107"/>
      <c r="CM20" s="107"/>
      <c r="CN20" s="107"/>
      <c r="CO20" s="107"/>
      <c r="CP20" s="107"/>
      <c r="CQ20" s="107"/>
      <c r="CR20" s="107"/>
      <c r="CS20" s="107"/>
      <c r="CT20" s="107"/>
      <c r="CU20" s="107"/>
      <c r="CV20" s="107"/>
      <c r="CW20" s="107"/>
      <c r="CX20" s="107"/>
      <c r="CY20" s="107"/>
      <c r="CZ20" s="107"/>
      <c r="DA20" s="107"/>
      <c r="DB20" s="107"/>
      <c r="DC20" s="107"/>
      <c r="DD20" s="107"/>
      <c r="DE20" s="107"/>
      <c r="DF20" s="107"/>
      <c r="DG20" s="107"/>
      <c r="DH20" s="107"/>
      <c r="DI20" s="107"/>
      <c r="DJ20" s="107"/>
      <c r="DK20" s="107"/>
      <c r="DL20" s="107"/>
      <c r="DM20" s="107"/>
      <c r="DN20" s="107"/>
      <c r="DO20" s="107"/>
      <c r="DP20" s="107"/>
      <c r="DQ20" s="107"/>
      <c r="DR20" s="107"/>
      <c r="DS20" s="107"/>
      <c r="DT20" s="107"/>
      <c r="DU20" s="107"/>
      <c r="DV20" s="107"/>
      <c r="DW20" s="107"/>
      <c r="DX20" s="107"/>
      <c r="DY20" s="107"/>
      <c r="DZ20" s="107"/>
      <c r="EA20" s="107"/>
      <c r="EB20" s="107"/>
      <c r="EC20" s="107"/>
      <c r="ED20" s="107"/>
      <c r="EE20" s="107"/>
      <c r="EF20" s="107"/>
      <c r="EG20" s="107"/>
      <c r="EH20" s="107"/>
      <c r="EI20" s="107"/>
      <c r="EJ20" s="107"/>
      <c r="EK20" s="107"/>
      <c r="EL20" s="107"/>
      <c r="EM20" s="107"/>
      <c r="EN20" s="107"/>
      <c r="EO20" s="107"/>
      <c r="EP20" s="107"/>
      <c r="EQ20" s="107"/>
      <c r="ER20" s="107"/>
      <c r="ES20" s="107"/>
      <c r="ET20" s="107"/>
      <c r="EU20" s="107"/>
      <c r="EV20" s="107"/>
      <c r="EW20" s="107"/>
      <c r="EX20" s="107"/>
      <c r="EY20" s="107"/>
      <c r="EZ20" s="107"/>
      <c r="FA20" s="107"/>
      <c r="FB20" s="107"/>
      <c r="FC20" s="107"/>
      <c r="FD20" s="107"/>
      <c r="FE20" s="107"/>
      <c r="FF20" s="107"/>
      <c r="FG20" s="107"/>
      <c r="FH20" s="107"/>
      <c r="FI20" s="107"/>
      <c r="FJ20" s="107"/>
      <c r="FK20" s="107"/>
      <c r="FL20" s="107"/>
      <c r="FM20" s="107"/>
      <c r="FN20" s="107"/>
      <c r="FO20" s="107"/>
      <c r="FP20" s="107"/>
      <c r="FQ20" s="107"/>
      <c r="FR20" s="107"/>
      <c r="FS20" s="107"/>
      <c r="FT20" s="107"/>
      <c r="FU20" s="107"/>
    </row>
    <row r="21" spans="1:177" s="99" customFormat="1" ht="16.5" hidden="1">
      <c r="A21" s="100"/>
      <c r="B21" s="136" t="str">
        <f>+Configuración!B42</f>
        <v>D-Naranja</v>
      </c>
      <c r="C21" s="137">
        <f>+Movimientos!D29</f>
        <v>3.637978807091713E-12</v>
      </c>
      <c r="D21" s="132">
        <f>+C21/$C$2</f>
        <v>4.6924508303734339E-18</v>
      </c>
      <c r="E21" s="138">
        <f>+C21</f>
        <v>3.637978807091713E-12</v>
      </c>
      <c r="F21" s="132">
        <f>+E21/$E$2</f>
        <v>8.298644183638964E-18</v>
      </c>
      <c r="G21" s="138" t="s">
        <v>785</v>
      </c>
      <c r="H21" s="139" t="s">
        <v>785</v>
      </c>
      <c r="I21" s="106"/>
      <c r="J21" s="24"/>
      <c r="K21" s="24"/>
      <c r="L21" s="24"/>
      <c r="M21" s="24"/>
      <c r="N21" s="24"/>
      <c r="O21" s="24"/>
      <c r="P21" s="107"/>
      <c r="Q21" s="107"/>
      <c r="R21" s="107"/>
      <c r="S21" s="107"/>
      <c r="T21" s="107"/>
      <c r="U21" s="107"/>
      <c r="V21" s="107"/>
      <c r="W21" s="107"/>
      <c r="X21" s="107"/>
      <c r="Y21" s="107"/>
      <c r="Z21" s="107"/>
      <c r="AA21" s="107"/>
      <c r="AB21" s="107"/>
      <c r="AC21" s="107"/>
      <c r="AD21" s="107"/>
      <c r="AE21" s="107"/>
      <c r="AF21" s="107"/>
      <c r="AG21" s="107"/>
      <c r="AH21" s="107"/>
      <c r="AI21" s="107"/>
      <c r="AJ21" s="107"/>
      <c r="AK21" s="107"/>
      <c r="AL21" s="107"/>
      <c r="AM21" s="107"/>
      <c r="AN21" s="107"/>
      <c r="AO21" s="107"/>
      <c r="AP21" s="107"/>
      <c r="AQ21" s="107"/>
      <c r="AR21" s="107"/>
      <c r="AS21" s="107"/>
      <c r="AT21" s="107"/>
      <c r="AU21" s="107"/>
      <c r="AV21" s="107"/>
      <c r="AW21" s="107"/>
      <c r="AX21" s="107"/>
      <c r="AY21" s="107"/>
      <c r="AZ21" s="107"/>
      <c r="BA21" s="107"/>
      <c r="BB21" s="107"/>
      <c r="BC21" s="107"/>
      <c r="BD21" s="107"/>
      <c r="BE21" s="107"/>
      <c r="BF21" s="107"/>
      <c r="BG21" s="107"/>
      <c r="BH21" s="107"/>
      <c r="BI21" s="107"/>
      <c r="BJ21" s="107"/>
      <c r="BK21" s="107"/>
      <c r="BL21" s="107"/>
      <c r="BM21" s="107"/>
      <c r="BN21" s="107"/>
      <c r="BO21" s="107"/>
      <c r="BP21" s="107"/>
      <c r="BQ21" s="107"/>
      <c r="BR21" s="107"/>
      <c r="BS21" s="107"/>
      <c r="BT21" s="107"/>
      <c r="BU21" s="107"/>
      <c r="BV21" s="107"/>
      <c r="BW21" s="107"/>
      <c r="BX21" s="107"/>
      <c r="BY21" s="107"/>
      <c r="BZ21" s="107"/>
      <c r="CA21" s="107"/>
      <c r="CB21" s="107"/>
      <c r="CC21" s="107"/>
      <c r="CD21" s="107"/>
      <c r="CE21" s="107"/>
      <c r="CF21" s="107"/>
      <c r="CG21" s="107"/>
      <c r="CH21" s="107"/>
      <c r="CI21" s="107"/>
      <c r="CJ21" s="107"/>
      <c r="CK21" s="107"/>
      <c r="CL21" s="107"/>
      <c r="CM21" s="107"/>
      <c r="CN21" s="107"/>
      <c r="CO21" s="107"/>
      <c r="CP21" s="107"/>
      <c r="CQ21" s="107"/>
      <c r="CR21" s="107"/>
      <c r="CS21" s="107"/>
      <c r="CT21" s="107"/>
      <c r="CU21" s="107"/>
      <c r="CV21" s="107"/>
      <c r="CW21" s="107"/>
      <c r="CX21" s="107"/>
      <c r="CY21" s="107"/>
      <c r="CZ21" s="107"/>
      <c r="DA21" s="107"/>
      <c r="DB21" s="107"/>
      <c r="DC21" s="107"/>
      <c r="DD21" s="107"/>
      <c r="DE21" s="107"/>
      <c r="DF21" s="107"/>
      <c r="DG21" s="107"/>
      <c r="DH21" s="107"/>
      <c r="DI21" s="107"/>
      <c r="DJ21" s="107"/>
      <c r="DK21" s="107"/>
      <c r="DL21" s="107"/>
      <c r="DM21" s="107"/>
      <c r="DN21" s="107"/>
      <c r="DO21" s="107"/>
      <c r="DP21" s="107"/>
      <c r="DQ21" s="107"/>
      <c r="DR21" s="107"/>
      <c r="DS21" s="107"/>
      <c r="DT21" s="107"/>
      <c r="DU21" s="107"/>
      <c r="DV21" s="107"/>
      <c r="DW21" s="107"/>
      <c r="DX21" s="107"/>
      <c r="DY21" s="107"/>
      <c r="DZ21" s="107"/>
      <c r="EA21" s="107"/>
      <c r="EB21" s="107"/>
      <c r="EC21" s="107"/>
      <c r="ED21" s="107"/>
      <c r="EE21" s="107"/>
      <c r="EF21" s="107"/>
      <c r="EG21" s="107"/>
      <c r="EH21" s="107"/>
      <c r="EI21" s="107"/>
      <c r="EJ21" s="107"/>
      <c r="EK21" s="107"/>
      <c r="EL21" s="107"/>
      <c r="EM21" s="107"/>
      <c r="EN21" s="107"/>
      <c r="EO21" s="107"/>
      <c r="EP21" s="107"/>
      <c r="EQ21" s="107"/>
      <c r="ER21" s="107"/>
      <c r="ES21" s="107"/>
      <c r="ET21" s="107"/>
      <c r="EU21" s="107"/>
      <c r="EV21" s="107"/>
      <c r="EW21" s="107"/>
      <c r="EX21" s="107"/>
      <c r="EY21" s="107"/>
      <c r="EZ21" s="107"/>
      <c r="FA21" s="107"/>
      <c r="FB21" s="107"/>
      <c r="FC21" s="107"/>
      <c r="FD21" s="107"/>
      <c r="FE21" s="107"/>
      <c r="FF21" s="107"/>
      <c r="FG21" s="107"/>
      <c r="FH21" s="107"/>
      <c r="FI21" s="107"/>
      <c r="FJ21" s="107"/>
      <c r="FK21" s="107"/>
      <c r="FL21" s="107"/>
      <c r="FM21" s="107"/>
      <c r="FN21" s="107"/>
      <c r="FO21" s="107"/>
      <c r="FP21" s="107"/>
      <c r="FQ21" s="107"/>
      <c r="FR21" s="107"/>
      <c r="FS21" s="107"/>
      <c r="FT21" s="107"/>
      <c r="FU21" s="107"/>
    </row>
    <row r="22" spans="1:177" s="99" customFormat="1" ht="16.5" hidden="1">
      <c r="A22" s="100"/>
      <c r="B22" s="136" t="str">
        <f>+Configuración!B43</f>
        <v>D-Openbank</v>
      </c>
      <c r="C22" s="137">
        <f>+Movimientos!D30</f>
        <v>0</v>
      </c>
      <c r="D22" s="132">
        <f>+C22/$C$2</f>
        <v>0</v>
      </c>
      <c r="E22" s="138">
        <f>+C22</f>
        <v>0</v>
      </c>
      <c r="F22" s="132">
        <f>+E22/$E$2</f>
        <v>0</v>
      </c>
      <c r="G22" s="138" t="s">
        <v>785</v>
      </c>
      <c r="H22" s="139" t="s">
        <v>785</v>
      </c>
      <c r="I22" s="106"/>
      <c r="J22" s="24"/>
      <c r="K22" s="24"/>
      <c r="L22" s="24"/>
      <c r="M22" s="24"/>
      <c r="N22" s="24"/>
      <c r="O22" s="24"/>
      <c r="P22" s="107"/>
      <c r="Q22" s="107"/>
      <c r="R22" s="107"/>
      <c r="S22" s="107"/>
      <c r="T22" s="107"/>
      <c r="U22" s="107"/>
      <c r="V22" s="107"/>
      <c r="W22" s="107"/>
      <c r="X22" s="107"/>
      <c r="Y22" s="107"/>
      <c r="Z22" s="107"/>
      <c r="AA22" s="107"/>
      <c r="AB22" s="107"/>
      <c r="AC22" s="107"/>
      <c r="AD22" s="107"/>
      <c r="AE22" s="107"/>
      <c r="AF22" s="107"/>
      <c r="AG22" s="107"/>
      <c r="AH22" s="107"/>
      <c r="AI22" s="107"/>
      <c r="AJ22" s="107"/>
      <c r="AK22" s="107"/>
      <c r="AL22" s="107"/>
      <c r="AM22" s="107"/>
      <c r="AN22" s="107"/>
      <c r="AO22" s="107"/>
      <c r="AP22" s="107"/>
      <c r="AQ22" s="107"/>
      <c r="AR22" s="107"/>
      <c r="AS22" s="107"/>
      <c r="AT22" s="107"/>
      <c r="AU22" s="107"/>
      <c r="AV22" s="107"/>
      <c r="AW22" s="107"/>
      <c r="AX22" s="107"/>
      <c r="AY22" s="107"/>
      <c r="AZ22" s="107"/>
      <c r="BA22" s="107"/>
      <c r="BB22" s="107"/>
      <c r="BC22" s="107"/>
      <c r="BD22" s="107"/>
      <c r="BE22" s="107"/>
      <c r="BF22" s="107"/>
      <c r="BG22" s="107"/>
      <c r="BH22" s="107"/>
      <c r="BI22" s="107"/>
      <c r="BJ22" s="107"/>
      <c r="BK22" s="107"/>
      <c r="BL22" s="107"/>
      <c r="BM22" s="107"/>
      <c r="BN22" s="107"/>
      <c r="BO22" s="107"/>
      <c r="BP22" s="107"/>
      <c r="BQ22" s="107"/>
      <c r="BR22" s="107"/>
      <c r="BS22" s="107"/>
      <c r="BT22" s="107"/>
      <c r="BU22" s="107"/>
      <c r="BV22" s="107"/>
      <c r="BW22" s="107"/>
      <c r="BX22" s="107"/>
      <c r="BY22" s="107"/>
      <c r="BZ22" s="107"/>
      <c r="CA22" s="107"/>
      <c r="CB22" s="107"/>
      <c r="CC22" s="107"/>
      <c r="CD22" s="107"/>
      <c r="CE22" s="107"/>
      <c r="CF22" s="107"/>
      <c r="CG22" s="107"/>
      <c r="CH22" s="107"/>
      <c r="CI22" s="107"/>
      <c r="CJ22" s="107"/>
      <c r="CK22" s="107"/>
      <c r="CL22" s="107"/>
      <c r="CM22" s="107"/>
      <c r="CN22" s="107"/>
      <c r="CO22" s="107"/>
      <c r="CP22" s="107"/>
      <c r="CQ22" s="107"/>
      <c r="CR22" s="107"/>
      <c r="CS22" s="107"/>
      <c r="CT22" s="107"/>
      <c r="CU22" s="107"/>
      <c r="CV22" s="107"/>
      <c r="CW22" s="107"/>
      <c r="CX22" s="107"/>
      <c r="CY22" s="107"/>
      <c r="CZ22" s="107"/>
      <c r="DA22" s="107"/>
      <c r="DB22" s="107"/>
      <c r="DC22" s="107"/>
      <c r="DD22" s="107"/>
      <c r="DE22" s="107"/>
      <c r="DF22" s="107"/>
      <c r="DG22" s="107"/>
      <c r="DH22" s="107"/>
      <c r="DI22" s="107"/>
      <c r="DJ22" s="107"/>
      <c r="DK22" s="107"/>
      <c r="DL22" s="107"/>
      <c r="DM22" s="107"/>
      <c r="DN22" s="107"/>
      <c r="DO22" s="107"/>
      <c r="DP22" s="107"/>
      <c r="DQ22" s="107"/>
      <c r="DR22" s="107"/>
      <c r="DS22" s="107"/>
      <c r="DT22" s="107"/>
      <c r="DU22" s="107"/>
      <c r="DV22" s="107"/>
      <c r="DW22" s="107"/>
      <c r="DX22" s="107"/>
      <c r="DY22" s="107"/>
      <c r="DZ22" s="107"/>
      <c r="EA22" s="107"/>
      <c r="EB22" s="107"/>
      <c r="EC22" s="107"/>
      <c r="ED22" s="107"/>
      <c r="EE22" s="107"/>
      <c r="EF22" s="107"/>
      <c r="EG22" s="107"/>
      <c r="EH22" s="107"/>
      <c r="EI22" s="107"/>
      <c r="EJ22" s="107"/>
      <c r="EK22" s="107"/>
      <c r="EL22" s="107"/>
      <c r="EM22" s="107"/>
      <c r="EN22" s="107"/>
      <c r="EO22" s="107"/>
      <c r="EP22" s="107"/>
      <c r="EQ22" s="107"/>
      <c r="ER22" s="107"/>
      <c r="ES22" s="107"/>
      <c r="ET22" s="107"/>
      <c r="EU22" s="107"/>
      <c r="EV22" s="107"/>
      <c r="EW22" s="107"/>
      <c r="EX22" s="107"/>
      <c r="EY22" s="107"/>
      <c r="EZ22" s="107"/>
      <c r="FA22" s="107"/>
      <c r="FB22" s="107"/>
      <c r="FC22" s="107"/>
      <c r="FD22" s="107"/>
      <c r="FE22" s="107"/>
      <c r="FF22" s="107"/>
      <c r="FG22" s="107"/>
      <c r="FH22" s="107"/>
      <c r="FI22" s="107"/>
      <c r="FJ22" s="107"/>
      <c r="FK22" s="107"/>
      <c r="FL22" s="107"/>
      <c r="FM22" s="107"/>
      <c r="FN22" s="107"/>
      <c r="FO22" s="107"/>
      <c r="FP22" s="107"/>
      <c r="FQ22" s="107"/>
      <c r="FR22" s="107"/>
      <c r="FS22" s="107"/>
      <c r="FT22" s="107"/>
      <c r="FU22" s="107"/>
    </row>
    <row r="23" spans="1:177" s="99" customFormat="1" ht="16.5">
      <c r="A23" s="100"/>
      <c r="B23" s="136" t="str">
        <f>+Configuración!B45</f>
        <v>D-Sabadell</v>
      </c>
      <c r="C23" s="137">
        <f>+Movimientos!D32</f>
        <v>131.8200000000009</v>
      </c>
      <c r="D23" s="132">
        <f>+C23/$C$2</f>
        <v>1.7002816708388716E-4</v>
      </c>
      <c r="E23" s="138">
        <f>+C23</f>
        <v>131.8200000000009</v>
      </c>
      <c r="F23" s="132">
        <f>+E23/$E$2</f>
        <v>3.0069644005480264E-4</v>
      </c>
      <c r="G23" s="138" t="s">
        <v>785</v>
      </c>
      <c r="H23" s="139" t="s">
        <v>785</v>
      </c>
      <c r="I23" s="106"/>
      <c r="J23" s="135"/>
      <c r="K23" s="24"/>
      <c r="L23" s="24"/>
      <c r="M23" s="24"/>
      <c r="N23" s="24"/>
      <c r="O23" s="24"/>
      <c r="P23" s="107"/>
      <c r="Q23" s="107"/>
      <c r="R23" s="107"/>
      <c r="S23" s="107"/>
      <c r="T23" s="107"/>
      <c r="U23" s="107"/>
      <c r="V23" s="107"/>
      <c r="W23" s="107"/>
      <c r="X23" s="107"/>
      <c r="Y23" s="107"/>
      <c r="Z23" s="107"/>
      <c r="AA23" s="107"/>
      <c r="AB23" s="107"/>
      <c r="AC23" s="107"/>
      <c r="AD23" s="107"/>
      <c r="AE23" s="107"/>
      <c r="AF23" s="107"/>
      <c r="AG23" s="107"/>
      <c r="AH23" s="107"/>
      <c r="AI23" s="107"/>
      <c r="AJ23" s="107"/>
      <c r="AK23" s="107"/>
      <c r="AL23" s="107"/>
      <c r="AM23" s="107"/>
      <c r="AN23" s="107"/>
      <c r="AO23" s="107"/>
      <c r="AP23" s="107"/>
      <c r="AQ23" s="107"/>
      <c r="AR23" s="107"/>
      <c r="AS23" s="107"/>
      <c r="AT23" s="107"/>
      <c r="AU23" s="107"/>
      <c r="AV23" s="107"/>
      <c r="AW23" s="107"/>
      <c r="AX23" s="107"/>
      <c r="AY23" s="107"/>
      <c r="AZ23" s="107"/>
      <c r="BA23" s="107"/>
      <c r="BB23" s="107"/>
      <c r="BC23" s="107"/>
      <c r="BD23" s="107"/>
      <c r="BE23" s="107"/>
      <c r="BF23" s="107"/>
      <c r="BG23" s="107"/>
      <c r="BH23" s="107"/>
      <c r="BI23" s="107"/>
      <c r="BJ23" s="107"/>
      <c r="BK23" s="107"/>
      <c r="BL23" s="107"/>
      <c r="BM23" s="107"/>
      <c r="BN23" s="107"/>
      <c r="BO23" s="107"/>
      <c r="BP23" s="107"/>
      <c r="BQ23" s="107"/>
      <c r="BR23" s="107"/>
      <c r="BS23" s="107"/>
      <c r="BT23" s="107"/>
      <c r="BU23" s="107"/>
      <c r="BV23" s="107"/>
      <c r="BW23" s="107"/>
      <c r="BX23" s="107"/>
      <c r="BY23" s="107"/>
      <c r="BZ23" s="107"/>
      <c r="CA23" s="107"/>
      <c r="CB23" s="107"/>
      <c r="CC23" s="107"/>
      <c r="CD23" s="107"/>
      <c r="CE23" s="107"/>
      <c r="CF23" s="107"/>
      <c r="CG23" s="107"/>
      <c r="CH23" s="107"/>
      <c r="CI23" s="107"/>
      <c r="CJ23" s="107"/>
      <c r="CK23" s="107"/>
      <c r="CL23" s="107"/>
      <c r="CM23" s="107"/>
      <c r="CN23" s="107"/>
      <c r="CO23" s="107"/>
      <c r="CP23" s="107"/>
      <c r="CQ23" s="107"/>
      <c r="CR23" s="107"/>
      <c r="CS23" s="107"/>
      <c r="CT23" s="107"/>
      <c r="CU23" s="107"/>
      <c r="CV23" s="107"/>
      <c r="CW23" s="107"/>
      <c r="CX23" s="107"/>
      <c r="CY23" s="107"/>
      <c r="CZ23" s="107"/>
      <c r="DA23" s="107"/>
      <c r="DB23" s="107"/>
      <c r="DC23" s="107"/>
      <c r="DD23" s="107"/>
      <c r="DE23" s="107"/>
      <c r="DF23" s="107"/>
      <c r="DG23" s="107"/>
      <c r="DH23" s="107"/>
      <c r="DI23" s="107"/>
      <c r="DJ23" s="107"/>
      <c r="DK23" s="107"/>
      <c r="DL23" s="107"/>
      <c r="DM23" s="107"/>
      <c r="DN23" s="107"/>
      <c r="DO23" s="107"/>
      <c r="DP23" s="107"/>
      <c r="DQ23" s="107"/>
      <c r="DR23" s="107"/>
      <c r="DS23" s="107"/>
      <c r="DT23" s="107"/>
      <c r="DU23" s="107"/>
      <c r="DV23" s="107"/>
      <c r="DW23" s="107"/>
      <c r="DX23" s="107"/>
      <c r="DY23" s="107"/>
      <c r="DZ23" s="107"/>
      <c r="EA23" s="107"/>
      <c r="EB23" s="107"/>
      <c r="EC23" s="107"/>
      <c r="ED23" s="107"/>
      <c r="EE23" s="107"/>
      <c r="EF23" s="107"/>
      <c r="EG23" s="107"/>
      <c r="EH23" s="107"/>
      <c r="EI23" s="107"/>
      <c r="EJ23" s="107"/>
      <c r="EK23" s="107"/>
      <c r="EL23" s="107"/>
      <c r="EM23" s="107"/>
      <c r="EN23" s="107"/>
      <c r="EO23" s="107"/>
      <c r="EP23" s="107"/>
      <c r="EQ23" s="107"/>
      <c r="ER23" s="107"/>
      <c r="ES23" s="107"/>
      <c r="ET23" s="107"/>
      <c r="EU23" s="107"/>
      <c r="EV23" s="107"/>
      <c r="EW23" s="107"/>
      <c r="EX23" s="107"/>
      <c r="EY23" s="107"/>
      <c r="EZ23" s="107"/>
      <c r="FA23" s="107"/>
      <c r="FB23" s="107"/>
      <c r="FC23" s="107"/>
      <c r="FD23" s="107"/>
      <c r="FE23" s="107"/>
      <c r="FF23" s="107"/>
      <c r="FG23" s="107"/>
      <c r="FH23" s="107"/>
      <c r="FI23" s="107"/>
      <c r="FJ23" s="107"/>
      <c r="FK23" s="107"/>
      <c r="FL23" s="107"/>
      <c r="FM23" s="107"/>
      <c r="FN23" s="107"/>
      <c r="FO23" s="107"/>
      <c r="FP23" s="107"/>
      <c r="FQ23" s="107"/>
      <c r="FR23" s="107"/>
      <c r="FS23" s="107"/>
      <c r="FT23" s="107"/>
      <c r="FU23" s="107"/>
    </row>
    <row r="24" spans="1:177" s="99" customFormat="1" ht="16.5" hidden="1">
      <c r="A24" s="100"/>
      <c r="B24" s="136" t="str">
        <f>+Configuración!B46</f>
        <v>D-Santander</v>
      </c>
      <c r="C24" s="137">
        <f>+Movimientos!D33</f>
        <v>9.0949470177292824E-13</v>
      </c>
      <c r="D24" s="132">
        <f>+C24/$C$2</f>
        <v>1.1731127075933585E-18</v>
      </c>
      <c r="E24" s="138">
        <f>+C24</f>
        <v>9.0949470177292824E-13</v>
      </c>
      <c r="F24" s="132">
        <f>+E24/$E$2</f>
        <v>2.074661045909741E-18</v>
      </c>
      <c r="G24" s="138" t="s">
        <v>785</v>
      </c>
      <c r="H24" s="139" t="s">
        <v>785</v>
      </c>
      <c r="I24" s="106"/>
      <c r="J24" s="24"/>
      <c r="K24" s="24"/>
      <c r="L24" s="24"/>
      <c r="M24" s="24"/>
      <c r="N24" s="24"/>
      <c r="O24" s="24"/>
      <c r="P24" s="107"/>
      <c r="Q24" s="107"/>
      <c r="R24" s="107"/>
      <c r="S24" s="107"/>
      <c r="T24" s="107"/>
      <c r="U24" s="107"/>
      <c r="V24" s="107"/>
      <c r="W24" s="107"/>
      <c r="X24" s="107"/>
      <c r="Y24" s="107"/>
      <c r="Z24" s="107"/>
      <c r="AA24" s="107"/>
      <c r="AB24" s="107"/>
      <c r="AC24" s="107"/>
      <c r="AD24" s="107"/>
      <c r="AE24" s="107"/>
      <c r="AF24" s="107"/>
      <c r="AG24" s="107"/>
      <c r="AH24" s="107"/>
      <c r="AI24" s="107"/>
      <c r="AJ24" s="107"/>
      <c r="AK24" s="107"/>
      <c r="AL24" s="107"/>
      <c r="AM24" s="107"/>
      <c r="AN24" s="107"/>
      <c r="AO24" s="107"/>
      <c r="AP24" s="107"/>
      <c r="AQ24" s="107"/>
      <c r="AR24" s="107"/>
      <c r="AS24" s="107"/>
      <c r="AT24" s="107"/>
      <c r="AU24" s="107"/>
      <c r="AV24" s="107"/>
      <c r="AW24" s="107"/>
      <c r="AX24" s="107"/>
      <c r="AY24" s="107"/>
      <c r="AZ24" s="107"/>
      <c r="BA24" s="107"/>
      <c r="BB24" s="107"/>
      <c r="BC24" s="107"/>
      <c r="BD24" s="107"/>
      <c r="BE24" s="107"/>
      <c r="BF24" s="107"/>
      <c r="BG24" s="107"/>
      <c r="BH24" s="107"/>
      <c r="BI24" s="107"/>
      <c r="BJ24" s="107"/>
      <c r="BK24" s="107"/>
      <c r="BL24" s="107"/>
      <c r="BM24" s="107"/>
      <c r="BN24" s="107"/>
      <c r="BO24" s="107"/>
      <c r="BP24" s="107"/>
      <c r="BQ24" s="107"/>
      <c r="BR24" s="107"/>
      <c r="BS24" s="107"/>
      <c r="BT24" s="107"/>
      <c r="BU24" s="107"/>
      <c r="BV24" s="107"/>
      <c r="BW24" s="107"/>
      <c r="BX24" s="107"/>
      <c r="BY24" s="107"/>
      <c r="BZ24" s="107"/>
      <c r="CA24" s="107"/>
      <c r="CB24" s="107"/>
      <c r="CC24" s="107"/>
      <c r="CD24" s="107"/>
      <c r="CE24" s="107"/>
      <c r="CF24" s="107"/>
      <c r="CG24" s="107"/>
      <c r="CH24" s="107"/>
      <c r="CI24" s="107"/>
      <c r="CJ24" s="107"/>
      <c r="CK24" s="107"/>
      <c r="CL24" s="107"/>
      <c r="CM24" s="107"/>
      <c r="CN24" s="107"/>
      <c r="CO24" s="107"/>
      <c r="CP24" s="107"/>
      <c r="CQ24" s="107"/>
      <c r="CR24" s="107"/>
      <c r="CS24" s="107"/>
      <c r="CT24" s="107"/>
      <c r="CU24" s="107"/>
      <c r="CV24" s="107"/>
      <c r="CW24" s="107"/>
      <c r="CX24" s="107"/>
      <c r="CY24" s="107"/>
      <c r="CZ24" s="107"/>
      <c r="DA24" s="107"/>
      <c r="DB24" s="107"/>
      <c r="DC24" s="107"/>
      <c r="DD24" s="107"/>
      <c r="DE24" s="107"/>
      <c r="DF24" s="107"/>
      <c r="DG24" s="107"/>
      <c r="DH24" s="107"/>
      <c r="DI24" s="107"/>
      <c r="DJ24" s="107"/>
      <c r="DK24" s="107"/>
      <c r="DL24" s="107"/>
      <c r="DM24" s="107"/>
      <c r="DN24" s="107"/>
      <c r="DO24" s="107"/>
      <c r="DP24" s="107"/>
      <c r="DQ24" s="107"/>
      <c r="DR24" s="107"/>
      <c r="DS24" s="107"/>
      <c r="DT24" s="107"/>
      <c r="DU24" s="107"/>
      <c r="DV24" s="107"/>
      <c r="DW24" s="107"/>
      <c r="DX24" s="107"/>
      <c r="DY24" s="107"/>
      <c r="DZ24" s="107"/>
      <c r="EA24" s="107"/>
      <c r="EB24" s="107"/>
      <c r="EC24" s="107"/>
      <c r="ED24" s="107"/>
      <c r="EE24" s="107"/>
      <c r="EF24" s="107"/>
      <c r="EG24" s="107"/>
      <c r="EH24" s="107"/>
      <c r="EI24" s="107"/>
      <c r="EJ24" s="107"/>
      <c r="EK24" s="107"/>
      <c r="EL24" s="107"/>
      <c r="EM24" s="107"/>
      <c r="EN24" s="107"/>
      <c r="EO24" s="107"/>
      <c r="EP24" s="107"/>
      <c r="EQ24" s="107"/>
      <c r="ER24" s="107"/>
      <c r="ES24" s="107"/>
      <c r="ET24" s="107"/>
      <c r="EU24" s="107"/>
      <c r="EV24" s="107"/>
      <c r="EW24" s="107"/>
      <c r="EX24" s="107"/>
      <c r="EY24" s="107"/>
      <c r="EZ24" s="107"/>
      <c r="FA24" s="107"/>
      <c r="FB24" s="107"/>
      <c r="FC24" s="107"/>
      <c r="FD24" s="107"/>
      <c r="FE24" s="107"/>
      <c r="FF24" s="107"/>
      <c r="FG24" s="107"/>
      <c r="FH24" s="107"/>
      <c r="FI24" s="107"/>
      <c r="FJ24" s="107"/>
      <c r="FK24" s="107"/>
      <c r="FL24" s="107"/>
      <c r="FM24" s="107"/>
      <c r="FN24" s="107"/>
      <c r="FO24" s="107"/>
      <c r="FP24" s="107"/>
      <c r="FQ24" s="107"/>
      <c r="FR24" s="107"/>
      <c r="FS24" s="107"/>
      <c r="FT24" s="107"/>
      <c r="FU24" s="107"/>
    </row>
    <row r="25" spans="1:177" s="108" customFormat="1" ht="16.5">
      <c r="A25" s="100"/>
      <c r="B25" s="136" t="str">
        <f>+Configuración!B52</f>
        <v>D-TradeRepublic</v>
      </c>
      <c r="C25" s="137">
        <f>+Movimientos!D39</f>
        <v>599.99999999999841</v>
      </c>
      <c r="D25" s="132">
        <f>+C25/$C$2</f>
        <v>7.7391063761440848E-4</v>
      </c>
      <c r="E25" s="138">
        <f>+C25</f>
        <v>599.99999999999841</v>
      </c>
      <c r="F25" s="132">
        <f>+E25/$E$2</f>
        <v>1.368668366203003E-3</v>
      </c>
      <c r="G25" s="138" t="s">
        <v>785</v>
      </c>
      <c r="H25" s="139" t="s">
        <v>785</v>
      </c>
      <c r="I25" s="106"/>
      <c r="J25" s="135"/>
      <c r="K25" s="24"/>
      <c r="L25" s="24"/>
      <c r="M25" s="24"/>
      <c r="N25" s="24"/>
      <c r="O25" s="24"/>
      <c r="P25" s="107"/>
      <c r="Q25" s="107"/>
      <c r="R25" s="107"/>
      <c r="S25" s="107"/>
      <c r="T25" s="107"/>
      <c r="U25" s="107"/>
      <c r="V25" s="107"/>
      <c r="W25" s="107"/>
      <c r="X25" s="107"/>
      <c r="Y25" s="107"/>
      <c r="Z25" s="107"/>
      <c r="AA25" s="107"/>
      <c r="AB25" s="107"/>
      <c r="AC25" s="107"/>
      <c r="AD25" s="107"/>
      <c r="AE25" s="107"/>
      <c r="AF25" s="107"/>
      <c r="AG25" s="107"/>
      <c r="AH25" s="107"/>
      <c r="AI25" s="107"/>
      <c r="AJ25" s="107"/>
      <c r="AK25" s="107"/>
      <c r="AL25" s="107"/>
      <c r="AM25" s="107"/>
      <c r="AN25" s="107"/>
      <c r="AO25" s="107"/>
      <c r="AP25" s="107"/>
      <c r="AQ25" s="107"/>
      <c r="AR25" s="107"/>
      <c r="AS25" s="107"/>
      <c r="AT25" s="107"/>
      <c r="AU25" s="107"/>
      <c r="AV25" s="107"/>
      <c r="AW25" s="107"/>
      <c r="AX25" s="107"/>
      <c r="AY25" s="107"/>
      <c r="AZ25" s="107"/>
      <c r="BA25" s="107"/>
      <c r="BB25" s="107"/>
      <c r="BC25" s="107"/>
      <c r="BD25" s="107"/>
      <c r="BE25" s="107"/>
      <c r="BF25" s="107"/>
      <c r="BG25" s="107"/>
      <c r="BH25" s="107"/>
      <c r="BI25" s="107"/>
      <c r="BJ25" s="107"/>
      <c r="BK25" s="107"/>
      <c r="BL25" s="107"/>
      <c r="BM25" s="107"/>
      <c r="BN25" s="107"/>
      <c r="BO25" s="107"/>
      <c r="BP25" s="107"/>
      <c r="BQ25" s="107"/>
      <c r="BR25" s="107"/>
      <c r="BS25" s="107"/>
      <c r="BT25" s="107"/>
      <c r="BU25" s="107"/>
      <c r="BV25" s="107"/>
      <c r="BW25" s="107"/>
      <c r="BX25" s="107"/>
      <c r="BY25" s="107"/>
      <c r="BZ25" s="107"/>
      <c r="CA25" s="107"/>
      <c r="CB25" s="107"/>
      <c r="CC25" s="107"/>
      <c r="CD25" s="107"/>
      <c r="CE25" s="107"/>
      <c r="CF25" s="107"/>
      <c r="CG25" s="107"/>
      <c r="CH25" s="107"/>
      <c r="CI25" s="107"/>
      <c r="CJ25" s="107"/>
      <c r="CK25" s="107"/>
      <c r="CL25" s="107"/>
      <c r="CM25" s="107"/>
      <c r="CN25" s="107"/>
      <c r="CO25" s="107"/>
      <c r="CP25" s="107"/>
      <c r="CQ25" s="107"/>
      <c r="CR25" s="107"/>
      <c r="CS25" s="107"/>
      <c r="CT25" s="107"/>
      <c r="CU25" s="107"/>
      <c r="CV25" s="107"/>
      <c r="CW25" s="107"/>
      <c r="CX25" s="107"/>
      <c r="CY25" s="107"/>
      <c r="CZ25" s="107"/>
      <c r="DA25" s="107"/>
      <c r="DB25" s="107"/>
      <c r="DC25" s="107"/>
      <c r="DD25" s="107"/>
      <c r="DE25" s="107"/>
      <c r="DF25" s="107"/>
      <c r="DG25" s="107"/>
      <c r="DH25" s="107"/>
      <c r="DI25" s="107"/>
      <c r="DJ25" s="107"/>
      <c r="DK25" s="107"/>
      <c r="DL25" s="107"/>
      <c r="DM25" s="107"/>
      <c r="DN25" s="107"/>
      <c r="DO25" s="107"/>
      <c r="DP25" s="107"/>
      <c r="DQ25" s="107"/>
      <c r="DR25" s="107"/>
      <c r="DS25" s="107"/>
      <c r="DT25" s="107"/>
      <c r="DU25" s="107"/>
      <c r="DV25" s="107"/>
      <c r="DW25" s="107"/>
      <c r="DX25" s="107"/>
      <c r="DY25" s="107"/>
      <c r="DZ25" s="107"/>
      <c r="EA25" s="107"/>
      <c r="EB25" s="107"/>
      <c r="EC25" s="107"/>
      <c r="ED25" s="107"/>
      <c r="EE25" s="107"/>
      <c r="EF25" s="107"/>
      <c r="EG25" s="107"/>
      <c r="EH25" s="107"/>
      <c r="EI25" s="107"/>
      <c r="EJ25" s="107"/>
      <c r="EK25" s="107"/>
      <c r="EL25" s="107"/>
      <c r="EM25" s="107"/>
      <c r="EN25" s="107"/>
      <c r="EO25" s="107"/>
      <c r="EP25" s="107"/>
      <c r="EQ25" s="107"/>
      <c r="ER25" s="107"/>
      <c r="ES25" s="107"/>
      <c r="ET25" s="107"/>
      <c r="EU25" s="107"/>
      <c r="EV25" s="107"/>
      <c r="EW25" s="107"/>
      <c r="EX25" s="107"/>
      <c r="EY25" s="107"/>
      <c r="EZ25" s="107"/>
      <c r="FA25" s="107"/>
      <c r="FB25" s="107"/>
      <c r="FC25" s="107"/>
      <c r="FD25" s="107"/>
      <c r="FE25" s="107"/>
      <c r="FF25" s="107"/>
      <c r="FG25" s="107"/>
      <c r="FH25" s="107"/>
      <c r="FI25" s="107"/>
      <c r="FJ25" s="107"/>
      <c r="FK25" s="107"/>
      <c r="FL25" s="107"/>
      <c r="FM25" s="107"/>
      <c r="FN25" s="107"/>
      <c r="FO25" s="107"/>
      <c r="FP25" s="107"/>
      <c r="FQ25" s="107"/>
      <c r="FR25" s="107"/>
      <c r="FS25" s="107"/>
      <c r="FT25" s="107"/>
      <c r="FU25" s="107"/>
    </row>
    <row r="26" spans="1:177" s="108" customFormat="1" ht="16.5">
      <c r="A26" s="100"/>
      <c r="B26" s="136" t="str">
        <f>+Configuración!B59</f>
        <v>N-Ing</v>
      </c>
      <c r="C26" s="137">
        <f>+Movimientos!D46</f>
        <v>0</v>
      </c>
      <c r="D26" s="132">
        <f>+C26/$C$2</f>
        <v>0</v>
      </c>
      <c r="E26" s="138" t="s">
        <v>785</v>
      </c>
      <c r="F26" s="132" t="s">
        <v>785</v>
      </c>
      <c r="G26" s="138">
        <f>+C26</f>
        <v>0</v>
      </c>
      <c r="H26" s="139">
        <f>+G26/$G$2</f>
        <v>0</v>
      </c>
      <c r="I26" s="106"/>
      <c r="J26" s="135"/>
      <c r="K26" s="24"/>
      <c r="L26" s="24"/>
      <c r="M26" s="24"/>
      <c r="N26" s="24"/>
      <c r="O26" s="24"/>
      <c r="P26" s="107"/>
      <c r="Q26" s="24"/>
      <c r="R26" s="107"/>
      <c r="S26" s="107"/>
      <c r="T26" s="107"/>
      <c r="U26" s="107"/>
      <c r="V26" s="107"/>
      <c r="W26" s="107"/>
      <c r="X26" s="107"/>
      <c r="Y26" s="107"/>
      <c r="Z26" s="107"/>
      <c r="AA26" s="107"/>
      <c r="AB26" s="107"/>
      <c r="AC26" s="107"/>
      <c r="AD26" s="107"/>
      <c r="AE26" s="107"/>
      <c r="AF26" s="107"/>
      <c r="AG26" s="107"/>
      <c r="AH26" s="107"/>
      <c r="AI26" s="107"/>
      <c r="AJ26" s="107"/>
      <c r="AK26" s="107"/>
      <c r="AL26" s="107"/>
      <c r="AM26" s="107"/>
      <c r="AN26" s="107"/>
      <c r="AO26" s="107"/>
      <c r="AP26" s="107"/>
      <c r="AQ26" s="107"/>
      <c r="AR26" s="107"/>
      <c r="AS26" s="107"/>
      <c r="AT26" s="107"/>
      <c r="AU26" s="107"/>
      <c r="AV26" s="107"/>
      <c r="AW26" s="107"/>
      <c r="AX26" s="107"/>
      <c r="AY26" s="107"/>
      <c r="AZ26" s="107"/>
      <c r="BA26" s="107"/>
      <c r="BB26" s="107"/>
      <c r="BC26" s="107"/>
      <c r="BD26" s="107"/>
      <c r="BE26" s="107"/>
      <c r="BF26" s="107"/>
      <c r="BG26" s="107"/>
      <c r="BH26" s="107"/>
      <c r="BI26" s="107"/>
      <c r="BJ26" s="107"/>
      <c r="BK26" s="107"/>
      <c r="BL26" s="107"/>
      <c r="BM26" s="107"/>
      <c r="BN26" s="107"/>
      <c r="BO26" s="107"/>
      <c r="BP26" s="107"/>
      <c r="BQ26" s="107"/>
      <c r="BR26" s="107"/>
      <c r="BS26" s="107"/>
      <c r="BT26" s="107"/>
      <c r="BU26" s="107"/>
      <c r="BV26" s="107"/>
      <c r="BW26" s="107"/>
      <c r="BX26" s="107"/>
      <c r="BY26" s="107"/>
      <c r="BZ26" s="107"/>
      <c r="CA26" s="107"/>
      <c r="CB26" s="107"/>
      <c r="CC26" s="107"/>
      <c r="CD26" s="107"/>
      <c r="CE26" s="107"/>
      <c r="CF26" s="107"/>
      <c r="CG26" s="107"/>
      <c r="CH26" s="107"/>
      <c r="CI26" s="107"/>
      <c r="CJ26" s="107"/>
      <c r="CK26" s="107"/>
      <c r="CL26" s="107"/>
      <c r="CM26" s="107"/>
      <c r="CN26" s="107"/>
      <c r="CO26" s="107"/>
      <c r="CP26" s="107"/>
      <c r="CQ26" s="107"/>
      <c r="CR26" s="107"/>
      <c r="CS26" s="107"/>
      <c r="CT26" s="107"/>
      <c r="CU26" s="107"/>
      <c r="CV26" s="107"/>
      <c r="CW26" s="107"/>
      <c r="CX26" s="107"/>
      <c r="CY26" s="107"/>
      <c r="CZ26" s="107"/>
      <c r="DA26" s="107"/>
      <c r="DB26" s="107"/>
      <c r="DC26" s="107"/>
      <c r="DD26" s="107"/>
      <c r="DE26" s="107"/>
      <c r="DF26" s="107"/>
      <c r="DG26" s="107"/>
      <c r="DH26" s="107"/>
      <c r="DI26" s="107"/>
      <c r="DJ26" s="107"/>
      <c r="DK26" s="107"/>
      <c r="DL26" s="107"/>
      <c r="DM26" s="107"/>
      <c r="DN26" s="107"/>
      <c r="DO26" s="107"/>
      <c r="DP26" s="107"/>
      <c r="DQ26" s="107"/>
      <c r="DR26" s="107"/>
      <c r="DS26" s="107"/>
      <c r="DT26" s="107"/>
      <c r="DU26" s="107"/>
      <c r="DV26" s="107"/>
      <c r="DW26" s="107"/>
      <c r="DX26" s="107"/>
      <c r="DY26" s="107"/>
      <c r="DZ26" s="107"/>
      <c r="EA26" s="107"/>
      <c r="EB26" s="107"/>
      <c r="EC26" s="107"/>
      <c r="ED26" s="107"/>
      <c r="EE26" s="107"/>
      <c r="EF26" s="107"/>
      <c r="EG26" s="107"/>
      <c r="EH26" s="107"/>
      <c r="EI26" s="107"/>
      <c r="EJ26" s="107"/>
      <c r="EK26" s="107"/>
      <c r="EL26" s="107"/>
      <c r="EM26" s="107"/>
      <c r="EN26" s="107"/>
      <c r="EO26" s="107"/>
      <c r="EP26" s="107"/>
      <c r="EQ26" s="107"/>
      <c r="ER26" s="107"/>
      <c r="ES26" s="107"/>
      <c r="ET26" s="107"/>
      <c r="EU26" s="107"/>
      <c r="EV26" s="107"/>
      <c r="EW26" s="107"/>
      <c r="EX26" s="107"/>
      <c r="EY26" s="107"/>
      <c r="EZ26" s="107"/>
      <c r="FA26" s="107"/>
      <c r="FB26" s="107"/>
      <c r="FC26" s="107"/>
      <c r="FD26" s="107"/>
      <c r="FE26" s="107"/>
      <c r="FF26" s="107"/>
      <c r="FG26" s="107"/>
      <c r="FH26" s="107"/>
      <c r="FI26" s="107"/>
      <c r="FJ26" s="107"/>
      <c r="FK26" s="107"/>
      <c r="FL26" s="107"/>
      <c r="FM26" s="107"/>
      <c r="FN26" s="107"/>
      <c r="FO26" s="107"/>
      <c r="FP26" s="107"/>
      <c r="FQ26" s="107"/>
      <c r="FR26" s="107"/>
      <c r="FS26" s="107"/>
      <c r="FT26" s="107"/>
      <c r="FU26" s="107"/>
    </row>
    <row r="27" spans="1:177" s="108" customFormat="1" ht="16.5">
      <c r="A27" s="100"/>
      <c r="B27" s="136" t="str">
        <f>+Configuración!B61</f>
        <v>N-Myinvestor</v>
      </c>
      <c r="C27" s="137">
        <f>+Movimientos!D48</f>
        <v>0</v>
      </c>
      <c r="D27" s="132">
        <f>+C27/$C$2</f>
        <v>0</v>
      </c>
      <c r="E27" s="138" t="s">
        <v>785</v>
      </c>
      <c r="F27" s="132" t="s">
        <v>785</v>
      </c>
      <c r="G27" s="138">
        <f>+C27</f>
        <v>0</v>
      </c>
      <c r="H27" s="139">
        <f>+G27/$G$2</f>
        <v>0</v>
      </c>
      <c r="I27" s="106"/>
      <c r="J27" s="24"/>
      <c r="K27" s="24"/>
      <c r="L27" s="24"/>
      <c r="M27" s="24"/>
      <c r="N27" s="24"/>
      <c r="O27" s="24"/>
      <c r="P27" s="107"/>
      <c r="Q27" s="24"/>
      <c r="R27" s="107"/>
      <c r="S27" s="107"/>
      <c r="T27" s="107"/>
      <c r="U27" s="107"/>
      <c r="V27" s="107"/>
      <c r="W27" s="107"/>
      <c r="X27" s="107"/>
      <c r="Y27" s="107"/>
      <c r="Z27" s="107"/>
      <c r="AA27" s="107"/>
      <c r="AB27" s="107"/>
      <c r="AC27" s="107"/>
      <c r="AD27" s="107"/>
      <c r="AE27" s="107"/>
      <c r="AF27" s="107"/>
      <c r="AG27" s="107"/>
      <c r="AH27" s="107"/>
      <c r="AI27" s="107"/>
      <c r="AJ27" s="107"/>
      <c r="AK27" s="107"/>
      <c r="AL27" s="107"/>
      <c r="AM27" s="107"/>
      <c r="AN27" s="107"/>
      <c r="AO27" s="107"/>
      <c r="AP27" s="107"/>
      <c r="AQ27" s="107"/>
      <c r="AR27" s="107"/>
      <c r="AS27" s="107"/>
      <c r="AT27" s="107"/>
      <c r="AU27" s="107"/>
      <c r="AV27" s="107"/>
      <c r="AW27" s="107"/>
      <c r="AX27" s="107"/>
      <c r="AY27" s="107"/>
      <c r="AZ27" s="107"/>
      <c r="BA27" s="107"/>
      <c r="BB27" s="107"/>
      <c r="BC27" s="107"/>
      <c r="BD27" s="107"/>
      <c r="BE27" s="107"/>
      <c r="BF27" s="107"/>
      <c r="BG27" s="107"/>
      <c r="BH27" s="107"/>
      <c r="BI27" s="107"/>
      <c r="BJ27" s="107"/>
      <c r="BK27" s="107"/>
      <c r="BL27" s="107"/>
      <c r="BM27" s="107"/>
      <c r="BN27" s="107"/>
      <c r="BO27" s="107"/>
      <c r="BP27" s="107"/>
      <c r="BQ27" s="107"/>
      <c r="BR27" s="107"/>
      <c r="BS27" s="107"/>
      <c r="BT27" s="107"/>
      <c r="BU27" s="107"/>
      <c r="BV27" s="107"/>
      <c r="BW27" s="107"/>
      <c r="BX27" s="107"/>
      <c r="BY27" s="107"/>
      <c r="BZ27" s="107"/>
      <c r="CA27" s="107"/>
      <c r="CB27" s="107"/>
      <c r="CC27" s="107"/>
      <c r="CD27" s="107"/>
      <c r="CE27" s="107"/>
      <c r="CF27" s="107"/>
      <c r="CG27" s="107"/>
      <c r="CH27" s="107"/>
      <c r="CI27" s="107"/>
      <c r="CJ27" s="107"/>
      <c r="CK27" s="107"/>
      <c r="CL27" s="107"/>
      <c r="CM27" s="107"/>
      <c r="CN27" s="107"/>
      <c r="CO27" s="107"/>
      <c r="CP27" s="107"/>
      <c r="CQ27" s="107"/>
      <c r="CR27" s="107"/>
      <c r="CS27" s="107"/>
      <c r="CT27" s="107"/>
      <c r="CU27" s="107"/>
      <c r="CV27" s="107"/>
      <c r="CW27" s="107"/>
      <c r="CX27" s="107"/>
      <c r="CY27" s="107"/>
      <c r="CZ27" s="107"/>
      <c r="DA27" s="107"/>
      <c r="DB27" s="107"/>
      <c r="DC27" s="107"/>
      <c r="DD27" s="107"/>
      <c r="DE27" s="107"/>
      <c r="DF27" s="107"/>
      <c r="DG27" s="107"/>
      <c r="DH27" s="107"/>
      <c r="DI27" s="107"/>
      <c r="DJ27" s="107"/>
      <c r="DK27" s="107"/>
      <c r="DL27" s="107"/>
      <c r="DM27" s="107"/>
      <c r="DN27" s="107"/>
      <c r="DO27" s="107"/>
      <c r="DP27" s="107"/>
      <c r="DQ27" s="107"/>
      <c r="DR27" s="107"/>
      <c r="DS27" s="107"/>
      <c r="DT27" s="107"/>
      <c r="DU27" s="107"/>
      <c r="DV27" s="107"/>
      <c r="DW27" s="107"/>
      <c r="DX27" s="107"/>
      <c r="DY27" s="107"/>
      <c r="DZ27" s="107"/>
      <c r="EA27" s="107"/>
      <c r="EB27" s="107"/>
      <c r="EC27" s="107"/>
      <c r="ED27" s="107"/>
      <c r="EE27" s="107"/>
      <c r="EF27" s="107"/>
      <c r="EG27" s="107"/>
      <c r="EH27" s="107"/>
      <c r="EI27" s="107"/>
      <c r="EJ27" s="107"/>
      <c r="EK27" s="107"/>
      <c r="EL27" s="107"/>
      <c r="EM27" s="107"/>
      <c r="EN27" s="107"/>
      <c r="EO27" s="107"/>
      <c r="EP27" s="107"/>
      <c r="EQ27" s="107"/>
      <c r="ER27" s="107"/>
      <c r="ES27" s="107"/>
      <c r="ET27" s="107"/>
      <c r="EU27" s="107"/>
      <c r="EV27" s="107"/>
      <c r="EW27" s="107"/>
      <c r="EX27" s="107"/>
      <c r="EY27" s="107"/>
      <c r="EZ27" s="107"/>
      <c r="FA27" s="107"/>
      <c r="FB27" s="107"/>
      <c r="FC27" s="107"/>
      <c r="FD27" s="107"/>
      <c r="FE27" s="107"/>
      <c r="FF27" s="107"/>
      <c r="FG27" s="107"/>
      <c r="FH27" s="107"/>
      <c r="FI27" s="107"/>
      <c r="FJ27" s="107"/>
      <c r="FK27" s="107"/>
      <c r="FL27" s="107"/>
      <c r="FM27" s="107"/>
      <c r="FN27" s="107"/>
      <c r="FO27" s="107"/>
      <c r="FP27" s="107"/>
      <c r="FQ27" s="107"/>
      <c r="FR27" s="107"/>
      <c r="FS27" s="107"/>
      <c r="FT27" s="107"/>
      <c r="FU27" s="107"/>
    </row>
    <row r="28" spans="1:177" s="108" customFormat="1" ht="16.5">
      <c r="A28" s="100"/>
      <c r="B28" s="136" t="str">
        <f>+Configuración!B63</f>
        <v>N-Naranja</v>
      </c>
      <c r="C28" s="137">
        <f>+Movimientos!D50</f>
        <v>382.53999999999951</v>
      </c>
      <c r="D28" s="132">
        <f>+C28/$C$2</f>
        <v>4.9341962552169373E-4</v>
      </c>
      <c r="E28" s="138" t="s">
        <v>785</v>
      </c>
      <c r="F28" s="132" t="s">
        <v>785</v>
      </c>
      <c r="G28" s="138">
        <f>+C28</f>
        <v>382.53999999999951</v>
      </c>
      <c r="H28" s="139">
        <f>+G28/$G$2</f>
        <v>1.135467099045318E-3</v>
      </c>
      <c r="I28" s="106"/>
      <c r="J28" s="24"/>
      <c r="K28" s="24"/>
      <c r="L28" s="24"/>
      <c r="M28" s="24"/>
      <c r="N28" s="24"/>
      <c r="O28" s="24"/>
      <c r="P28" s="107"/>
      <c r="Q28" s="107"/>
      <c r="R28" s="107"/>
      <c r="S28" s="107"/>
      <c r="T28" s="107"/>
      <c r="U28" s="107"/>
      <c r="V28" s="107"/>
      <c r="W28" s="107"/>
      <c r="X28" s="107"/>
      <c r="Y28" s="107"/>
      <c r="Z28" s="107"/>
      <c r="AA28" s="107"/>
      <c r="AB28" s="107"/>
      <c r="AC28" s="107"/>
      <c r="AD28" s="107"/>
      <c r="AE28" s="107"/>
      <c r="AF28" s="107"/>
      <c r="AG28" s="107"/>
      <c r="AH28" s="107"/>
      <c r="AI28" s="107"/>
      <c r="AJ28" s="107"/>
      <c r="AK28" s="107"/>
      <c r="AL28" s="107"/>
      <c r="AM28" s="107"/>
      <c r="AN28" s="107"/>
      <c r="AO28" s="107"/>
      <c r="AP28" s="107"/>
      <c r="AQ28" s="107"/>
      <c r="AR28" s="107"/>
      <c r="AS28" s="107"/>
      <c r="AT28" s="107"/>
      <c r="AU28" s="107"/>
      <c r="AV28" s="107"/>
      <c r="AW28" s="107"/>
      <c r="AX28" s="107"/>
      <c r="AY28" s="107"/>
      <c r="AZ28" s="107"/>
      <c r="BA28" s="107"/>
      <c r="BB28" s="107"/>
      <c r="BC28" s="107"/>
      <c r="BD28" s="107"/>
      <c r="BE28" s="107"/>
      <c r="BF28" s="107"/>
      <c r="BG28" s="107"/>
      <c r="BH28" s="107"/>
      <c r="BI28" s="107"/>
      <c r="BJ28" s="107"/>
      <c r="BK28" s="107"/>
      <c r="BL28" s="107"/>
      <c r="BM28" s="107"/>
      <c r="BN28" s="107"/>
      <c r="BO28" s="107"/>
      <c r="BP28" s="107"/>
      <c r="BQ28" s="107"/>
      <c r="BR28" s="107"/>
      <c r="BS28" s="107"/>
      <c r="BT28" s="107"/>
      <c r="BU28" s="107"/>
      <c r="BV28" s="107"/>
      <c r="BW28" s="107"/>
      <c r="BX28" s="107"/>
      <c r="BY28" s="107"/>
      <c r="BZ28" s="107"/>
      <c r="CA28" s="107"/>
      <c r="CB28" s="107"/>
      <c r="CC28" s="107"/>
      <c r="CD28" s="107"/>
      <c r="CE28" s="107"/>
      <c r="CF28" s="107"/>
      <c r="CG28" s="107"/>
      <c r="CH28" s="107"/>
      <c r="CI28" s="107"/>
      <c r="CJ28" s="107"/>
      <c r="CK28" s="107"/>
      <c r="CL28" s="107"/>
      <c r="CM28" s="107"/>
      <c r="CN28" s="107"/>
      <c r="CO28" s="107"/>
      <c r="CP28" s="107"/>
      <c r="CQ28" s="107"/>
      <c r="CR28" s="107"/>
      <c r="CS28" s="107"/>
      <c r="CT28" s="107"/>
      <c r="CU28" s="107"/>
      <c r="CV28" s="107"/>
      <c r="CW28" s="107"/>
      <c r="CX28" s="107"/>
      <c r="CY28" s="107"/>
      <c r="CZ28" s="107"/>
      <c r="DA28" s="107"/>
      <c r="DB28" s="107"/>
      <c r="DC28" s="107"/>
      <c r="DD28" s="107"/>
      <c r="DE28" s="107"/>
      <c r="DF28" s="107"/>
      <c r="DG28" s="107"/>
      <c r="DH28" s="107"/>
      <c r="DI28" s="107"/>
      <c r="DJ28" s="107"/>
      <c r="DK28" s="107"/>
      <c r="DL28" s="107"/>
      <c r="DM28" s="107"/>
      <c r="DN28" s="107"/>
      <c r="DO28" s="107"/>
      <c r="DP28" s="107"/>
      <c r="DQ28" s="107"/>
      <c r="DR28" s="107"/>
      <c r="DS28" s="107"/>
      <c r="DT28" s="107"/>
      <c r="DU28" s="107"/>
      <c r="DV28" s="107"/>
      <c r="DW28" s="107"/>
      <c r="DX28" s="107"/>
      <c r="DY28" s="107"/>
      <c r="DZ28" s="107"/>
      <c r="EA28" s="107"/>
      <c r="EB28" s="107"/>
      <c r="EC28" s="107"/>
      <c r="ED28" s="107"/>
      <c r="EE28" s="107"/>
      <c r="EF28" s="107"/>
      <c r="EG28" s="107"/>
      <c r="EH28" s="107"/>
      <c r="EI28" s="107"/>
      <c r="EJ28" s="107"/>
      <c r="EK28" s="107"/>
      <c r="EL28" s="107"/>
      <c r="EM28" s="107"/>
      <c r="EN28" s="107"/>
      <c r="EO28" s="107"/>
      <c r="EP28" s="107"/>
      <c r="EQ28" s="107"/>
      <c r="ER28" s="107"/>
      <c r="ES28" s="107"/>
      <c r="ET28" s="107"/>
      <c r="EU28" s="107"/>
      <c r="EV28" s="107"/>
      <c r="EW28" s="107"/>
      <c r="EX28" s="107"/>
      <c r="EY28" s="107"/>
      <c r="EZ28" s="107"/>
      <c r="FA28" s="107"/>
      <c r="FB28" s="107"/>
      <c r="FC28" s="107"/>
      <c r="FD28" s="107"/>
      <c r="FE28" s="107"/>
      <c r="FF28" s="107"/>
      <c r="FG28" s="107"/>
      <c r="FH28" s="107"/>
      <c r="FI28" s="107"/>
      <c r="FJ28" s="107"/>
      <c r="FK28" s="107"/>
      <c r="FL28" s="107"/>
      <c r="FM28" s="107"/>
      <c r="FN28" s="107"/>
      <c r="FO28" s="107"/>
      <c r="FP28" s="107"/>
      <c r="FQ28" s="107"/>
      <c r="FR28" s="107"/>
      <c r="FS28" s="107"/>
      <c r="FT28" s="107"/>
      <c r="FU28" s="107"/>
    </row>
    <row r="29" spans="1:177" s="108" customFormat="1" ht="16.5">
      <c r="A29" s="100"/>
      <c r="B29" s="136" t="str">
        <f>+Configuración!B64</f>
        <v>N-N26</v>
      </c>
      <c r="C29" s="137">
        <f>+Movimientos!D51</f>
        <v>31823.490000000009</v>
      </c>
      <c r="D29" s="132">
        <f>+C29/$C$2</f>
        <v>4.1047562395026375E-2</v>
      </c>
      <c r="E29" s="138" t="s">
        <v>785</v>
      </c>
      <c r="F29" s="132" t="s">
        <v>785</v>
      </c>
      <c r="G29" s="138">
        <f>+C29</f>
        <v>31823.490000000009</v>
      </c>
      <c r="H29" s="139">
        <f>+G29/$G$2</f>
        <v>9.4459470569869142E-2</v>
      </c>
      <c r="I29" s="106"/>
      <c r="J29" s="24"/>
      <c r="K29" s="24"/>
      <c r="L29" s="24"/>
      <c r="M29" s="24"/>
      <c r="N29" s="24"/>
      <c r="O29" s="24"/>
      <c r="P29" s="107"/>
      <c r="Q29" s="107"/>
      <c r="R29" s="107"/>
      <c r="S29" s="107"/>
      <c r="T29" s="107"/>
      <c r="U29" s="107"/>
      <c r="V29" s="107"/>
      <c r="W29" s="107"/>
      <c r="X29" s="107"/>
      <c r="Y29" s="107"/>
      <c r="Z29" s="107"/>
      <c r="AA29" s="107"/>
      <c r="AB29" s="107"/>
      <c r="AC29" s="107"/>
      <c r="AD29" s="107"/>
      <c r="AE29" s="107"/>
      <c r="AF29" s="107"/>
      <c r="AG29" s="107"/>
      <c r="AH29" s="107"/>
      <c r="AI29" s="107"/>
      <c r="AJ29" s="107"/>
      <c r="AK29" s="107"/>
      <c r="AL29" s="107"/>
      <c r="AM29" s="107"/>
      <c r="AN29" s="107"/>
      <c r="AO29" s="107"/>
      <c r="AP29" s="107"/>
      <c r="AQ29" s="107"/>
      <c r="AR29" s="107"/>
      <c r="AS29" s="107"/>
      <c r="AT29" s="107"/>
      <c r="AU29" s="107"/>
      <c r="AV29" s="107"/>
      <c r="AW29" s="107"/>
      <c r="AX29" s="107"/>
      <c r="AY29" s="107"/>
      <c r="AZ29" s="107"/>
      <c r="BA29" s="107"/>
      <c r="BB29" s="107"/>
      <c r="BC29" s="107"/>
      <c r="BD29" s="107"/>
      <c r="BE29" s="107"/>
      <c r="BF29" s="107"/>
      <c r="BG29" s="107"/>
      <c r="BH29" s="107"/>
      <c r="BI29" s="107"/>
      <c r="BJ29" s="107"/>
      <c r="BK29" s="107"/>
      <c r="BL29" s="107"/>
      <c r="BM29" s="107"/>
      <c r="BN29" s="107"/>
      <c r="BO29" s="107"/>
      <c r="BP29" s="107"/>
      <c r="BQ29" s="107"/>
      <c r="BR29" s="107"/>
      <c r="BS29" s="107"/>
      <c r="BT29" s="107"/>
      <c r="BU29" s="107"/>
      <c r="BV29" s="107"/>
      <c r="BW29" s="107"/>
      <c r="BX29" s="107"/>
      <c r="BY29" s="107"/>
      <c r="BZ29" s="107"/>
      <c r="CA29" s="107"/>
      <c r="CB29" s="107"/>
      <c r="CC29" s="107"/>
      <c r="CD29" s="107"/>
      <c r="CE29" s="107"/>
      <c r="CF29" s="107"/>
      <c r="CG29" s="107"/>
      <c r="CH29" s="107"/>
      <c r="CI29" s="107"/>
      <c r="CJ29" s="107"/>
      <c r="CK29" s="107"/>
      <c r="CL29" s="107"/>
      <c r="CM29" s="107"/>
      <c r="CN29" s="107"/>
      <c r="CO29" s="107"/>
      <c r="CP29" s="107"/>
      <c r="CQ29" s="107"/>
      <c r="CR29" s="107"/>
      <c r="CS29" s="107"/>
      <c r="CT29" s="107"/>
      <c r="CU29" s="107"/>
      <c r="CV29" s="107"/>
      <c r="CW29" s="107"/>
      <c r="CX29" s="107"/>
      <c r="CY29" s="107"/>
      <c r="CZ29" s="107"/>
      <c r="DA29" s="107"/>
      <c r="DB29" s="107"/>
      <c r="DC29" s="107"/>
      <c r="DD29" s="107"/>
      <c r="DE29" s="107"/>
      <c r="DF29" s="107"/>
      <c r="DG29" s="107"/>
      <c r="DH29" s="107"/>
      <c r="DI29" s="107"/>
      <c r="DJ29" s="107"/>
      <c r="DK29" s="107"/>
      <c r="DL29" s="107"/>
      <c r="DM29" s="107"/>
      <c r="DN29" s="107"/>
      <c r="DO29" s="107"/>
      <c r="DP29" s="107"/>
      <c r="DQ29" s="107"/>
      <c r="DR29" s="107"/>
      <c r="DS29" s="107"/>
      <c r="DT29" s="107"/>
      <c r="DU29" s="107"/>
      <c r="DV29" s="107"/>
      <c r="DW29" s="107"/>
      <c r="DX29" s="107"/>
      <c r="DY29" s="107"/>
      <c r="DZ29" s="107"/>
      <c r="EA29" s="107"/>
      <c r="EB29" s="107"/>
      <c r="EC29" s="107"/>
      <c r="ED29" s="107"/>
      <c r="EE29" s="107"/>
      <c r="EF29" s="107"/>
      <c r="EG29" s="107"/>
      <c r="EH29" s="107"/>
      <c r="EI29" s="107"/>
      <c r="EJ29" s="107"/>
      <c r="EK29" s="107"/>
      <c r="EL29" s="107"/>
      <c r="EM29" s="107"/>
      <c r="EN29" s="107"/>
      <c r="EO29" s="107"/>
      <c r="EP29" s="107"/>
      <c r="EQ29" s="107"/>
      <c r="ER29" s="107"/>
      <c r="ES29" s="107"/>
      <c r="ET29" s="107"/>
      <c r="EU29" s="107"/>
      <c r="EV29" s="107"/>
      <c r="EW29" s="107"/>
      <c r="EX29" s="107"/>
      <c r="EY29" s="107"/>
      <c r="EZ29" s="107"/>
      <c r="FA29" s="107"/>
      <c r="FB29" s="107"/>
      <c r="FC29" s="107"/>
      <c r="FD29" s="107"/>
      <c r="FE29" s="107"/>
      <c r="FF29" s="107"/>
      <c r="FG29" s="107"/>
      <c r="FH29" s="107"/>
      <c r="FI29" s="107"/>
      <c r="FJ29" s="107"/>
      <c r="FK29" s="107"/>
      <c r="FL29" s="107"/>
      <c r="FM29" s="107"/>
      <c r="FN29" s="107"/>
      <c r="FO29" s="107"/>
      <c r="FP29" s="107"/>
      <c r="FQ29" s="107"/>
      <c r="FR29" s="107"/>
      <c r="FS29" s="107"/>
      <c r="FT29" s="107"/>
      <c r="FU29" s="107"/>
    </row>
    <row r="30" spans="1:177" s="108" customFormat="1" ht="16.5">
      <c r="A30" s="100"/>
      <c r="B30" s="136" t="str">
        <f>+Configuración!B66</f>
        <v>N-Revolut</v>
      </c>
      <c r="C30" s="137">
        <f>+Movimientos!D53</f>
        <v>0</v>
      </c>
      <c r="D30" s="132">
        <f>+C30/$C$2</f>
        <v>0</v>
      </c>
      <c r="E30" s="138" t="s">
        <v>785</v>
      </c>
      <c r="F30" s="132" t="s">
        <v>785</v>
      </c>
      <c r="G30" s="138">
        <f>+C30</f>
        <v>0</v>
      </c>
      <c r="H30" s="139">
        <f>+G30/$G$2</f>
        <v>0</v>
      </c>
      <c r="I30" s="106"/>
      <c r="J30" s="24"/>
      <c r="K30" s="24"/>
      <c r="L30" s="24"/>
      <c r="M30" s="24"/>
      <c r="N30" s="24"/>
      <c r="O30" s="24"/>
      <c r="P30" s="107"/>
      <c r="Q30" s="107"/>
      <c r="R30" s="107"/>
      <c r="S30" s="107"/>
      <c r="T30" s="107"/>
      <c r="U30" s="107"/>
      <c r="V30" s="107"/>
      <c r="W30" s="107"/>
      <c r="X30" s="107"/>
      <c r="Y30" s="107"/>
      <c r="Z30" s="107"/>
      <c r="AA30" s="107"/>
      <c r="AB30" s="107"/>
      <c r="AC30" s="107"/>
      <c r="AD30" s="107"/>
      <c r="AE30" s="107"/>
      <c r="AF30" s="107"/>
      <c r="AG30" s="107"/>
      <c r="AH30" s="107"/>
      <c r="AI30" s="107"/>
      <c r="AJ30" s="107"/>
      <c r="AK30" s="107"/>
      <c r="AL30" s="107"/>
      <c r="AM30" s="107"/>
      <c r="AN30" s="107"/>
      <c r="AO30" s="107"/>
      <c r="AP30" s="107"/>
      <c r="AQ30" s="107"/>
      <c r="AR30" s="107"/>
      <c r="AS30" s="107"/>
      <c r="AT30" s="107"/>
      <c r="AU30" s="107"/>
      <c r="AV30" s="107"/>
      <c r="AW30" s="107"/>
      <c r="AX30" s="107"/>
      <c r="AY30" s="107"/>
      <c r="AZ30" s="107"/>
      <c r="BA30" s="107"/>
      <c r="BB30" s="107"/>
      <c r="BC30" s="107"/>
      <c r="BD30" s="107"/>
      <c r="BE30" s="107"/>
      <c r="BF30" s="107"/>
      <c r="BG30" s="107"/>
      <c r="BH30" s="107"/>
      <c r="BI30" s="107"/>
      <c r="BJ30" s="107"/>
      <c r="BK30" s="107"/>
      <c r="BL30" s="107"/>
      <c r="BM30" s="107"/>
      <c r="BN30" s="107"/>
      <c r="BO30" s="107"/>
      <c r="BP30" s="107"/>
      <c r="BQ30" s="107"/>
      <c r="BR30" s="107"/>
      <c r="BS30" s="107"/>
      <c r="BT30" s="107"/>
      <c r="BU30" s="107"/>
      <c r="BV30" s="107"/>
      <c r="BW30" s="107"/>
      <c r="BX30" s="107"/>
      <c r="BY30" s="107"/>
      <c r="BZ30" s="107"/>
      <c r="CA30" s="107"/>
      <c r="CB30" s="107"/>
      <c r="CC30" s="107"/>
      <c r="CD30" s="107"/>
      <c r="CE30" s="107"/>
      <c r="CF30" s="107"/>
      <c r="CG30" s="107"/>
      <c r="CH30" s="107"/>
      <c r="CI30" s="107"/>
      <c r="CJ30" s="107"/>
      <c r="CK30" s="107"/>
      <c r="CL30" s="107"/>
      <c r="CM30" s="107"/>
      <c r="CN30" s="107"/>
      <c r="CO30" s="107"/>
      <c r="CP30" s="107"/>
      <c r="CQ30" s="107"/>
      <c r="CR30" s="107"/>
      <c r="CS30" s="107"/>
      <c r="CT30" s="107"/>
      <c r="CU30" s="107"/>
      <c r="CV30" s="107"/>
      <c r="CW30" s="107"/>
      <c r="CX30" s="107"/>
      <c r="CY30" s="107"/>
      <c r="CZ30" s="107"/>
      <c r="DA30" s="107"/>
      <c r="DB30" s="107"/>
      <c r="DC30" s="107"/>
      <c r="DD30" s="107"/>
      <c r="DE30" s="107"/>
      <c r="DF30" s="107"/>
      <c r="DG30" s="107"/>
      <c r="DH30" s="107"/>
      <c r="DI30" s="107"/>
      <c r="DJ30" s="107"/>
      <c r="DK30" s="107"/>
      <c r="DL30" s="107"/>
      <c r="DM30" s="107"/>
      <c r="DN30" s="107"/>
      <c r="DO30" s="107"/>
      <c r="DP30" s="107"/>
      <c r="DQ30" s="107"/>
      <c r="DR30" s="107"/>
      <c r="DS30" s="107"/>
      <c r="DT30" s="107"/>
      <c r="DU30" s="107"/>
      <c r="DV30" s="107"/>
      <c r="DW30" s="107"/>
      <c r="DX30" s="107"/>
      <c r="DY30" s="107"/>
      <c r="DZ30" s="107"/>
      <c r="EA30" s="107"/>
      <c r="EB30" s="107"/>
      <c r="EC30" s="107"/>
      <c r="ED30" s="107"/>
      <c r="EE30" s="107"/>
      <c r="EF30" s="107"/>
      <c r="EG30" s="107"/>
      <c r="EH30" s="107"/>
      <c r="EI30" s="107"/>
      <c r="EJ30" s="107"/>
      <c r="EK30" s="107"/>
      <c r="EL30" s="107"/>
      <c r="EM30" s="107"/>
      <c r="EN30" s="107"/>
      <c r="EO30" s="107"/>
      <c r="EP30" s="107"/>
      <c r="EQ30" s="107"/>
      <c r="ER30" s="107"/>
      <c r="ES30" s="107"/>
      <c r="ET30" s="107"/>
      <c r="EU30" s="107"/>
      <c r="EV30" s="107"/>
      <c r="EW30" s="107"/>
      <c r="EX30" s="107"/>
      <c r="EY30" s="107"/>
      <c r="EZ30" s="107"/>
      <c r="FA30" s="107"/>
      <c r="FB30" s="107"/>
      <c r="FC30" s="107"/>
      <c r="FD30" s="107"/>
      <c r="FE30" s="107"/>
      <c r="FF30" s="107"/>
      <c r="FG30" s="107"/>
      <c r="FH30" s="107"/>
      <c r="FI30" s="107"/>
      <c r="FJ30" s="107"/>
      <c r="FK30" s="107"/>
      <c r="FL30" s="107"/>
      <c r="FM30" s="107"/>
      <c r="FN30" s="107"/>
      <c r="FO30" s="107"/>
      <c r="FP30" s="107"/>
      <c r="FQ30" s="107"/>
      <c r="FR30" s="107"/>
      <c r="FS30" s="107"/>
      <c r="FT30" s="107"/>
      <c r="FU30" s="107"/>
    </row>
    <row r="31" spans="1:177" s="108" customFormat="1" ht="16.5">
      <c r="A31" s="100"/>
      <c r="B31" s="136" t="str">
        <f>+Configuración!B68</f>
        <v>N-Sabadell</v>
      </c>
      <c r="C31" s="137">
        <f>+Movimientos!D55</f>
        <v>16993.94999999999</v>
      </c>
      <c r="D31" s="132">
        <f>+C31/$C$2</f>
        <v>2.1919664466812341E-2</v>
      </c>
      <c r="E31" s="138" t="s">
        <v>785</v>
      </c>
      <c r="F31" s="132" t="s">
        <v>785</v>
      </c>
      <c r="G31" s="138">
        <f>+C31</f>
        <v>16993.94999999999</v>
      </c>
      <c r="H31" s="139">
        <f>+G31/$G$2</f>
        <v>5.0441969749101256E-2</v>
      </c>
      <c r="I31" s="106"/>
      <c r="J31" s="24"/>
      <c r="K31" s="24"/>
      <c r="L31" s="24"/>
      <c r="M31" s="24"/>
      <c r="N31" s="24"/>
      <c r="O31" s="24"/>
      <c r="P31" s="107"/>
      <c r="Q31" s="107"/>
      <c r="R31" s="107"/>
      <c r="S31" s="107"/>
      <c r="T31" s="107"/>
      <c r="U31" s="107"/>
      <c r="V31" s="107"/>
      <c r="W31" s="107"/>
      <c r="X31" s="107"/>
      <c r="Y31" s="107"/>
      <c r="Z31" s="107"/>
      <c r="AA31" s="107"/>
      <c r="AB31" s="107"/>
      <c r="AC31" s="107"/>
      <c r="AD31" s="107"/>
      <c r="AE31" s="107"/>
      <c r="AF31" s="107"/>
      <c r="AG31" s="107"/>
      <c r="AH31" s="107"/>
      <c r="AI31" s="107"/>
      <c r="AJ31" s="107"/>
      <c r="AK31" s="107"/>
      <c r="AL31" s="107"/>
      <c r="AM31" s="107"/>
      <c r="AN31" s="107"/>
      <c r="AO31" s="107"/>
      <c r="AP31" s="107"/>
      <c r="AQ31" s="107"/>
      <c r="AR31" s="107"/>
      <c r="AS31" s="107"/>
      <c r="AT31" s="107"/>
      <c r="AU31" s="107"/>
      <c r="AV31" s="107"/>
      <c r="AW31" s="107"/>
      <c r="AX31" s="107"/>
      <c r="AY31" s="107"/>
      <c r="AZ31" s="107"/>
      <c r="BA31" s="107"/>
      <c r="BB31" s="107"/>
      <c r="BC31" s="107"/>
      <c r="BD31" s="107"/>
      <c r="BE31" s="107"/>
      <c r="BF31" s="107"/>
      <c r="BG31" s="107"/>
      <c r="BH31" s="107"/>
      <c r="BI31" s="107"/>
      <c r="BJ31" s="107"/>
      <c r="BK31" s="107"/>
      <c r="BL31" s="107"/>
      <c r="BM31" s="107"/>
      <c r="BN31" s="107"/>
      <c r="BO31" s="107"/>
      <c r="BP31" s="107"/>
      <c r="BQ31" s="107"/>
      <c r="BR31" s="107"/>
      <c r="BS31" s="107"/>
      <c r="BT31" s="107"/>
      <c r="BU31" s="107"/>
      <c r="BV31" s="107"/>
      <c r="BW31" s="107"/>
      <c r="BX31" s="107"/>
      <c r="BY31" s="107"/>
      <c r="BZ31" s="107"/>
      <c r="CA31" s="107"/>
      <c r="CB31" s="107"/>
      <c r="CC31" s="107"/>
      <c r="CD31" s="107"/>
      <c r="CE31" s="107"/>
      <c r="CF31" s="107"/>
      <c r="CG31" s="107"/>
      <c r="CH31" s="107"/>
      <c r="CI31" s="107"/>
      <c r="CJ31" s="107"/>
      <c r="CK31" s="107"/>
      <c r="CL31" s="107"/>
      <c r="CM31" s="107"/>
      <c r="CN31" s="107"/>
      <c r="CO31" s="107"/>
      <c r="CP31" s="107"/>
      <c r="CQ31" s="107"/>
      <c r="CR31" s="107"/>
      <c r="CS31" s="107"/>
      <c r="CT31" s="107"/>
      <c r="CU31" s="107"/>
      <c r="CV31" s="107"/>
      <c r="CW31" s="107"/>
      <c r="CX31" s="107"/>
      <c r="CY31" s="107"/>
      <c r="CZ31" s="107"/>
      <c r="DA31" s="107"/>
      <c r="DB31" s="107"/>
      <c r="DC31" s="107"/>
      <c r="DD31" s="107"/>
      <c r="DE31" s="107"/>
      <c r="DF31" s="107"/>
      <c r="DG31" s="107"/>
      <c r="DH31" s="107"/>
      <c r="DI31" s="107"/>
      <c r="DJ31" s="107"/>
      <c r="DK31" s="107"/>
      <c r="DL31" s="107"/>
      <c r="DM31" s="107"/>
      <c r="DN31" s="107"/>
      <c r="DO31" s="107"/>
      <c r="DP31" s="107"/>
      <c r="DQ31" s="107"/>
      <c r="DR31" s="107"/>
      <c r="DS31" s="107"/>
      <c r="DT31" s="107"/>
      <c r="DU31" s="107"/>
      <c r="DV31" s="107"/>
      <c r="DW31" s="107"/>
      <c r="DX31" s="107"/>
      <c r="DY31" s="107"/>
      <c r="DZ31" s="107"/>
      <c r="EA31" s="107"/>
      <c r="EB31" s="107"/>
      <c r="EC31" s="107"/>
      <c r="ED31" s="107"/>
      <c r="EE31" s="107"/>
      <c r="EF31" s="107"/>
      <c r="EG31" s="107"/>
      <c r="EH31" s="107"/>
      <c r="EI31" s="107"/>
      <c r="EJ31" s="107"/>
      <c r="EK31" s="107"/>
      <c r="EL31" s="107"/>
      <c r="EM31" s="107"/>
      <c r="EN31" s="107"/>
      <c r="EO31" s="107"/>
      <c r="EP31" s="107"/>
      <c r="EQ31" s="107"/>
      <c r="ER31" s="107"/>
      <c r="ES31" s="107"/>
      <c r="ET31" s="107"/>
      <c r="EU31" s="107"/>
      <c r="EV31" s="107"/>
      <c r="EW31" s="107"/>
      <c r="EX31" s="107"/>
      <c r="EY31" s="107"/>
      <c r="EZ31" s="107"/>
      <c r="FA31" s="107"/>
      <c r="FB31" s="107"/>
      <c r="FC31" s="107"/>
      <c r="FD31" s="107"/>
      <c r="FE31" s="107"/>
      <c r="FF31" s="107"/>
      <c r="FG31" s="107"/>
      <c r="FH31" s="107"/>
      <c r="FI31" s="107"/>
      <c r="FJ31" s="107"/>
      <c r="FK31" s="107"/>
      <c r="FL31" s="107"/>
      <c r="FM31" s="107"/>
      <c r="FN31" s="107"/>
      <c r="FO31" s="107"/>
      <c r="FP31" s="107"/>
      <c r="FQ31" s="107"/>
      <c r="FR31" s="107"/>
      <c r="FS31" s="107"/>
      <c r="FT31" s="107"/>
      <c r="FU31" s="107"/>
    </row>
    <row r="32" spans="1:177" s="108" customFormat="1" ht="16.5">
      <c r="A32" s="100"/>
      <c r="B32" s="136" t="str">
        <f>+Configuración!B69</f>
        <v>N-Santander</v>
      </c>
      <c r="C32" s="137">
        <f>+Movimientos!D56</f>
        <v>1408.0099999999984</v>
      </c>
      <c r="D32" s="132">
        <f>+C32/$C$2</f>
        <v>1.8161231947791082E-3</v>
      </c>
      <c r="E32" s="138" t="s">
        <v>785</v>
      </c>
      <c r="F32" s="132" t="s">
        <v>785</v>
      </c>
      <c r="G32" s="138">
        <f>+C32</f>
        <v>1408.0099999999984</v>
      </c>
      <c r="H32" s="139">
        <f>+G32/$G$2</f>
        <v>4.1792989756020242E-3</v>
      </c>
      <c r="I32" s="106"/>
      <c r="J32" s="24"/>
      <c r="K32" s="24"/>
      <c r="L32" s="24"/>
      <c r="M32" s="24"/>
      <c r="N32" s="24"/>
      <c r="O32" s="24"/>
      <c r="P32" s="107"/>
      <c r="Q32" s="107"/>
      <c r="R32" s="107"/>
      <c r="S32" s="107"/>
      <c r="T32" s="107"/>
      <c r="U32" s="107"/>
      <c r="V32" s="107"/>
      <c r="W32" s="107"/>
      <c r="X32" s="107"/>
      <c r="Y32" s="107"/>
      <c r="Z32" s="107"/>
      <c r="AA32" s="107"/>
      <c r="AB32" s="107"/>
      <c r="AC32" s="107"/>
      <c r="AD32" s="107"/>
      <c r="AE32" s="107"/>
      <c r="AF32" s="107"/>
      <c r="AG32" s="107"/>
      <c r="AH32" s="107"/>
      <c r="AI32" s="107"/>
      <c r="AJ32" s="107"/>
      <c r="AK32" s="107"/>
      <c r="AL32" s="107"/>
      <c r="AM32" s="107"/>
      <c r="AN32" s="107"/>
      <c r="AO32" s="107"/>
      <c r="AP32" s="107"/>
      <c r="AQ32" s="107"/>
      <c r="AR32" s="107"/>
      <c r="AS32" s="107"/>
      <c r="AT32" s="107"/>
      <c r="AU32" s="107"/>
      <c r="AV32" s="107"/>
      <c r="AW32" s="107"/>
      <c r="AX32" s="107"/>
      <c r="AY32" s="107"/>
      <c r="AZ32" s="107"/>
      <c r="BA32" s="107"/>
      <c r="BB32" s="107"/>
      <c r="BC32" s="107"/>
      <c r="BD32" s="107"/>
      <c r="BE32" s="107"/>
      <c r="BF32" s="107"/>
      <c r="BG32" s="107"/>
      <c r="BH32" s="107"/>
      <c r="BI32" s="107"/>
      <c r="BJ32" s="107"/>
      <c r="BK32" s="107"/>
      <c r="BL32" s="107"/>
      <c r="BM32" s="107"/>
      <c r="BN32" s="107"/>
      <c r="BO32" s="107"/>
      <c r="BP32" s="107"/>
      <c r="BQ32" s="107"/>
      <c r="BR32" s="107"/>
      <c r="BS32" s="107"/>
      <c r="BT32" s="107"/>
      <c r="BU32" s="107"/>
      <c r="BV32" s="107"/>
      <c r="BW32" s="107"/>
      <c r="BX32" s="107"/>
      <c r="BY32" s="107"/>
      <c r="BZ32" s="107"/>
      <c r="CA32" s="107"/>
      <c r="CB32" s="107"/>
      <c r="CC32" s="107"/>
      <c r="CD32" s="107"/>
      <c r="CE32" s="107"/>
      <c r="CF32" s="107"/>
      <c r="CG32" s="107"/>
      <c r="CH32" s="107"/>
      <c r="CI32" s="107"/>
      <c r="CJ32" s="107"/>
      <c r="CK32" s="107"/>
      <c r="CL32" s="107"/>
      <c r="CM32" s="107"/>
      <c r="CN32" s="107"/>
      <c r="CO32" s="107"/>
      <c r="CP32" s="107"/>
      <c r="CQ32" s="107"/>
      <c r="CR32" s="107"/>
      <c r="CS32" s="107"/>
      <c r="CT32" s="107"/>
      <c r="CU32" s="107"/>
      <c r="CV32" s="107"/>
      <c r="CW32" s="107"/>
      <c r="CX32" s="107"/>
      <c r="CY32" s="107"/>
      <c r="CZ32" s="107"/>
      <c r="DA32" s="107"/>
      <c r="DB32" s="107"/>
      <c r="DC32" s="107"/>
      <c r="DD32" s="107"/>
      <c r="DE32" s="107"/>
      <c r="DF32" s="107"/>
      <c r="DG32" s="107"/>
      <c r="DH32" s="107"/>
      <c r="DI32" s="107"/>
      <c r="DJ32" s="107"/>
      <c r="DK32" s="107"/>
      <c r="DL32" s="107"/>
      <c r="DM32" s="107"/>
      <c r="DN32" s="107"/>
      <c r="DO32" s="107"/>
      <c r="DP32" s="107"/>
      <c r="DQ32" s="107"/>
      <c r="DR32" s="107"/>
      <c r="DS32" s="107"/>
      <c r="DT32" s="107"/>
      <c r="DU32" s="107"/>
      <c r="DV32" s="107"/>
      <c r="DW32" s="107"/>
      <c r="DX32" s="107"/>
      <c r="DY32" s="107"/>
      <c r="DZ32" s="107"/>
      <c r="EA32" s="107"/>
      <c r="EB32" s="107"/>
      <c r="EC32" s="107"/>
      <c r="ED32" s="107"/>
      <c r="EE32" s="107"/>
      <c r="EF32" s="107"/>
      <c r="EG32" s="107"/>
      <c r="EH32" s="107"/>
      <c r="EI32" s="107"/>
      <c r="EJ32" s="107"/>
      <c r="EK32" s="107"/>
      <c r="EL32" s="107"/>
      <c r="EM32" s="107"/>
      <c r="EN32" s="107"/>
      <c r="EO32" s="107"/>
      <c r="EP32" s="107"/>
      <c r="EQ32" s="107"/>
      <c r="ER32" s="107"/>
      <c r="ES32" s="107"/>
      <c r="ET32" s="107"/>
      <c r="EU32" s="107"/>
      <c r="EV32" s="107"/>
      <c r="EW32" s="107"/>
      <c r="EX32" s="107"/>
      <c r="EY32" s="107"/>
      <c r="EZ32" s="107"/>
      <c r="FA32" s="107"/>
      <c r="FB32" s="107"/>
      <c r="FC32" s="107"/>
      <c r="FD32" s="107"/>
      <c r="FE32" s="107"/>
      <c r="FF32" s="107"/>
      <c r="FG32" s="107"/>
      <c r="FH32" s="107"/>
      <c r="FI32" s="107"/>
      <c r="FJ32" s="107"/>
      <c r="FK32" s="107"/>
      <c r="FL32" s="107"/>
      <c r="FM32" s="107"/>
      <c r="FN32" s="107"/>
      <c r="FO32" s="107"/>
      <c r="FP32" s="107"/>
      <c r="FQ32" s="107"/>
      <c r="FR32" s="107"/>
      <c r="FS32" s="107"/>
      <c r="FT32" s="107"/>
      <c r="FU32" s="107"/>
    </row>
    <row r="33" spans="1:177" s="108" customFormat="1" ht="16.5">
      <c r="A33" s="100"/>
      <c r="B33" s="136" t="str">
        <f>+Configuración!B71</f>
        <v>N-TradeRepublic</v>
      </c>
      <c r="C33" s="140">
        <f>+Movimientos!D58</f>
        <v>42614.339999999982</v>
      </c>
      <c r="D33" s="132">
        <f>+C33/$C$2</f>
        <v>5.4966151734862113E-2</v>
      </c>
      <c r="E33" s="141" t="s">
        <v>785</v>
      </c>
      <c r="F33" s="142" t="s">
        <v>785</v>
      </c>
      <c r="G33" s="141">
        <f>+C33</f>
        <v>42614.339999999982</v>
      </c>
      <c r="H33" s="139">
        <f>+G33/$G$2</f>
        <v>0.12648920640333272</v>
      </c>
      <c r="I33" s="106"/>
      <c r="J33" s="24"/>
      <c r="K33" s="24"/>
      <c r="L33" s="24"/>
      <c r="M33" s="24"/>
      <c r="N33" s="24"/>
      <c r="O33" s="24"/>
      <c r="P33" s="107"/>
      <c r="Q33" s="107"/>
      <c r="R33" s="107"/>
      <c r="S33" s="107"/>
      <c r="T33" s="107"/>
      <c r="U33" s="107"/>
      <c r="V33" s="107"/>
      <c r="W33" s="107"/>
      <c r="X33" s="107"/>
      <c r="Y33" s="107"/>
      <c r="Z33" s="107"/>
      <c r="AA33" s="107"/>
      <c r="AB33" s="107"/>
      <c r="AC33" s="107"/>
      <c r="AD33" s="107"/>
      <c r="AE33" s="107"/>
      <c r="AF33" s="107"/>
      <c r="AG33" s="107"/>
      <c r="AH33" s="107"/>
      <c r="AI33" s="107"/>
      <c r="AJ33" s="107"/>
      <c r="AK33" s="107"/>
      <c r="AL33" s="107"/>
      <c r="AM33" s="107"/>
      <c r="AN33" s="107"/>
      <c r="AO33" s="107"/>
      <c r="AP33" s="107"/>
      <c r="AQ33" s="107"/>
      <c r="AR33" s="107"/>
      <c r="AS33" s="107"/>
      <c r="AT33" s="107"/>
      <c r="AU33" s="107"/>
      <c r="AV33" s="107"/>
      <c r="AW33" s="107"/>
      <c r="AX33" s="107"/>
      <c r="AY33" s="107"/>
      <c r="AZ33" s="107"/>
      <c r="BA33" s="107"/>
      <c r="BB33" s="107"/>
      <c r="BC33" s="107"/>
      <c r="BD33" s="107"/>
      <c r="BE33" s="107"/>
      <c r="BF33" s="107"/>
      <c r="BG33" s="107"/>
      <c r="BH33" s="107"/>
      <c r="BI33" s="107"/>
      <c r="BJ33" s="107"/>
      <c r="BK33" s="107"/>
      <c r="BL33" s="107"/>
      <c r="BM33" s="107"/>
      <c r="BN33" s="107"/>
      <c r="BO33" s="107"/>
      <c r="BP33" s="107"/>
      <c r="BQ33" s="107"/>
      <c r="BR33" s="107"/>
      <c r="BS33" s="107"/>
      <c r="BT33" s="107"/>
      <c r="BU33" s="107"/>
      <c r="BV33" s="107"/>
      <c r="BW33" s="107"/>
      <c r="BX33" s="107"/>
      <c r="BY33" s="107"/>
      <c r="BZ33" s="107"/>
      <c r="CA33" s="107"/>
      <c r="CB33" s="107"/>
      <c r="CC33" s="107"/>
      <c r="CD33" s="107"/>
      <c r="CE33" s="107"/>
      <c r="CF33" s="107"/>
      <c r="CG33" s="107"/>
      <c r="CH33" s="107"/>
      <c r="CI33" s="107"/>
      <c r="CJ33" s="107"/>
      <c r="CK33" s="107"/>
      <c r="CL33" s="107"/>
      <c r="CM33" s="107"/>
      <c r="CN33" s="107"/>
      <c r="CO33" s="107"/>
      <c r="CP33" s="107"/>
      <c r="CQ33" s="107"/>
      <c r="CR33" s="107"/>
      <c r="CS33" s="107"/>
      <c r="CT33" s="107"/>
      <c r="CU33" s="107"/>
      <c r="CV33" s="107"/>
      <c r="CW33" s="107"/>
      <c r="CX33" s="107"/>
      <c r="CY33" s="107"/>
      <c r="CZ33" s="107"/>
      <c r="DA33" s="107"/>
      <c r="DB33" s="107"/>
      <c r="DC33" s="107"/>
      <c r="DD33" s="107"/>
      <c r="DE33" s="107"/>
      <c r="DF33" s="107"/>
      <c r="DG33" s="107"/>
      <c r="DH33" s="107"/>
      <c r="DI33" s="107"/>
      <c r="DJ33" s="107"/>
      <c r="DK33" s="107"/>
      <c r="DL33" s="107"/>
      <c r="DM33" s="107"/>
      <c r="DN33" s="107"/>
      <c r="DO33" s="107"/>
      <c r="DP33" s="107"/>
      <c r="DQ33" s="107"/>
      <c r="DR33" s="107"/>
      <c r="DS33" s="107"/>
      <c r="DT33" s="107"/>
      <c r="DU33" s="107"/>
      <c r="DV33" s="107"/>
      <c r="DW33" s="107"/>
      <c r="DX33" s="107"/>
      <c r="DY33" s="107"/>
      <c r="DZ33" s="107"/>
      <c r="EA33" s="107"/>
      <c r="EB33" s="107"/>
      <c r="EC33" s="107"/>
      <c r="ED33" s="107"/>
      <c r="EE33" s="107"/>
      <c r="EF33" s="107"/>
      <c r="EG33" s="107"/>
      <c r="EH33" s="107"/>
      <c r="EI33" s="107"/>
      <c r="EJ33" s="107"/>
      <c r="EK33" s="107"/>
      <c r="EL33" s="107"/>
      <c r="EM33" s="107"/>
      <c r="EN33" s="107"/>
      <c r="EO33" s="107"/>
      <c r="EP33" s="107"/>
      <c r="EQ33" s="107"/>
      <c r="ER33" s="107"/>
      <c r="ES33" s="107"/>
      <c r="ET33" s="107"/>
      <c r="EU33" s="107"/>
      <c r="EV33" s="107"/>
      <c r="EW33" s="107"/>
      <c r="EX33" s="107"/>
      <c r="EY33" s="107"/>
      <c r="EZ33" s="107"/>
      <c r="FA33" s="107"/>
      <c r="FB33" s="107"/>
      <c r="FC33" s="107"/>
      <c r="FD33" s="107"/>
      <c r="FE33" s="107"/>
      <c r="FF33" s="107"/>
      <c r="FG33" s="107"/>
      <c r="FH33" s="107"/>
      <c r="FI33" s="107"/>
      <c r="FJ33" s="107"/>
      <c r="FK33" s="107"/>
      <c r="FL33" s="107"/>
      <c r="FM33" s="107"/>
      <c r="FN33" s="107"/>
      <c r="FO33" s="107"/>
      <c r="FP33" s="107"/>
      <c r="FQ33" s="107"/>
      <c r="FR33" s="107"/>
      <c r="FS33" s="107"/>
      <c r="FT33" s="107"/>
      <c r="FU33" s="107"/>
    </row>
    <row r="34" spans="1:177" s="108" customFormat="1" ht="16.5">
      <c r="A34" s="100"/>
      <c r="B34" s="143" t="s">
        <v>788</v>
      </c>
      <c r="C34" s="144">
        <f>SUM(C16:C33)</f>
        <v>98511.099999999991</v>
      </c>
      <c r="D34" s="145">
        <f>SUM(D16:D33)</f>
        <v>0.12706464702182826</v>
      </c>
      <c r="E34" s="146">
        <f>SUM(E16:E33)</f>
        <v>5288.7700000000159</v>
      </c>
      <c r="F34" s="145">
        <f>SUM(F16:F33)</f>
        <v>1.2064286991872498E-2</v>
      </c>
      <c r="G34" s="146">
        <f>SUM(G16:G33)</f>
        <v>93222.329999999973</v>
      </c>
      <c r="H34" s="147">
        <f>SUM(H16:H33)</f>
        <v>0.27670541279695049</v>
      </c>
      <c r="I34" s="106"/>
      <c r="J34" s="24"/>
      <c r="K34" s="24"/>
      <c r="L34" s="24"/>
      <c r="M34" s="24"/>
      <c r="N34" s="24"/>
      <c r="O34" s="24"/>
      <c r="P34" s="107"/>
      <c r="Q34" s="107"/>
      <c r="R34" s="107"/>
      <c r="S34" s="107"/>
      <c r="T34" s="107"/>
      <c r="U34" s="107"/>
      <c r="V34" s="107"/>
      <c r="W34" s="107"/>
      <c r="X34" s="107"/>
      <c r="Y34" s="107"/>
      <c r="Z34" s="107"/>
      <c r="AA34" s="107"/>
      <c r="AB34" s="107"/>
      <c r="AC34" s="107"/>
      <c r="AD34" s="107"/>
      <c r="AE34" s="107"/>
      <c r="AF34" s="107"/>
      <c r="AG34" s="107"/>
      <c r="AH34" s="107"/>
      <c r="AI34" s="107"/>
      <c r="AJ34" s="107"/>
      <c r="AK34" s="107"/>
      <c r="AL34" s="107"/>
      <c r="AM34" s="107"/>
      <c r="AN34" s="107"/>
      <c r="AO34" s="107"/>
      <c r="AP34" s="107"/>
      <c r="AQ34" s="107"/>
      <c r="AR34" s="107"/>
      <c r="AS34" s="107"/>
      <c r="AT34" s="107"/>
      <c r="AU34" s="107"/>
      <c r="AV34" s="107"/>
      <c r="AW34" s="107"/>
      <c r="AX34" s="107"/>
      <c r="AY34" s="107"/>
      <c r="AZ34" s="107"/>
      <c r="BA34" s="107"/>
      <c r="BB34" s="107"/>
      <c r="BC34" s="107"/>
      <c r="BD34" s="107"/>
      <c r="BE34" s="107"/>
      <c r="BF34" s="107"/>
      <c r="BG34" s="107"/>
      <c r="BH34" s="107"/>
      <c r="BI34" s="107"/>
      <c r="BJ34" s="107"/>
      <c r="BK34" s="107"/>
      <c r="BL34" s="107"/>
      <c r="BM34" s="107"/>
      <c r="BN34" s="107"/>
      <c r="BO34" s="107"/>
      <c r="BP34" s="107"/>
      <c r="BQ34" s="107"/>
      <c r="BR34" s="107"/>
      <c r="BS34" s="107"/>
      <c r="BT34" s="107"/>
      <c r="BU34" s="107"/>
      <c r="BV34" s="107"/>
      <c r="BW34" s="107"/>
      <c r="BX34" s="107"/>
      <c r="BY34" s="107"/>
      <c r="BZ34" s="107"/>
      <c r="CA34" s="107"/>
      <c r="CB34" s="107"/>
      <c r="CC34" s="107"/>
      <c r="CD34" s="107"/>
      <c r="CE34" s="107"/>
      <c r="CF34" s="107"/>
      <c r="CG34" s="107"/>
      <c r="CH34" s="107"/>
      <c r="CI34" s="107"/>
      <c r="CJ34" s="107"/>
      <c r="CK34" s="107"/>
      <c r="CL34" s="107"/>
      <c r="CM34" s="107"/>
      <c r="CN34" s="107"/>
      <c r="CO34" s="107"/>
      <c r="CP34" s="107"/>
      <c r="CQ34" s="107"/>
      <c r="CR34" s="107"/>
      <c r="CS34" s="107"/>
      <c r="CT34" s="107"/>
      <c r="CU34" s="107"/>
      <c r="CV34" s="107"/>
      <c r="CW34" s="107"/>
      <c r="CX34" s="107"/>
      <c r="CY34" s="107"/>
      <c r="CZ34" s="107"/>
      <c r="DA34" s="107"/>
      <c r="DB34" s="107"/>
      <c r="DC34" s="107"/>
      <c r="DD34" s="107"/>
      <c r="DE34" s="107"/>
      <c r="DF34" s="107"/>
      <c r="DG34" s="107"/>
      <c r="DH34" s="107"/>
      <c r="DI34" s="107"/>
      <c r="DJ34" s="107"/>
      <c r="DK34" s="107"/>
      <c r="DL34" s="107"/>
      <c r="DM34" s="107"/>
      <c r="DN34" s="107"/>
      <c r="DO34" s="107"/>
      <c r="DP34" s="107"/>
      <c r="DQ34" s="107"/>
      <c r="DR34" s="107"/>
      <c r="DS34" s="107"/>
      <c r="DT34" s="107"/>
      <c r="DU34" s="107"/>
      <c r="DV34" s="107"/>
      <c r="DW34" s="107"/>
      <c r="DX34" s="107"/>
      <c r="DY34" s="107"/>
      <c r="DZ34" s="107"/>
      <c r="EA34" s="107"/>
      <c r="EB34" s="107"/>
      <c r="EC34" s="107"/>
      <c r="ED34" s="107"/>
      <c r="EE34" s="107"/>
      <c r="EF34" s="107"/>
      <c r="EG34" s="107"/>
      <c r="EH34" s="107"/>
      <c r="EI34" s="107"/>
      <c r="EJ34" s="107"/>
      <c r="EK34" s="107"/>
      <c r="EL34" s="107"/>
      <c r="EM34" s="107"/>
      <c r="EN34" s="107"/>
      <c r="EO34" s="107"/>
      <c r="EP34" s="107"/>
      <c r="EQ34" s="107"/>
      <c r="ER34" s="107"/>
      <c r="ES34" s="107"/>
      <c r="ET34" s="107"/>
      <c r="EU34" s="107"/>
      <c r="EV34" s="107"/>
      <c r="EW34" s="107"/>
      <c r="EX34" s="107"/>
      <c r="EY34" s="107"/>
      <c r="EZ34" s="107"/>
      <c r="FA34" s="107"/>
      <c r="FB34" s="107"/>
      <c r="FC34" s="107"/>
      <c r="FD34" s="107"/>
      <c r="FE34" s="107"/>
      <c r="FF34" s="107"/>
      <c r="FG34" s="107"/>
      <c r="FH34" s="107"/>
      <c r="FI34" s="107"/>
      <c r="FJ34" s="107"/>
      <c r="FK34" s="107"/>
      <c r="FL34" s="107"/>
      <c r="FM34" s="107"/>
      <c r="FN34" s="107"/>
      <c r="FO34" s="107"/>
      <c r="FP34" s="107"/>
      <c r="FQ34" s="107"/>
      <c r="FR34" s="107"/>
      <c r="FS34" s="107"/>
      <c r="FT34" s="107"/>
      <c r="FU34" s="107"/>
    </row>
    <row r="35" spans="1:177" s="108" customFormat="1" ht="16.5" hidden="1">
      <c r="A35" s="100"/>
      <c r="B35" s="148" t="str">
        <f>+Configuración!B16</f>
        <v>D-Binance</v>
      </c>
      <c r="C35" s="149">
        <f>+Movimientos!D3</f>
        <v>0</v>
      </c>
      <c r="D35" s="150">
        <f>+C35/$C$2</f>
        <v>0</v>
      </c>
      <c r="E35" s="151">
        <f>+C35</f>
        <v>0</v>
      </c>
      <c r="F35" s="150">
        <f>+E35/$E$2</f>
        <v>0</v>
      </c>
      <c r="G35" s="151" t="s">
        <v>785</v>
      </c>
      <c r="H35" s="152" t="s">
        <v>785</v>
      </c>
      <c r="I35" s="106"/>
      <c r="J35" s="24"/>
      <c r="K35" s="24"/>
      <c r="L35" s="24"/>
      <c r="M35" s="24"/>
      <c r="N35" s="24"/>
      <c r="O35" s="24"/>
      <c r="P35" s="107"/>
      <c r="Q35" s="107"/>
      <c r="R35" s="107"/>
      <c r="S35" s="107"/>
      <c r="T35" s="107"/>
      <c r="U35" s="107"/>
      <c r="V35" s="107"/>
      <c r="W35" s="107"/>
      <c r="X35" s="107"/>
      <c r="Y35" s="107"/>
      <c r="Z35" s="107"/>
      <c r="AA35" s="107"/>
      <c r="AB35" s="107"/>
      <c r="AC35" s="107"/>
      <c r="AD35" s="107"/>
      <c r="AE35" s="107"/>
      <c r="AF35" s="107"/>
      <c r="AG35" s="107"/>
      <c r="AH35" s="107"/>
      <c r="AI35" s="107"/>
      <c r="AJ35" s="107"/>
      <c r="AK35" s="107"/>
      <c r="AL35" s="107"/>
      <c r="AM35" s="107"/>
      <c r="AN35" s="107"/>
      <c r="AO35" s="107"/>
      <c r="AP35" s="107"/>
      <c r="AQ35" s="107"/>
      <c r="AR35" s="107"/>
      <c r="AS35" s="107"/>
      <c r="AT35" s="107"/>
      <c r="AU35" s="107"/>
      <c r="AV35" s="107"/>
      <c r="AW35" s="107"/>
      <c r="AX35" s="107"/>
      <c r="AY35" s="107"/>
      <c r="AZ35" s="107"/>
      <c r="BA35" s="107"/>
      <c r="BB35" s="107"/>
      <c r="BC35" s="107"/>
      <c r="BD35" s="107"/>
      <c r="BE35" s="107"/>
      <c r="BF35" s="107"/>
      <c r="BG35" s="107"/>
      <c r="BH35" s="107"/>
      <c r="BI35" s="107"/>
      <c r="BJ35" s="107"/>
      <c r="BK35" s="107"/>
      <c r="BL35" s="107"/>
      <c r="BM35" s="107"/>
      <c r="BN35" s="107"/>
      <c r="BO35" s="107"/>
      <c r="BP35" s="107"/>
      <c r="BQ35" s="107"/>
      <c r="BR35" s="107"/>
      <c r="BS35" s="107"/>
      <c r="BT35" s="107"/>
      <c r="BU35" s="107"/>
      <c r="BV35" s="107"/>
      <c r="BW35" s="107"/>
      <c r="BX35" s="107"/>
      <c r="BY35" s="107"/>
      <c r="BZ35" s="107"/>
      <c r="CA35" s="107"/>
      <c r="CB35" s="107"/>
      <c r="CC35" s="107"/>
      <c r="CD35" s="107"/>
      <c r="CE35" s="107"/>
      <c r="CF35" s="107"/>
      <c r="CG35" s="107"/>
      <c r="CH35" s="107"/>
      <c r="CI35" s="107"/>
      <c r="CJ35" s="107"/>
      <c r="CK35" s="107"/>
      <c r="CL35" s="107"/>
      <c r="CM35" s="107"/>
      <c r="CN35" s="107"/>
      <c r="CO35" s="107"/>
      <c r="CP35" s="107"/>
      <c r="CQ35" s="107"/>
      <c r="CR35" s="107"/>
      <c r="CS35" s="107"/>
      <c r="CT35" s="107"/>
      <c r="CU35" s="107"/>
      <c r="CV35" s="107"/>
      <c r="CW35" s="107"/>
      <c r="CX35" s="107"/>
      <c r="CY35" s="107"/>
      <c r="CZ35" s="107"/>
      <c r="DA35" s="107"/>
      <c r="DB35" s="107"/>
      <c r="DC35" s="107"/>
      <c r="DD35" s="107"/>
      <c r="DE35" s="107"/>
      <c r="DF35" s="107"/>
      <c r="DG35" s="107"/>
      <c r="DH35" s="107"/>
      <c r="DI35" s="107"/>
      <c r="DJ35" s="107"/>
      <c r="DK35" s="107"/>
      <c r="DL35" s="107"/>
      <c r="DM35" s="107"/>
      <c r="DN35" s="107"/>
      <c r="DO35" s="107"/>
      <c r="DP35" s="107"/>
      <c r="DQ35" s="107"/>
      <c r="DR35" s="107"/>
      <c r="DS35" s="107"/>
      <c r="DT35" s="107"/>
      <c r="DU35" s="107"/>
      <c r="DV35" s="107"/>
      <c r="DW35" s="107"/>
      <c r="DX35" s="107"/>
      <c r="DY35" s="107"/>
      <c r="DZ35" s="107"/>
      <c r="EA35" s="107"/>
      <c r="EB35" s="107"/>
      <c r="EC35" s="107"/>
      <c r="ED35" s="107"/>
      <c r="EE35" s="107"/>
      <c r="EF35" s="107"/>
      <c r="EG35" s="107"/>
      <c r="EH35" s="107"/>
      <c r="EI35" s="107"/>
      <c r="EJ35" s="107"/>
      <c r="EK35" s="107"/>
      <c r="EL35" s="107"/>
      <c r="EM35" s="107"/>
      <c r="EN35" s="107"/>
      <c r="EO35" s="107"/>
      <c r="EP35" s="107"/>
      <c r="EQ35" s="107"/>
      <c r="ER35" s="107"/>
      <c r="ES35" s="107"/>
      <c r="ET35" s="107"/>
      <c r="EU35" s="107"/>
      <c r="EV35" s="107"/>
      <c r="EW35" s="107"/>
      <c r="EX35" s="107"/>
      <c r="EY35" s="107"/>
      <c r="EZ35" s="107"/>
      <c r="FA35" s="107"/>
      <c r="FB35" s="107"/>
      <c r="FC35" s="107"/>
      <c r="FD35" s="107"/>
      <c r="FE35" s="107"/>
      <c r="FF35" s="107"/>
      <c r="FG35" s="107"/>
      <c r="FH35" s="107"/>
      <c r="FI35" s="107"/>
      <c r="FJ35" s="107"/>
      <c r="FK35" s="107"/>
      <c r="FL35" s="107"/>
      <c r="FM35" s="107"/>
      <c r="FN35" s="107"/>
      <c r="FO35" s="107"/>
      <c r="FP35" s="107"/>
      <c r="FQ35" s="107"/>
      <c r="FR35" s="107"/>
      <c r="FS35" s="107"/>
      <c r="FT35" s="107"/>
      <c r="FU35" s="107"/>
    </row>
    <row r="36" spans="1:177" s="108" customFormat="1" ht="16.5" hidden="1">
      <c r="A36" s="100"/>
      <c r="B36" s="148" t="str">
        <f>+Configuración!B17</f>
        <v>D-Bit2me</v>
      </c>
      <c r="C36" s="153">
        <f>+Movimientos!D4</f>
        <v>2.1582735598713043E-13</v>
      </c>
      <c r="D36" s="150">
        <f>+C36/$C$2</f>
        <v>2.7838514447772079E-19</v>
      </c>
      <c r="E36" s="154">
        <f>+C36</f>
        <v>2.1582735598713043E-13</v>
      </c>
      <c r="F36" s="150">
        <f>+E36/$E$2</f>
        <v>4.9232679116803418E-19</v>
      </c>
      <c r="G36" s="154" t="s">
        <v>785</v>
      </c>
      <c r="H36" s="155" t="s">
        <v>785</v>
      </c>
      <c r="I36" s="106"/>
      <c r="J36" s="24"/>
      <c r="K36" s="24"/>
      <c r="L36" s="24"/>
      <c r="M36" s="24"/>
      <c r="N36" s="24"/>
      <c r="O36" s="24"/>
      <c r="P36" s="107"/>
      <c r="Q36" s="107"/>
      <c r="R36" s="107"/>
      <c r="S36" s="107"/>
      <c r="T36" s="107"/>
      <c r="U36" s="107"/>
      <c r="V36" s="107"/>
      <c r="W36" s="107"/>
      <c r="X36" s="107"/>
      <c r="Y36" s="107"/>
      <c r="Z36" s="107"/>
      <c r="AA36" s="107"/>
      <c r="AB36" s="107"/>
      <c r="AC36" s="107"/>
      <c r="AD36" s="107"/>
      <c r="AE36" s="107"/>
      <c r="AF36" s="107"/>
      <c r="AG36" s="107"/>
      <c r="AH36" s="107"/>
      <c r="AI36" s="107"/>
      <c r="AJ36" s="107"/>
      <c r="AK36" s="107"/>
      <c r="AL36" s="107"/>
      <c r="AM36" s="107"/>
      <c r="AN36" s="107"/>
      <c r="AO36" s="107"/>
      <c r="AP36" s="107"/>
      <c r="AQ36" s="107"/>
      <c r="AR36" s="107"/>
      <c r="AS36" s="107"/>
      <c r="AT36" s="107"/>
      <c r="AU36" s="107"/>
      <c r="AV36" s="107"/>
      <c r="AW36" s="107"/>
      <c r="AX36" s="107"/>
      <c r="AY36" s="107"/>
      <c r="AZ36" s="107"/>
      <c r="BA36" s="107"/>
      <c r="BB36" s="107"/>
      <c r="BC36" s="107"/>
      <c r="BD36" s="107"/>
      <c r="BE36" s="107"/>
      <c r="BF36" s="107"/>
      <c r="BG36" s="107"/>
      <c r="BH36" s="107"/>
      <c r="BI36" s="107"/>
      <c r="BJ36" s="107"/>
      <c r="BK36" s="107"/>
      <c r="BL36" s="107"/>
      <c r="BM36" s="107"/>
      <c r="BN36" s="107"/>
      <c r="BO36" s="107"/>
      <c r="BP36" s="107"/>
      <c r="BQ36" s="107"/>
      <c r="BR36" s="107"/>
      <c r="BS36" s="107"/>
      <c r="BT36" s="107"/>
      <c r="BU36" s="107"/>
      <c r="BV36" s="107"/>
      <c r="BW36" s="107"/>
      <c r="BX36" s="107"/>
      <c r="BY36" s="107"/>
      <c r="BZ36" s="107"/>
      <c r="CA36" s="107"/>
      <c r="CB36" s="107"/>
      <c r="CC36" s="107"/>
      <c r="CD36" s="107"/>
      <c r="CE36" s="107"/>
      <c r="CF36" s="107"/>
      <c r="CG36" s="107"/>
      <c r="CH36" s="107"/>
      <c r="CI36" s="107"/>
      <c r="CJ36" s="107"/>
      <c r="CK36" s="107"/>
      <c r="CL36" s="107"/>
      <c r="CM36" s="107"/>
      <c r="CN36" s="107"/>
      <c r="CO36" s="107"/>
      <c r="CP36" s="107"/>
      <c r="CQ36" s="107"/>
      <c r="CR36" s="107"/>
      <c r="CS36" s="107"/>
      <c r="CT36" s="107"/>
      <c r="CU36" s="107"/>
      <c r="CV36" s="107"/>
      <c r="CW36" s="107"/>
      <c r="CX36" s="107"/>
      <c r="CY36" s="107"/>
      <c r="CZ36" s="107"/>
      <c r="DA36" s="107"/>
      <c r="DB36" s="107"/>
      <c r="DC36" s="107"/>
      <c r="DD36" s="107"/>
      <c r="DE36" s="107"/>
      <c r="DF36" s="107"/>
      <c r="DG36" s="107"/>
      <c r="DH36" s="107"/>
      <c r="DI36" s="107"/>
      <c r="DJ36" s="107"/>
      <c r="DK36" s="107"/>
      <c r="DL36" s="107"/>
      <c r="DM36" s="107"/>
      <c r="DN36" s="107"/>
      <c r="DO36" s="107"/>
      <c r="DP36" s="107"/>
      <c r="DQ36" s="107"/>
      <c r="DR36" s="107"/>
      <c r="DS36" s="107"/>
      <c r="DT36" s="107"/>
      <c r="DU36" s="107"/>
      <c r="DV36" s="107"/>
      <c r="DW36" s="107"/>
      <c r="DX36" s="107"/>
      <c r="DY36" s="107"/>
      <c r="DZ36" s="107"/>
      <c r="EA36" s="107"/>
      <c r="EB36" s="107"/>
      <c r="EC36" s="107"/>
      <c r="ED36" s="107"/>
      <c r="EE36" s="107"/>
      <c r="EF36" s="107"/>
      <c r="EG36" s="107"/>
      <c r="EH36" s="107"/>
      <c r="EI36" s="107"/>
      <c r="EJ36" s="107"/>
      <c r="EK36" s="107"/>
      <c r="EL36" s="107"/>
      <c r="EM36" s="107"/>
      <c r="EN36" s="107"/>
      <c r="EO36" s="107"/>
      <c r="EP36" s="107"/>
      <c r="EQ36" s="107"/>
      <c r="ER36" s="107"/>
      <c r="ES36" s="107"/>
      <c r="ET36" s="107"/>
      <c r="EU36" s="107"/>
      <c r="EV36" s="107"/>
      <c r="EW36" s="107"/>
      <c r="EX36" s="107"/>
      <c r="EY36" s="107"/>
      <c r="EZ36" s="107"/>
      <c r="FA36" s="107"/>
      <c r="FB36" s="107"/>
      <c r="FC36" s="107"/>
      <c r="FD36" s="107"/>
      <c r="FE36" s="107"/>
      <c r="FF36" s="107"/>
      <c r="FG36" s="107"/>
      <c r="FH36" s="107"/>
      <c r="FI36" s="107"/>
      <c r="FJ36" s="107"/>
      <c r="FK36" s="107"/>
      <c r="FL36" s="107"/>
      <c r="FM36" s="107"/>
      <c r="FN36" s="107"/>
      <c r="FO36" s="107"/>
      <c r="FP36" s="107"/>
      <c r="FQ36" s="107"/>
      <c r="FR36" s="107"/>
      <c r="FS36" s="107"/>
      <c r="FT36" s="107"/>
      <c r="FU36" s="107"/>
    </row>
    <row r="37" spans="1:177" s="108" customFormat="1" ht="16.5">
      <c r="A37" s="100"/>
      <c r="B37" s="148" t="str">
        <f>+Configuración!B18</f>
        <v>D-Bitvavo</v>
      </c>
      <c r="C37" s="153">
        <f>+Movimientos!D5</f>
        <v>0</v>
      </c>
      <c r="D37" s="150">
        <f>+C37/$C$2</f>
        <v>0</v>
      </c>
      <c r="E37" s="154">
        <f>+C37</f>
        <v>0</v>
      </c>
      <c r="F37" s="150">
        <f>+E37/$E$2</f>
        <v>0</v>
      </c>
      <c r="G37" s="154" t="s">
        <v>785</v>
      </c>
      <c r="H37" s="155" t="s">
        <v>785</v>
      </c>
      <c r="I37" s="106"/>
      <c r="J37" s="24"/>
      <c r="K37" s="24"/>
      <c r="L37" s="24"/>
      <c r="M37" s="24"/>
      <c r="N37" s="24"/>
      <c r="O37" s="24"/>
      <c r="P37" s="107"/>
      <c r="Q37" s="107"/>
      <c r="R37" s="107"/>
      <c r="S37" s="107"/>
      <c r="T37" s="107"/>
      <c r="U37" s="107"/>
      <c r="V37" s="107"/>
      <c r="W37" s="107"/>
      <c r="X37" s="107"/>
      <c r="Y37" s="107"/>
      <c r="Z37" s="107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  <c r="AL37" s="107"/>
      <c r="AM37" s="107"/>
      <c r="AN37" s="107"/>
      <c r="AO37" s="107"/>
      <c r="AP37" s="107"/>
      <c r="AQ37" s="107"/>
      <c r="AR37" s="107"/>
      <c r="AS37" s="107"/>
      <c r="AT37" s="107"/>
      <c r="AU37" s="107"/>
      <c r="AV37" s="107"/>
      <c r="AW37" s="107"/>
      <c r="AX37" s="107"/>
      <c r="AY37" s="107"/>
      <c r="AZ37" s="107"/>
      <c r="BA37" s="107"/>
      <c r="BB37" s="107"/>
      <c r="BC37" s="107"/>
      <c r="BD37" s="107"/>
      <c r="BE37" s="107"/>
      <c r="BF37" s="107"/>
      <c r="BG37" s="107"/>
      <c r="BH37" s="107"/>
      <c r="BI37" s="107"/>
      <c r="BJ37" s="107"/>
      <c r="BK37" s="107"/>
      <c r="BL37" s="107"/>
      <c r="BM37" s="107"/>
      <c r="BN37" s="107"/>
      <c r="BO37" s="107"/>
      <c r="BP37" s="107"/>
      <c r="BQ37" s="107"/>
      <c r="BR37" s="107"/>
      <c r="BS37" s="107"/>
      <c r="BT37" s="107"/>
      <c r="BU37" s="107"/>
      <c r="BV37" s="107"/>
      <c r="BW37" s="107"/>
      <c r="BX37" s="107"/>
      <c r="BY37" s="107"/>
      <c r="BZ37" s="107"/>
      <c r="CA37" s="107"/>
      <c r="CB37" s="107"/>
      <c r="CC37" s="107"/>
      <c r="CD37" s="107"/>
      <c r="CE37" s="107"/>
      <c r="CF37" s="107"/>
      <c r="CG37" s="107"/>
      <c r="CH37" s="107"/>
      <c r="CI37" s="107"/>
      <c r="CJ37" s="107"/>
      <c r="CK37" s="107"/>
      <c r="CL37" s="107"/>
      <c r="CM37" s="107"/>
      <c r="CN37" s="107"/>
      <c r="CO37" s="107"/>
      <c r="CP37" s="107"/>
      <c r="CQ37" s="107"/>
      <c r="CR37" s="107"/>
      <c r="CS37" s="107"/>
      <c r="CT37" s="107"/>
      <c r="CU37" s="107"/>
      <c r="CV37" s="107"/>
      <c r="CW37" s="107"/>
      <c r="CX37" s="107"/>
      <c r="CY37" s="107"/>
      <c r="CZ37" s="107"/>
      <c r="DA37" s="107"/>
      <c r="DB37" s="107"/>
      <c r="DC37" s="107"/>
      <c r="DD37" s="107"/>
      <c r="DE37" s="107"/>
      <c r="DF37" s="107"/>
      <c r="DG37" s="107"/>
      <c r="DH37" s="107"/>
      <c r="DI37" s="107"/>
      <c r="DJ37" s="107"/>
      <c r="DK37" s="107"/>
      <c r="DL37" s="107"/>
      <c r="DM37" s="107"/>
      <c r="DN37" s="107"/>
      <c r="DO37" s="107"/>
      <c r="DP37" s="107"/>
      <c r="DQ37" s="107"/>
      <c r="DR37" s="107"/>
      <c r="DS37" s="107"/>
      <c r="DT37" s="107"/>
      <c r="DU37" s="107"/>
      <c r="DV37" s="107"/>
      <c r="DW37" s="107"/>
      <c r="DX37" s="107"/>
      <c r="DY37" s="107"/>
      <c r="DZ37" s="107"/>
      <c r="EA37" s="107"/>
      <c r="EB37" s="107"/>
      <c r="EC37" s="107"/>
      <c r="ED37" s="107"/>
      <c r="EE37" s="107"/>
      <c r="EF37" s="107"/>
      <c r="EG37" s="107"/>
      <c r="EH37" s="107"/>
      <c r="EI37" s="107"/>
      <c r="EJ37" s="107"/>
      <c r="EK37" s="107"/>
      <c r="EL37" s="107"/>
      <c r="EM37" s="107"/>
      <c r="EN37" s="107"/>
      <c r="EO37" s="107"/>
      <c r="EP37" s="107"/>
      <c r="EQ37" s="107"/>
      <c r="ER37" s="107"/>
      <c r="ES37" s="107"/>
      <c r="ET37" s="107"/>
      <c r="EU37" s="107"/>
      <c r="EV37" s="107"/>
      <c r="EW37" s="107"/>
      <c r="EX37" s="107"/>
      <c r="EY37" s="107"/>
      <c r="EZ37" s="107"/>
      <c r="FA37" s="107"/>
      <c r="FB37" s="107"/>
      <c r="FC37" s="107"/>
      <c r="FD37" s="107"/>
      <c r="FE37" s="107"/>
      <c r="FF37" s="107"/>
      <c r="FG37" s="107"/>
      <c r="FH37" s="107"/>
      <c r="FI37" s="107"/>
      <c r="FJ37" s="107"/>
      <c r="FK37" s="107"/>
      <c r="FL37" s="107"/>
      <c r="FM37" s="107"/>
      <c r="FN37" s="107"/>
      <c r="FO37" s="107"/>
      <c r="FP37" s="107"/>
      <c r="FQ37" s="107"/>
      <c r="FR37" s="107"/>
      <c r="FS37" s="107"/>
      <c r="FT37" s="107"/>
      <c r="FU37" s="107"/>
    </row>
    <row r="38" spans="1:177" s="108" customFormat="1" ht="16.5" hidden="1">
      <c r="A38" s="100"/>
      <c r="B38" s="148" t="str">
        <f>+Configuración!B20</f>
        <v>D-Coinbase</v>
      </c>
      <c r="C38" s="153">
        <f>+Movimientos!D7</f>
        <v>5.4001247917767614E-13</v>
      </c>
      <c r="D38" s="150">
        <f>+C38/$C$2</f>
        <v>6.9653567013355662E-19</v>
      </c>
      <c r="E38" s="154">
        <f>+C38</f>
        <v>5.4001247917767614E-13</v>
      </c>
      <c r="F38" s="150">
        <f>+E38/$E$2</f>
        <v>1.2318299960089087E-18</v>
      </c>
      <c r="G38" s="154" t="s">
        <v>785</v>
      </c>
      <c r="H38" s="155" t="s">
        <v>785</v>
      </c>
      <c r="I38" s="106"/>
      <c r="J38" s="24"/>
      <c r="K38" s="24"/>
      <c r="L38" s="24"/>
      <c r="M38" s="24"/>
      <c r="N38" s="24"/>
      <c r="O38" s="24"/>
      <c r="P38" s="107"/>
      <c r="Q38" s="107"/>
      <c r="R38" s="107"/>
      <c r="S38" s="107"/>
      <c r="T38" s="107"/>
      <c r="U38" s="107"/>
      <c r="V38" s="107"/>
      <c r="W38" s="107"/>
      <c r="X38" s="107"/>
      <c r="Y38" s="107"/>
      <c r="Z38" s="107"/>
      <c r="AA38" s="107"/>
      <c r="AB38" s="107"/>
      <c r="AC38" s="107"/>
      <c r="AD38" s="107"/>
      <c r="AE38" s="107"/>
      <c r="AF38" s="107"/>
      <c r="AG38" s="107"/>
      <c r="AH38" s="107"/>
      <c r="AI38" s="107"/>
      <c r="AJ38" s="107"/>
      <c r="AK38" s="107"/>
      <c r="AL38" s="107"/>
      <c r="AM38" s="107"/>
      <c r="AN38" s="107"/>
      <c r="AO38" s="107"/>
      <c r="AP38" s="107"/>
      <c r="AQ38" s="107"/>
      <c r="AR38" s="107"/>
      <c r="AS38" s="107"/>
      <c r="AT38" s="107"/>
      <c r="AU38" s="107"/>
      <c r="AV38" s="107"/>
      <c r="AW38" s="107"/>
      <c r="AX38" s="107"/>
      <c r="AY38" s="107"/>
      <c r="AZ38" s="107"/>
      <c r="BA38" s="107"/>
      <c r="BB38" s="107"/>
      <c r="BC38" s="107"/>
      <c r="BD38" s="107"/>
      <c r="BE38" s="107"/>
      <c r="BF38" s="107"/>
      <c r="BG38" s="107"/>
      <c r="BH38" s="107"/>
      <c r="BI38" s="107"/>
      <c r="BJ38" s="107"/>
      <c r="BK38" s="107"/>
      <c r="BL38" s="107"/>
      <c r="BM38" s="107"/>
      <c r="BN38" s="107"/>
      <c r="BO38" s="107"/>
      <c r="BP38" s="107"/>
      <c r="BQ38" s="107"/>
      <c r="BR38" s="107"/>
      <c r="BS38" s="107"/>
      <c r="BT38" s="107"/>
      <c r="BU38" s="107"/>
      <c r="BV38" s="107"/>
      <c r="BW38" s="107"/>
      <c r="BX38" s="107"/>
      <c r="BY38" s="107"/>
      <c r="BZ38" s="107"/>
      <c r="CA38" s="107"/>
      <c r="CB38" s="107"/>
      <c r="CC38" s="107"/>
      <c r="CD38" s="107"/>
      <c r="CE38" s="107"/>
      <c r="CF38" s="107"/>
      <c r="CG38" s="107"/>
      <c r="CH38" s="107"/>
      <c r="CI38" s="107"/>
      <c r="CJ38" s="107"/>
      <c r="CK38" s="107"/>
      <c r="CL38" s="107"/>
      <c r="CM38" s="107"/>
      <c r="CN38" s="107"/>
      <c r="CO38" s="107"/>
      <c r="CP38" s="107"/>
      <c r="CQ38" s="107"/>
      <c r="CR38" s="107"/>
      <c r="CS38" s="107"/>
      <c r="CT38" s="107"/>
      <c r="CU38" s="107"/>
      <c r="CV38" s="107"/>
      <c r="CW38" s="107"/>
      <c r="CX38" s="107"/>
      <c r="CY38" s="107"/>
      <c r="CZ38" s="107"/>
      <c r="DA38" s="107"/>
      <c r="DB38" s="107"/>
      <c r="DC38" s="107"/>
      <c r="DD38" s="107"/>
      <c r="DE38" s="107"/>
      <c r="DF38" s="107"/>
      <c r="DG38" s="107"/>
      <c r="DH38" s="107"/>
      <c r="DI38" s="107"/>
      <c r="DJ38" s="107"/>
      <c r="DK38" s="107"/>
      <c r="DL38" s="107"/>
      <c r="DM38" s="107"/>
      <c r="DN38" s="107"/>
      <c r="DO38" s="107"/>
      <c r="DP38" s="107"/>
      <c r="DQ38" s="107"/>
      <c r="DR38" s="107"/>
      <c r="DS38" s="107"/>
      <c r="DT38" s="107"/>
      <c r="DU38" s="107"/>
      <c r="DV38" s="107"/>
      <c r="DW38" s="107"/>
      <c r="DX38" s="107"/>
      <c r="DY38" s="107"/>
      <c r="DZ38" s="107"/>
      <c r="EA38" s="107"/>
      <c r="EB38" s="107"/>
      <c r="EC38" s="107"/>
      <c r="ED38" s="107"/>
      <c r="EE38" s="107"/>
      <c r="EF38" s="107"/>
      <c r="EG38" s="107"/>
      <c r="EH38" s="107"/>
      <c r="EI38" s="107"/>
      <c r="EJ38" s="107"/>
      <c r="EK38" s="107"/>
      <c r="EL38" s="107"/>
      <c r="EM38" s="107"/>
      <c r="EN38" s="107"/>
      <c r="EO38" s="107"/>
      <c r="EP38" s="107"/>
      <c r="EQ38" s="107"/>
      <c r="ER38" s="107"/>
      <c r="ES38" s="107"/>
      <c r="ET38" s="107"/>
      <c r="EU38" s="107"/>
      <c r="EV38" s="107"/>
      <c r="EW38" s="107"/>
      <c r="EX38" s="107"/>
      <c r="EY38" s="107"/>
      <c r="EZ38" s="107"/>
      <c r="FA38" s="107"/>
      <c r="FB38" s="107"/>
      <c r="FC38" s="107"/>
      <c r="FD38" s="107"/>
      <c r="FE38" s="107"/>
      <c r="FF38" s="107"/>
      <c r="FG38" s="107"/>
      <c r="FH38" s="107"/>
      <c r="FI38" s="107"/>
      <c r="FJ38" s="107"/>
      <c r="FK38" s="107"/>
      <c r="FL38" s="107"/>
      <c r="FM38" s="107"/>
      <c r="FN38" s="107"/>
      <c r="FO38" s="107"/>
      <c r="FP38" s="107"/>
      <c r="FQ38" s="107"/>
      <c r="FR38" s="107"/>
      <c r="FS38" s="107"/>
      <c r="FT38" s="107"/>
      <c r="FU38" s="107"/>
    </row>
    <row r="39" spans="1:177" s="108" customFormat="1" ht="16.5">
      <c r="A39" s="100"/>
      <c r="B39" s="148" t="str">
        <f>+Configuración!B21</f>
        <v>D-Criptan</v>
      </c>
      <c r="C39" s="153">
        <f>+Movimientos!D8</f>
        <v>4230.4000000000005</v>
      </c>
      <c r="D39" s="150">
        <f>+C39/$C$2</f>
        <v>5.456585935606671E-3</v>
      </c>
      <c r="E39" s="154">
        <f>+C39</f>
        <v>4230.4000000000005</v>
      </c>
      <c r="F39" s="150">
        <f>+E39/$E$2</f>
        <v>9.6500244273086677E-3</v>
      </c>
      <c r="G39" s="154" t="s">
        <v>785</v>
      </c>
      <c r="H39" s="155" t="s">
        <v>785</v>
      </c>
      <c r="I39" s="106"/>
      <c r="J39" s="24"/>
      <c r="K39" s="24"/>
      <c r="L39" s="24"/>
      <c r="M39" s="24"/>
      <c r="N39" s="24"/>
      <c r="O39" s="24"/>
      <c r="P39" s="107"/>
      <c r="Q39" s="107"/>
      <c r="R39" s="107"/>
      <c r="S39" s="107"/>
      <c r="T39" s="107"/>
      <c r="U39" s="107"/>
      <c r="V39" s="107"/>
      <c r="W39" s="107"/>
      <c r="X39" s="107"/>
      <c r="Y39" s="107"/>
      <c r="Z39" s="107"/>
      <c r="AA39" s="107"/>
      <c r="AB39" s="107"/>
      <c r="AC39" s="107"/>
      <c r="AD39" s="107"/>
      <c r="AE39" s="107"/>
      <c r="AF39" s="107"/>
      <c r="AG39" s="107"/>
      <c r="AH39" s="107"/>
      <c r="AI39" s="107"/>
      <c r="AJ39" s="107"/>
      <c r="AK39" s="107"/>
      <c r="AL39" s="107"/>
      <c r="AM39" s="107"/>
      <c r="AN39" s="107"/>
      <c r="AO39" s="107"/>
      <c r="AP39" s="107"/>
      <c r="AQ39" s="107"/>
      <c r="AR39" s="107"/>
      <c r="AS39" s="107"/>
      <c r="AT39" s="107"/>
      <c r="AU39" s="107"/>
      <c r="AV39" s="107"/>
      <c r="AW39" s="107"/>
      <c r="AX39" s="107"/>
      <c r="AY39" s="107"/>
      <c r="AZ39" s="107"/>
      <c r="BA39" s="107"/>
      <c r="BB39" s="107"/>
      <c r="BC39" s="107"/>
      <c r="BD39" s="107"/>
      <c r="BE39" s="107"/>
      <c r="BF39" s="107"/>
      <c r="BG39" s="107"/>
      <c r="BH39" s="107"/>
      <c r="BI39" s="107"/>
      <c r="BJ39" s="107"/>
      <c r="BK39" s="107"/>
      <c r="BL39" s="107"/>
      <c r="BM39" s="107"/>
      <c r="BN39" s="107"/>
      <c r="BO39" s="107"/>
      <c r="BP39" s="107"/>
      <c r="BQ39" s="107"/>
      <c r="BR39" s="107"/>
      <c r="BS39" s="107"/>
      <c r="BT39" s="107"/>
      <c r="BU39" s="107"/>
      <c r="BV39" s="107"/>
      <c r="BW39" s="107"/>
      <c r="BX39" s="107"/>
      <c r="BY39" s="107"/>
      <c r="BZ39" s="107"/>
      <c r="CA39" s="107"/>
      <c r="CB39" s="107"/>
      <c r="CC39" s="107"/>
      <c r="CD39" s="107"/>
      <c r="CE39" s="107"/>
      <c r="CF39" s="107"/>
      <c r="CG39" s="107"/>
      <c r="CH39" s="107"/>
      <c r="CI39" s="107"/>
      <c r="CJ39" s="107"/>
      <c r="CK39" s="107"/>
      <c r="CL39" s="107"/>
      <c r="CM39" s="107"/>
      <c r="CN39" s="107"/>
      <c r="CO39" s="107"/>
      <c r="CP39" s="107"/>
      <c r="CQ39" s="107"/>
      <c r="CR39" s="107"/>
      <c r="CS39" s="107"/>
      <c r="CT39" s="107"/>
      <c r="CU39" s="107"/>
      <c r="CV39" s="107"/>
      <c r="CW39" s="107"/>
      <c r="CX39" s="107"/>
      <c r="CY39" s="107"/>
      <c r="CZ39" s="107"/>
      <c r="DA39" s="107"/>
      <c r="DB39" s="107"/>
      <c r="DC39" s="107"/>
      <c r="DD39" s="107"/>
      <c r="DE39" s="107"/>
      <c r="DF39" s="107"/>
      <c r="DG39" s="107"/>
      <c r="DH39" s="107"/>
      <c r="DI39" s="107"/>
      <c r="DJ39" s="107"/>
      <c r="DK39" s="107"/>
      <c r="DL39" s="107"/>
      <c r="DM39" s="107"/>
      <c r="DN39" s="107"/>
      <c r="DO39" s="107"/>
      <c r="DP39" s="107"/>
      <c r="DQ39" s="107"/>
      <c r="DR39" s="107"/>
      <c r="DS39" s="107"/>
      <c r="DT39" s="107"/>
      <c r="DU39" s="107"/>
      <c r="DV39" s="107"/>
      <c r="DW39" s="107"/>
      <c r="DX39" s="107"/>
      <c r="DY39" s="107"/>
      <c r="DZ39" s="107"/>
      <c r="EA39" s="107"/>
      <c r="EB39" s="107"/>
      <c r="EC39" s="107"/>
      <c r="ED39" s="107"/>
      <c r="EE39" s="107"/>
      <c r="EF39" s="107"/>
      <c r="EG39" s="107"/>
      <c r="EH39" s="107"/>
      <c r="EI39" s="107"/>
      <c r="EJ39" s="107"/>
      <c r="EK39" s="107"/>
      <c r="EL39" s="107"/>
      <c r="EM39" s="107"/>
      <c r="EN39" s="107"/>
      <c r="EO39" s="107"/>
      <c r="EP39" s="107"/>
      <c r="EQ39" s="107"/>
      <c r="ER39" s="107"/>
      <c r="ES39" s="107"/>
      <c r="ET39" s="107"/>
      <c r="EU39" s="107"/>
      <c r="EV39" s="107"/>
      <c r="EW39" s="107"/>
      <c r="EX39" s="107"/>
      <c r="EY39" s="107"/>
      <c r="EZ39" s="107"/>
      <c r="FA39" s="107"/>
      <c r="FB39" s="107"/>
      <c r="FC39" s="107"/>
      <c r="FD39" s="107"/>
      <c r="FE39" s="107"/>
      <c r="FF39" s="107"/>
      <c r="FG39" s="107"/>
      <c r="FH39" s="107"/>
      <c r="FI39" s="107"/>
      <c r="FJ39" s="107"/>
      <c r="FK39" s="107"/>
      <c r="FL39" s="107"/>
      <c r="FM39" s="107"/>
      <c r="FN39" s="107"/>
      <c r="FO39" s="107"/>
      <c r="FP39" s="107"/>
      <c r="FQ39" s="107"/>
      <c r="FR39" s="107"/>
      <c r="FS39" s="107"/>
      <c r="FT39" s="107"/>
      <c r="FU39" s="107"/>
    </row>
    <row r="40" spans="1:177" s="108" customFormat="1" ht="16.5" hidden="1">
      <c r="A40" s="100"/>
      <c r="B40" s="148" t="str">
        <f>+Configuración!B23</f>
        <v>D-Deblock</v>
      </c>
      <c r="C40" s="153">
        <f>+Movimientos!D9</f>
        <v>0</v>
      </c>
      <c r="D40" s="150">
        <f>+C40/$C$2</f>
        <v>0</v>
      </c>
      <c r="E40" s="154">
        <f>+C40</f>
        <v>0</v>
      </c>
      <c r="F40" s="150">
        <f>+E40/$E$2</f>
        <v>0</v>
      </c>
      <c r="G40" s="154" t="s">
        <v>785</v>
      </c>
      <c r="H40" s="155" t="s">
        <v>785</v>
      </c>
      <c r="I40" s="106"/>
      <c r="J40" s="24"/>
      <c r="K40" s="24"/>
      <c r="L40" s="24"/>
      <c r="M40" s="24"/>
      <c r="N40" s="24"/>
      <c r="O40" s="24"/>
      <c r="P40" s="107"/>
      <c r="Q40" s="107"/>
      <c r="R40" s="107"/>
      <c r="S40" s="107"/>
      <c r="T40" s="107"/>
      <c r="U40" s="107"/>
      <c r="V40" s="107"/>
      <c r="W40" s="107"/>
      <c r="X40" s="107"/>
      <c r="Y40" s="107"/>
      <c r="Z40" s="107"/>
      <c r="AA40" s="107"/>
      <c r="AB40" s="107"/>
      <c r="AC40" s="107"/>
      <c r="AD40" s="107"/>
      <c r="AE40" s="107"/>
      <c r="AF40" s="107"/>
      <c r="AG40" s="107"/>
      <c r="AH40" s="107"/>
      <c r="AI40" s="107"/>
      <c r="AJ40" s="107"/>
      <c r="AK40" s="107"/>
      <c r="AL40" s="107"/>
      <c r="AM40" s="107"/>
      <c r="AN40" s="107"/>
      <c r="AO40" s="107"/>
      <c r="AP40" s="107"/>
      <c r="AQ40" s="107"/>
      <c r="AR40" s="107"/>
      <c r="AS40" s="107"/>
      <c r="AT40" s="107"/>
      <c r="AU40" s="107"/>
      <c r="AV40" s="107"/>
      <c r="AW40" s="107"/>
      <c r="AX40" s="107"/>
      <c r="AY40" s="107"/>
      <c r="AZ40" s="107"/>
      <c r="BA40" s="107"/>
      <c r="BB40" s="107"/>
      <c r="BC40" s="107"/>
      <c r="BD40" s="107"/>
      <c r="BE40" s="107"/>
      <c r="BF40" s="107"/>
      <c r="BG40" s="107"/>
      <c r="BH40" s="107"/>
      <c r="BI40" s="107"/>
      <c r="BJ40" s="107"/>
      <c r="BK40" s="107"/>
      <c r="BL40" s="107"/>
      <c r="BM40" s="107"/>
      <c r="BN40" s="107"/>
      <c r="BO40" s="107"/>
      <c r="BP40" s="107"/>
      <c r="BQ40" s="107"/>
      <c r="BR40" s="107"/>
      <c r="BS40" s="107"/>
      <c r="BT40" s="107"/>
      <c r="BU40" s="107"/>
      <c r="BV40" s="107"/>
      <c r="BW40" s="107"/>
      <c r="BX40" s="107"/>
      <c r="BY40" s="107"/>
      <c r="BZ40" s="107"/>
      <c r="CA40" s="107"/>
      <c r="CB40" s="107"/>
      <c r="CC40" s="107"/>
      <c r="CD40" s="107"/>
      <c r="CE40" s="107"/>
      <c r="CF40" s="107"/>
      <c r="CG40" s="107"/>
      <c r="CH40" s="107"/>
      <c r="CI40" s="107"/>
      <c r="CJ40" s="107"/>
      <c r="CK40" s="107"/>
      <c r="CL40" s="107"/>
      <c r="CM40" s="107"/>
      <c r="CN40" s="107"/>
      <c r="CO40" s="107"/>
      <c r="CP40" s="107"/>
      <c r="CQ40" s="107"/>
      <c r="CR40" s="107"/>
      <c r="CS40" s="107"/>
      <c r="CT40" s="107"/>
      <c r="CU40" s="107"/>
      <c r="CV40" s="107"/>
      <c r="CW40" s="107"/>
      <c r="CX40" s="107"/>
      <c r="CY40" s="107"/>
      <c r="CZ40" s="107"/>
      <c r="DA40" s="107"/>
      <c r="DB40" s="107"/>
      <c r="DC40" s="107"/>
      <c r="DD40" s="107"/>
      <c r="DE40" s="107"/>
      <c r="DF40" s="107"/>
      <c r="DG40" s="107"/>
      <c r="DH40" s="107"/>
      <c r="DI40" s="107"/>
      <c r="DJ40" s="107"/>
      <c r="DK40" s="107"/>
      <c r="DL40" s="107"/>
      <c r="DM40" s="107"/>
      <c r="DN40" s="107"/>
      <c r="DO40" s="107"/>
      <c r="DP40" s="107"/>
      <c r="DQ40" s="107"/>
      <c r="DR40" s="107"/>
      <c r="DS40" s="107"/>
      <c r="DT40" s="107"/>
      <c r="DU40" s="107"/>
      <c r="DV40" s="107"/>
      <c r="DW40" s="107"/>
      <c r="DX40" s="107"/>
      <c r="DY40" s="107"/>
      <c r="DZ40" s="107"/>
      <c r="EA40" s="107"/>
      <c r="EB40" s="107"/>
      <c r="EC40" s="107"/>
      <c r="ED40" s="107"/>
      <c r="EE40" s="107"/>
      <c r="EF40" s="107"/>
      <c r="EG40" s="107"/>
      <c r="EH40" s="107"/>
      <c r="EI40" s="107"/>
      <c r="EJ40" s="107"/>
      <c r="EK40" s="107"/>
      <c r="EL40" s="107"/>
      <c r="EM40" s="107"/>
      <c r="EN40" s="107"/>
      <c r="EO40" s="107"/>
      <c r="EP40" s="107"/>
      <c r="EQ40" s="107"/>
      <c r="ER40" s="107"/>
      <c r="ES40" s="107"/>
      <c r="ET40" s="107"/>
      <c r="EU40" s="107"/>
      <c r="EV40" s="107"/>
      <c r="EW40" s="107"/>
      <c r="EX40" s="107"/>
      <c r="EY40" s="107"/>
      <c r="EZ40" s="107"/>
      <c r="FA40" s="107"/>
      <c r="FB40" s="107"/>
      <c r="FC40" s="107"/>
      <c r="FD40" s="107"/>
      <c r="FE40" s="107"/>
      <c r="FF40" s="107"/>
      <c r="FG40" s="107"/>
      <c r="FH40" s="107"/>
      <c r="FI40" s="107"/>
      <c r="FJ40" s="107"/>
      <c r="FK40" s="107"/>
      <c r="FL40" s="107"/>
      <c r="FM40" s="107"/>
      <c r="FN40" s="107"/>
      <c r="FO40" s="107"/>
      <c r="FP40" s="107"/>
      <c r="FQ40" s="107"/>
      <c r="FR40" s="107"/>
      <c r="FS40" s="107"/>
      <c r="FT40" s="107"/>
      <c r="FU40" s="107"/>
    </row>
    <row r="41" spans="1:177" s="108" customFormat="1" ht="16.5">
      <c r="A41" s="100"/>
      <c r="B41" s="148" t="str">
        <f>+Configuración!B32</f>
        <v>D-Kraken</v>
      </c>
      <c r="C41" s="153">
        <f>+Movimientos!D19</f>
        <v>81.79999999999923</v>
      </c>
      <c r="D41" s="150">
        <f>+C41/$C$2</f>
        <v>1.0550981692809698E-4</v>
      </c>
      <c r="E41" s="154">
        <f>+C41</f>
        <v>81.79999999999923</v>
      </c>
      <c r="F41" s="150">
        <f>+E41/$E$2</f>
        <v>1.8659512059234149E-4</v>
      </c>
      <c r="G41" s="154" t="s">
        <v>785</v>
      </c>
      <c r="H41" s="155" t="s">
        <v>785</v>
      </c>
      <c r="I41" s="106"/>
      <c r="J41" s="24"/>
      <c r="K41" s="24"/>
      <c r="L41" s="24"/>
      <c r="M41" s="24"/>
      <c r="N41" s="24"/>
      <c r="O41" s="24"/>
      <c r="P41" s="107"/>
      <c r="Q41" s="107"/>
      <c r="R41" s="107"/>
      <c r="S41" s="107"/>
      <c r="T41" s="107"/>
      <c r="U41" s="107"/>
      <c r="V41" s="107"/>
      <c r="W41" s="107"/>
      <c r="X41" s="107"/>
      <c r="Y41" s="107"/>
      <c r="Z41" s="107"/>
      <c r="AA41" s="107"/>
      <c r="AB41" s="107"/>
      <c r="AC41" s="107"/>
      <c r="AD41" s="107"/>
      <c r="AE41" s="107"/>
      <c r="AF41" s="107"/>
      <c r="AG41" s="107"/>
      <c r="AH41" s="107"/>
      <c r="AI41" s="107"/>
      <c r="AJ41" s="107"/>
      <c r="AK41" s="107"/>
      <c r="AL41" s="107"/>
      <c r="AM41" s="107"/>
      <c r="AN41" s="107"/>
      <c r="AO41" s="107"/>
      <c r="AP41" s="107"/>
      <c r="AQ41" s="107"/>
      <c r="AR41" s="107"/>
      <c r="AS41" s="107"/>
      <c r="AT41" s="107"/>
      <c r="AU41" s="107"/>
      <c r="AV41" s="107"/>
      <c r="AW41" s="107"/>
      <c r="AX41" s="107"/>
      <c r="AY41" s="107"/>
      <c r="AZ41" s="107"/>
      <c r="BA41" s="107"/>
      <c r="BB41" s="107"/>
      <c r="BC41" s="107"/>
      <c r="BD41" s="107"/>
      <c r="BE41" s="107"/>
      <c r="BF41" s="107"/>
      <c r="BG41" s="107"/>
      <c r="BH41" s="107"/>
      <c r="BI41" s="107"/>
      <c r="BJ41" s="107"/>
      <c r="BK41" s="107"/>
      <c r="BL41" s="107"/>
      <c r="BM41" s="107"/>
      <c r="BN41" s="107"/>
      <c r="BO41" s="107"/>
      <c r="BP41" s="107"/>
      <c r="BQ41" s="107"/>
      <c r="BR41" s="107"/>
      <c r="BS41" s="107"/>
      <c r="BT41" s="107"/>
      <c r="BU41" s="107"/>
      <c r="BV41" s="107"/>
      <c r="BW41" s="107"/>
      <c r="BX41" s="107"/>
      <c r="BY41" s="107"/>
      <c r="BZ41" s="107"/>
      <c r="CA41" s="107"/>
      <c r="CB41" s="107"/>
      <c r="CC41" s="107"/>
      <c r="CD41" s="107"/>
      <c r="CE41" s="107"/>
      <c r="CF41" s="107"/>
      <c r="CG41" s="107"/>
      <c r="CH41" s="107"/>
      <c r="CI41" s="107"/>
      <c r="CJ41" s="107"/>
      <c r="CK41" s="107"/>
      <c r="CL41" s="107"/>
      <c r="CM41" s="107"/>
      <c r="CN41" s="107"/>
      <c r="CO41" s="107"/>
      <c r="CP41" s="107"/>
      <c r="CQ41" s="107"/>
      <c r="CR41" s="107"/>
      <c r="CS41" s="107"/>
      <c r="CT41" s="107"/>
      <c r="CU41" s="107"/>
      <c r="CV41" s="107"/>
      <c r="CW41" s="107"/>
      <c r="CX41" s="107"/>
      <c r="CY41" s="107"/>
      <c r="CZ41" s="107"/>
      <c r="DA41" s="107"/>
      <c r="DB41" s="107"/>
      <c r="DC41" s="107"/>
      <c r="DD41" s="107"/>
      <c r="DE41" s="107"/>
      <c r="DF41" s="107"/>
      <c r="DG41" s="107"/>
      <c r="DH41" s="107"/>
      <c r="DI41" s="107"/>
      <c r="DJ41" s="107"/>
      <c r="DK41" s="107"/>
      <c r="DL41" s="107"/>
      <c r="DM41" s="107"/>
      <c r="DN41" s="107"/>
      <c r="DO41" s="107"/>
      <c r="DP41" s="107"/>
      <c r="DQ41" s="107"/>
      <c r="DR41" s="107"/>
      <c r="DS41" s="107"/>
      <c r="DT41" s="107"/>
      <c r="DU41" s="107"/>
      <c r="DV41" s="107"/>
      <c r="DW41" s="107"/>
      <c r="DX41" s="107"/>
      <c r="DY41" s="107"/>
      <c r="DZ41" s="107"/>
      <c r="EA41" s="107"/>
      <c r="EB41" s="107"/>
      <c r="EC41" s="107"/>
      <c r="ED41" s="107"/>
      <c r="EE41" s="107"/>
      <c r="EF41" s="107"/>
      <c r="EG41" s="107"/>
      <c r="EH41" s="107"/>
      <c r="EI41" s="107"/>
      <c r="EJ41" s="107"/>
      <c r="EK41" s="107"/>
      <c r="EL41" s="107"/>
      <c r="EM41" s="107"/>
      <c r="EN41" s="107"/>
      <c r="EO41" s="107"/>
      <c r="EP41" s="107"/>
      <c r="EQ41" s="107"/>
      <c r="ER41" s="107"/>
      <c r="ES41" s="107"/>
      <c r="ET41" s="107"/>
      <c r="EU41" s="107"/>
      <c r="EV41" s="107"/>
      <c r="EW41" s="107"/>
      <c r="EX41" s="107"/>
      <c r="EY41" s="107"/>
      <c r="EZ41" s="107"/>
      <c r="FA41" s="107"/>
      <c r="FB41" s="107"/>
      <c r="FC41" s="107"/>
      <c r="FD41" s="107"/>
      <c r="FE41" s="107"/>
      <c r="FF41" s="107"/>
      <c r="FG41" s="107"/>
      <c r="FH41" s="107"/>
      <c r="FI41" s="107"/>
      <c r="FJ41" s="107"/>
      <c r="FK41" s="107"/>
      <c r="FL41" s="107"/>
      <c r="FM41" s="107"/>
      <c r="FN41" s="107"/>
      <c r="FO41" s="107"/>
      <c r="FP41" s="107"/>
      <c r="FQ41" s="107"/>
      <c r="FR41" s="107"/>
      <c r="FS41" s="107"/>
      <c r="FT41" s="107"/>
      <c r="FU41" s="107"/>
    </row>
    <row r="42" spans="1:177" s="108" customFormat="1" ht="16.5">
      <c r="A42" s="100"/>
      <c r="B42" s="148" t="str">
        <f>+Configuración!B48</f>
        <v>D-TradeRepublicCrypto</v>
      </c>
      <c r="C42" s="153">
        <f>+Movimientos!D35</f>
        <v>4931</v>
      </c>
      <c r="D42" s="150">
        <f>+C42/$C$2</f>
        <v>6.3602555901277639E-3</v>
      </c>
      <c r="E42" s="154">
        <f>+C42</f>
        <v>4931</v>
      </c>
      <c r="F42" s="150">
        <f>+E42/$E$2</f>
        <v>1.1248172856245043E-2</v>
      </c>
      <c r="G42" s="154" t="s">
        <v>785</v>
      </c>
      <c r="H42" s="155" t="s">
        <v>785</v>
      </c>
      <c r="I42" s="106"/>
      <c r="J42" s="24"/>
      <c r="K42" s="24"/>
      <c r="L42" s="24"/>
      <c r="M42" s="24"/>
      <c r="N42" s="24"/>
      <c r="O42" s="24"/>
      <c r="P42" s="107"/>
      <c r="Q42" s="107"/>
      <c r="R42" s="107"/>
      <c r="S42" s="107"/>
      <c r="T42" s="107"/>
      <c r="U42" s="107"/>
      <c r="V42" s="107"/>
      <c r="W42" s="107"/>
      <c r="X42" s="107"/>
      <c r="Y42" s="107"/>
      <c r="Z42" s="107"/>
      <c r="AA42" s="107"/>
      <c r="AB42" s="107"/>
      <c r="AC42" s="107"/>
      <c r="AD42" s="107"/>
      <c r="AE42" s="107"/>
      <c r="AF42" s="107"/>
      <c r="AG42" s="107"/>
      <c r="AH42" s="107"/>
      <c r="AI42" s="107"/>
      <c r="AJ42" s="107"/>
      <c r="AK42" s="107"/>
      <c r="AL42" s="107"/>
      <c r="AM42" s="107"/>
      <c r="AN42" s="107"/>
      <c r="AO42" s="107"/>
      <c r="AP42" s="107"/>
      <c r="AQ42" s="107"/>
      <c r="AR42" s="107"/>
      <c r="AS42" s="107"/>
      <c r="AT42" s="107"/>
      <c r="AU42" s="107"/>
      <c r="AV42" s="107"/>
      <c r="AW42" s="107"/>
      <c r="AX42" s="107"/>
      <c r="AY42" s="107"/>
      <c r="AZ42" s="107"/>
      <c r="BA42" s="107"/>
      <c r="BB42" s="107"/>
      <c r="BC42" s="107"/>
      <c r="BD42" s="107"/>
      <c r="BE42" s="107"/>
      <c r="BF42" s="107"/>
      <c r="BG42" s="107"/>
      <c r="BH42" s="107"/>
      <c r="BI42" s="107"/>
      <c r="BJ42" s="107"/>
      <c r="BK42" s="107"/>
      <c r="BL42" s="107"/>
      <c r="BM42" s="107"/>
      <c r="BN42" s="107"/>
      <c r="BO42" s="107"/>
      <c r="BP42" s="107"/>
      <c r="BQ42" s="107"/>
      <c r="BR42" s="107"/>
      <c r="BS42" s="107"/>
      <c r="BT42" s="107"/>
      <c r="BU42" s="107"/>
      <c r="BV42" s="107"/>
      <c r="BW42" s="107"/>
      <c r="BX42" s="107"/>
      <c r="BY42" s="107"/>
      <c r="BZ42" s="107"/>
      <c r="CA42" s="107"/>
      <c r="CB42" s="107"/>
      <c r="CC42" s="107"/>
      <c r="CD42" s="107"/>
      <c r="CE42" s="107"/>
      <c r="CF42" s="107"/>
      <c r="CG42" s="107"/>
      <c r="CH42" s="107"/>
      <c r="CI42" s="107"/>
      <c r="CJ42" s="107"/>
      <c r="CK42" s="107"/>
      <c r="CL42" s="107"/>
      <c r="CM42" s="107"/>
      <c r="CN42" s="107"/>
      <c r="CO42" s="107"/>
      <c r="CP42" s="107"/>
      <c r="CQ42" s="107"/>
      <c r="CR42" s="107"/>
      <c r="CS42" s="107"/>
      <c r="CT42" s="107"/>
      <c r="CU42" s="107"/>
      <c r="CV42" s="107"/>
      <c r="CW42" s="107"/>
      <c r="CX42" s="107"/>
      <c r="CY42" s="107"/>
      <c r="CZ42" s="107"/>
      <c r="DA42" s="107"/>
      <c r="DB42" s="107"/>
      <c r="DC42" s="107"/>
      <c r="DD42" s="107"/>
      <c r="DE42" s="107"/>
      <c r="DF42" s="107"/>
      <c r="DG42" s="107"/>
      <c r="DH42" s="107"/>
      <c r="DI42" s="107"/>
      <c r="DJ42" s="107"/>
      <c r="DK42" s="107"/>
      <c r="DL42" s="107"/>
      <c r="DM42" s="107"/>
      <c r="DN42" s="107"/>
      <c r="DO42" s="107"/>
      <c r="DP42" s="107"/>
      <c r="DQ42" s="107"/>
      <c r="DR42" s="107"/>
      <c r="DS42" s="107"/>
      <c r="DT42" s="107"/>
      <c r="DU42" s="107"/>
      <c r="DV42" s="107"/>
      <c r="DW42" s="107"/>
      <c r="DX42" s="107"/>
      <c r="DY42" s="107"/>
      <c r="DZ42" s="107"/>
      <c r="EA42" s="107"/>
      <c r="EB42" s="107"/>
      <c r="EC42" s="107"/>
      <c r="ED42" s="107"/>
      <c r="EE42" s="107"/>
      <c r="EF42" s="107"/>
      <c r="EG42" s="107"/>
      <c r="EH42" s="107"/>
      <c r="EI42" s="107"/>
      <c r="EJ42" s="107"/>
      <c r="EK42" s="107"/>
      <c r="EL42" s="107"/>
      <c r="EM42" s="107"/>
      <c r="EN42" s="107"/>
      <c r="EO42" s="107"/>
      <c r="EP42" s="107"/>
      <c r="EQ42" s="107"/>
      <c r="ER42" s="107"/>
      <c r="ES42" s="107"/>
      <c r="ET42" s="107"/>
      <c r="EU42" s="107"/>
      <c r="EV42" s="107"/>
      <c r="EW42" s="107"/>
      <c r="EX42" s="107"/>
      <c r="EY42" s="107"/>
      <c r="EZ42" s="107"/>
      <c r="FA42" s="107"/>
      <c r="FB42" s="107"/>
      <c r="FC42" s="107"/>
      <c r="FD42" s="107"/>
      <c r="FE42" s="107"/>
      <c r="FF42" s="107"/>
      <c r="FG42" s="107"/>
      <c r="FH42" s="107"/>
      <c r="FI42" s="107"/>
      <c r="FJ42" s="107"/>
      <c r="FK42" s="107"/>
      <c r="FL42" s="107"/>
      <c r="FM42" s="107"/>
      <c r="FN42" s="107"/>
      <c r="FO42" s="107"/>
      <c r="FP42" s="107"/>
      <c r="FQ42" s="107"/>
      <c r="FR42" s="107"/>
      <c r="FS42" s="107"/>
      <c r="FT42" s="107"/>
      <c r="FU42" s="107"/>
    </row>
    <row r="43" spans="1:177" s="108" customFormat="1" ht="16.5">
      <c r="A43" s="100"/>
      <c r="B43" s="148" t="str">
        <f>+Configuración!B55</f>
        <v>N-Criptan</v>
      </c>
      <c r="C43" s="153">
        <f>+Movimientos!D42</f>
        <v>5000</v>
      </c>
      <c r="D43" s="150">
        <f>+C43/$C$2</f>
        <v>6.4492553134534213E-3</v>
      </c>
      <c r="E43" s="154" t="s">
        <v>785</v>
      </c>
      <c r="F43" s="155" t="s">
        <v>785</v>
      </c>
      <c r="G43" s="154">
        <f>+C43</f>
        <v>5000</v>
      </c>
      <c r="H43" s="155">
        <f>+G43/$G$2</f>
        <v>1.4841155160837029E-2</v>
      </c>
      <c r="I43" s="106"/>
      <c r="J43" s="24"/>
      <c r="K43" s="24"/>
      <c r="L43" s="24"/>
      <c r="M43" s="24"/>
      <c r="N43" s="24"/>
      <c r="O43" s="24"/>
      <c r="P43" s="107"/>
      <c r="Q43" s="107"/>
      <c r="R43" s="107"/>
      <c r="S43" s="107"/>
      <c r="T43" s="107"/>
      <c r="U43" s="107"/>
      <c r="V43" s="107"/>
      <c r="W43" s="107"/>
      <c r="X43" s="107"/>
      <c r="Y43" s="107"/>
      <c r="Z43" s="107"/>
      <c r="AA43" s="107"/>
      <c r="AB43" s="107"/>
      <c r="AC43" s="107"/>
      <c r="AD43" s="107"/>
      <c r="AE43" s="107"/>
      <c r="AF43" s="107"/>
      <c r="AG43" s="107"/>
      <c r="AH43" s="107"/>
      <c r="AI43" s="107"/>
      <c r="AJ43" s="107"/>
      <c r="AK43" s="107"/>
      <c r="AL43" s="107"/>
      <c r="AM43" s="107"/>
      <c r="AN43" s="107"/>
      <c r="AO43" s="107"/>
      <c r="AP43" s="107"/>
      <c r="AQ43" s="107"/>
      <c r="AR43" s="107"/>
      <c r="AS43" s="107"/>
      <c r="AT43" s="107"/>
      <c r="AU43" s="107"/>
      <c r="AV43" s="107"/>
      <c r="AW43" s="107"/>
      <c r="AX43" s="107"/>
      <c r="AY43" s="107"/>
      <c r="AZ43" s="107"/>
      <c r="BA43" s="107"/>
      <c r="BB43" s="107"/>
      <c r="BC43" s="107"/>
      <c r="BD43" s="107"/>
      <c r="BE43" s="107"/>
      <c r="BF43" s="107"/>
      <c r="BG43" s="107"/>
      <c r="BH43" s="107"/>
      <c r="BI43" s="107"/>
      <c r="BJ43" s="107"/>
      <c r="BK43" s="107"/>
      <c r="BL43" s="107"/>
      <c r="BM43" s="107"/>
      <c r="BN43" s="107"/>
      <c r="BO43" s="107"/>
      <c r="BP43" s="107"/>
      <c r="BQ43" s="107"/>
      <c r="BR43" s="107"/>
      <c r="BS43" s="107"/>
      <c r="BT43" s="107"/>
      <c r="BU43" s="107"/>
      <c r="BV43" s="107"/>
      <c r="BW43" s="107"/>
      <c r="BX43" s="107"/>
      <c r="BY43" s="107"/>
      <c r="BZ43" s="107"/>
      <c r="CA43" s="107"/>
      <c r="CB43" s="107"/>
      <c r="CC43" s="107"/>
      <c r="CD43" s="107"/>
      <c r="CE43" s="107"/>
      <c r="CF43" s="107"/>
      <c r="CG43" s="107"/>
      <c r="CH43" s="107"/>
      <c r="CI43" s="107"/>
      <c r="CJ43" s="107"/>
      <c r="CK43" s="107"/>
      <c r="CL43" s="107"/>
      <c r="CM43" s="107"/>
      <c r="CN43" s="107"/>
      <c r="CO43" s="107"/>
      <c r="CP43" s="107"/>
      <c r="CQ43" s="107"/>
      <c r="CR43" s="107"/>
      <c r="CS43" s="107"/>
      <c r="CT43" s="107"/>
      <c r="CU43" s="107"/>
      <c r="CV43" s="107"/>
      <c r="CW43" s="107"/>
      <c r="CX43" s="107"/>
      <c r="CY43" s="107"/>
      <c r="CZ43" s="107"/>
      <c r="DA43" s="107"/>
      <c r="DB43" s="107"/>
      <c r="DC43" s="107"/>
      <c r="DD43" s="107"/>
      <c r="DE43" s="107"/>
      <c r="DF43" s="107"/>
      <c r="DG43" s="107"/>
      <c r="DH43" s="107"/>
      <c r="DI43" s="107"/>
      <c r="DJ43" s="107"/>
      <c r="DK43" s="107"/>
      <c r="DL43" s="107"/>
      <c r="DM43" s="107"/>
      <c r="DN43" s="107"/>
      <c r="DO43" s="107"/>
      <c r="DP43" s="107"/>
      <c r="DQ43" s="107"/>
      <c r="DR43" s="107"/>
      <c r="DS43" s="107"/>
      <c r="DT43" s="107"/>
      <c r="DU43" s="107"/>
      <c r="DV43" s="107"/>
      <c r="DW43" s="107"/>
      <c r="DX43" s="107"/>
      <c r="DY43" s="107"/>
      <c r="DZ43" s="107"/>
      <c r="EA43" s="107"/>
      <c r="EB43" s="107"/>
      <c r="EC43" s="107"/>
      <c r="ED43" s="107"/>
      <c r="EE43" s="107"/>
      <c r="EF43" s="107"/>
      <c r="EG43" s="107"/>
      <c r="EH43" s="107"/>
      <c r="EI43" s="107"/>
      <c r="EJ43" s="107"/>
      <c r="EK43" s="107"/>
      <c r="EL43" s="107"/>
      <c r="EM43" s="107"/>
      <c r="EN43" s="107"/>
      <c r="EO43" s="107"/>
      <c r="EP43" s="107"/>
      <c r="EQ43" s="107"/>
      <c r="ER43" s="107"/>
      <c r="ES43" s="107"/>
      <c r="ET43" s="107"/>
      <c r="EU43" s="107"/>
      <c r="EV43" s="107"/>
      <c r="EW43" s="107"/>
      <c r="EX43" s="107"/>
      <c r="EY43" s="107"/>
      <c r="EZ43" s="107"/>
      <c r="FA43" s="107"/>
      <c r="FB43" s="107"/>
      <c r="FC43" s="107"/>
      <c r="FD43" s="107"/>
      <c r="FE43" s="107"/>
      <c r="FF43" s="107"/>
      <c r="FG43" s="107"/>
      <c r="FH43" s="107"/>
      <c r="FI43" s="107"/>
      <c r="FJ43" s="107"/>
      <c r="FK43" s="107"/>
      <c r="FL43" s="107"/>
      <c r="FM43" s="107"/>
      <c r="FN43" s="107"/>
      <c r="FO43" s="107"/>
      <c r="FP43" s="107"/>
      <c r="FQ43" s="107"/>
      <c r="FR43" s="107"/>
      <c r="FS43" s="107"/>
      <c r="FT43" s="107"/>
      <c r="FU43" s="107"/>
    </row>
    <row r="44" spans="1:177" s="108" customFormat="1" ht="16.5">
      <c r="A44" s="100"/>
      <c r="B44" s="156" t="s">
        <v>789</v>
      </c>
      <c r="C44" s="157">
        <f>SUM(C35:C43)</f>
        <v>14243.2</v>
      </c>
      <c r="D44" s="158">
        <f>SUM(D35:D43)</f>
        <v>1.8371606656115955E-2</v>
      </c>
      <c r="E44" s="157">
        <f>SUM(E35:E43)</f>
        <v>9243.2000000000007</v>
      </c>
      <c r="F44" s="158">
        <f>SUM(F35:F43)</f>
        <v>2.1084792404146055E-2</v>
      </c>
      <c r="G44" s="157">
        <f>SUM(G35:G43)</f>
        <v>5000</v>
      </c>
      <c r="H44" s="159">
        <f>SUM(H35:H43)</f>
        <v>1.4841155160837029E-2</v>
      </c>
      <c r="I44" s="106"/>
      <c r="J44" s="24"/>
      <c r="K44" s="24"/>
      <c r="L44" s="24"/>
      <c r="M44" s="24"/>
      <c r="N44" s="24"/>
      <c r="O44" s="24"/>
      <c r="P44" s="107"/>
      <c r="Q44" s="107"/>
      <c r="R44" s="107"/>
      <c r="S44" s="107"/>
      <c r="T44" s="107"/>
      <c r="U44" s="107"/>
      <c r="V44" s="107"/>
      <c r="W44" s="107"/>
      <c r="X44" s="107"/>
      <c r="Y44" s="107"/>
      <c r="Z44" s="107"/>
      <c r="AA44" s="107"/>
      <c r="AB44" s="107"/>
      <c r="AC44" s="107"/>
      <c r="AD44" s="107"/>
      <c r="AE44" s="107"/>
      <c r="AF44" s="107"/>
      <c r="AG44" s="107"/>
      <c r="AH44" s="107"/>
      <c r="AI44" s="107"/>
      <c r="AJ44" s="107"/>
      <c r="AK44" s="107"/>
      <c r="AL44" s="107"/>
      <c r="AM44" s="107"/>
      <c r="AN44" s="107"/>
      <c r="AO44" s="107"/>
      <c r="AP44" s="107"/>
      <c r="AQ44" s="107"/>
      <c r="AR44" s="107"/>
      <c r="AS44" s="107"/>
      <c r="AT44" s="107"/>
      <c r="AU44" s="107"/>
      <c r="AV44" s="107"/>
      <c r="AW44" s="107"/>
      <c r="AX44" s="107"/>
      <c r="AY44" s="107"/>
      <c r="AZ44" s="107"/>
      <c r="BA44" s="107"/>
      <c r="BB44" s="107"/>
      <c r="BC44" s="107"/>
      <c r="BD44" s="107"/>
      <c r="BE44" s="107"/>
      <c r="BF44" s="107"/>
      <c r="BG44" s="107"/>
      <c r="BH44" s="107"/>
      <c r="BI44" s="107"/>
      <c r="BJ44" s="107"/>
      <c r="BK44" s="107"/>
      <c r="BL44" s="107"/>
      <c r="BM44" s="107"/>
      <c r="BN44" s="107"/>
      <c r="BO44" s="107"/>
      <c r="BP44" s="107"/>
      <c r="BQ44" s="107"/>
      <c r="BR44" s="107"/>
      <c r="BS44" s="107"/>
      <c r="BT44" s="107"/>
      <c r="BU44" s="107"/>
      <c r="BV44" s="107"/>
      <c r="BW44" s="107"/>
      <c r="BX44" s="107"/>
      <c r="BY44" s="107"/>
      <c r="BZ44" s="107"/>
      <c r="CA44" s="107"/>
      <c r="CB44" s="107"/>
      <c r="CC44" s="107"/>
      <c r="CD44" s="107"/>
      <c r="CE44" s="107"/>
      <c r="CF44" s="107"/>
      <c r="CG44" s="107"/>
      <c r="CH44" s="107"/>
      <c r="CI44" s="107"/>
      <c r="CJ44" s="107"/>
      <c r="CK44" s="107"/>
      <c r="CL44" s="107"/>
      <c r="CM44" s="107"/>
      <c r="CN44" s="107"/>
      <c r="CO44" s="107"/>
      <c r="CP44" s="107"/>
      <c r="CQ44" s="107"/>
      <c r="CR44" s="107"/>
      <c r="CS44" s="107"/>
      <c r="CT44" s="107"/>
      <c r="CU44" s="107"/>
      <c r="CV44" s="107"/>
      <c r="CW44" s="107"/>
      <c r="CX44" s="107"/>
      <c r="CY44" s="107"/>
      <c r="CZ44" s="107"/>
      <c r="DA44" s="107"/>
      <c r="DB44" s="107"/>
      <c r="DC44" s="107"/>
      <c r="DD44" s="107"/>
      <c r="DE44" s="107"/>
      <c r="DF44" s="107"/>
      <c r="DG44" s="107"/>
      <c r="DH44" s="107"/>
      <c r="DI44" s="107"/>
      <c r="DJ44" s="107"/>
      <c r="DK44" s="107"/>
      <c r="DL44" s="107"/>
      <c r="DM44" s="107"/>
      <c r="DN44" s="107"/>
      <c r="DO44" s="107"/>
      <c r="DP44" s="107"/>
      <c r="DQ44" s="107"/>
      <c r="DR44" s="107"/>
      <c r="DS44" s="107"/>
      <c r="DT44" s="107"/>
      <c r="DU44" s="107"/>
      <c r="DV44" s="107"/>
      <c r="DW44" s="107"/>
      <c r="DX44" s="107"/>
      <c r="DY44" s="107"/>
      <c r="DZ44" s="107"/>
      <c r="EA44" s="107"/>
      <c r="EB44" s="107"/>
      <c r="EC44" s="107"/>
      <c r="ED44" s="107"/>
      <c r="EE44" s="107"/>
      <c r="EF44" s="107"/>
      <c r="EG44" s="107"/>
      <c r="EH44" s="107"/>
      <c r="EI44" s="107"/>
      <c r="EJ44" s="107"/>
      <c r="EK44" s="107"/>
      <c r="EL44" s="107"/>
      <c r="EM44" s="107"/>
      <c r="EN44" s="107"/>
      <c r="EO44" s="107"/>
      <c r="EP44" s="107"/>
      <c r="EQ44" s="107"/>
      <c r="ER44" s="107"/>
      <c r="ES44" s="107"/>
      <c r="ET44" s="107"/>
      <c r="EU44" s="107"/>
      <c r="EV44" s="107"/>
      <c r="EW44" s="107"/>
      <c r="EX44" s="107"/>
      <c r="EY44" s="107"/>
      <c r="EZ44" s="107"/>
      <c r="FA44" s="107"/>
      <c r="FB44" s="107"/>
      <c r="FC44" s="107"/>
      <c r="FD44" s="107"/>
      <c r="FE44" s="107"/>
      <c r="FF44" s="107"/>
      <c r="FG44" s="107"/>
      <c r="FH44" s="107"/>
      <c r="FI44" s="107"/>
      <c r="FJ44" s="107"/>
      <c r="FK44" s="107"/>
      <c r="FL44" s="107"/>
      <c r="FM44" s="107"/>
      <c r="FN44" s="107"/>
      <c r="FO44" s="107"/>
      <c r="FP44" s="107"/>
      <c r="FQ44" s="107"/>
      <c r="FR44" s="107"/>
      <c r="FS44" s="107"/>
      <c r="FT44" s="107"/>
      <c r="FU44" s="107"/>
    </row>
    <row r="45" spans="1:177" s="108" customFormat="1" ht="16.5">
      <c r="A45" s="100"/>
      <c r="B45" s="148" t="str">
        <f>+Configuración!B19</f>
        <v>D-Civislend</v>
      </c>
      <c r="C45" s="153">
        <f>+Movimientos!D6</f>
        <v>5300</v>
      </c>
      <c r="D45" s="150">
        <f>+C45/$C$2</f>
        <v>6.8362106322606263E-3</v>
      </c>
      <c r="E45" s="154">
        <f>+C45</f>
        <v>5300</v>
      </c>
      <c r="F45" s="150">
        <f>+E45/$E$2</f>
        <v>1.2089903901459892E-2</v>
      </c>
      <c r="G45" s="154" t="s">
        <v>785</v>
      </c>
      <c r="H45" s="155" t="s">
        <v>785</v>
      </c>
      <c r="I45" s="106"/>
      <c r="J45" s="24"/>
      <c r="K45" s="24"/>
      <c r="L45" s="24"/>
      <c r="M45" s="24"/>
      <c r="N45" s="24"/>
      <c r="O45" s="24"/>
      <c r="P45" s="107"/>
      <c r="Q45" s="107"/>
      <c r="R45" s="107"/>
      <c r="S45" s="107"/>
      <c r="T45" s="107"/>
      <c r="U45" s="107"/>
      <c r="V45" s="107"/>
      <c r="W45" s="107"/>
      <c r="X45" s="107"/>
      <c r="Y45" s="107"/>
      <c r="Z45" s="107"/>
      <c r="AA45" s="107"/>
      <c r="AB45" s="107"/>
      <c r="AC45" s="107"/>
      <c r="AD45" s="107"/>
      <c r="AE45" s="107"/>
      <c r="AF45" s="107"/>
      <c r="AG45" s="107"/>
      <c r="AH45" s="107"/>
      <c r="AI45" s="107"/>
      <c r="AJ45" s="107"/>
      <c r="AK45" s="107"/>
      <c r="AL45" s="107"/>
      <c r="AM45" s="107"/>
      <c r="AN45" s="107"/>
      <c r="AO45" s="107"/>
      <c r="AP45" s="107"/>
      <c r="AQ45" s="107"/>
      <c r="AR45" s="107"/>
      <c r="AS45" s="107"/>
      <c r="AT45" s="107"/>
      <c r="AU45" s="107"/>
      <c r="AV45" s="107"/>
      <c r="AW45" s="107"/>
      <c r="AX45" s="107"/>
      <c r="AY45" s="107"/>
      <c r="AZ45" s="107"/>
      <c r="BA45" s="107"/>
      <c r="BB45" s="107"/>
      <c r="BC45" s="107"/>
      <c r="BD45" s="107"/>
      <c r="BE45" s="107"/>
      <c r="BF45" s="107"/>
      <c r="BG45" s="107"/>
      <c r="BH45" s="107"/>
      <c r="BI45" s="107"/>
      <c r="BJ45" s="107"/>
      <c r="BK45" s="107"/>
      <c r="BL45" s="107"/>
      <c r="BM45" s="107"/>
      <c r="BN45" s="107"/>
      <c r="BO45" s="107"/>
      <c r="BP45" s="107"/>
      <c r="BQ45" s="107"/>
      <c r="BR45" s="107"/>
      <c r="BS45" s="107"/>
      <c r="BT45" s="107"/>
      <c r="BU45" s="107"/>
      <c r="BV45" s="107"/>
      <c r="BW45" s="107"/>
      <c r="BX45" s="107"/>
      <c r="BY45" s="107"/>
      <c r="BZ45" s="107"/>
      <c r="CA45" s="107"/>
      <c r="CB45" s="107"/>
      <c r="CC45" s="107"/>
      <c r="CD45" s="107"/>
      <c r="CE45" s="107"/>
      <c r="CF45" s="107"/>
      <c r="CG45" s="107"/>
      <c r="CH45" s="107"/>
      <c r="CI45" s="107"/>
      <c r="CJ45" s="107"/>
      <c r="CK45" s="107"/>
      <c r="CL45" s="107"/>
      <c r="CM45" s="107"/>
      <c r="CN45" s="107"/>
      <c r="CO45" s="107"/>
      <c r="CP45" s="107"/>
      <c r="CQ45" s="107"/>
      <c r="CR45" s="107"/>
      <c r="CS45" s="107"/>
      <c r="CT45" s="107"/>
      <c r="CU45" s="107"/>
      <c r="CV45" s="107"/>
      <c r="CW45" s="107"/>
      <c r="CX45" s="107"/>
      <c r="CY45" s="107"/>
      <c r="CZ45" s="107"/>
      <c r="DA45" s="107"/>
      <c r="DB45" s="107"/>
      <c r="DC45" s="107"/>
      <c r="DD45" s="107"/>
      <c r="DE45" s="107"/>
      <c r="DF45" s="107"/>
      <c r="DG45" s="107"/>
      <c r="DH45" s="107"/>
      <c r="DI45" s="107"/>
      <c r="DJ45" s="107"/>
      <c r="DK45" s="107"/>
      <c r="DL45" s="107"/>
      <c r="DM45" s="107"/>
      <c r="DN45" s="107"/>
      <c r="DO45" s="107"/>
      <c r="DP45" s="107"/>
      <c r="DQ45" s="107"/>
      <c r="DR45" s="107"/>
      <c r="DS45" s="107"/>
      <c r="DT45" s="107"/>
      <c r="DU45" s="107"/>
      <c r="DV45" s="107"/>
      <c r="DW45" s="107"/>
      <c r="DX45" s="107"/>
      <c r="DY45" s="107"/>
      <c r="DZ45" s="107"/>
      <c r="EA45" s="107"/>
      <c r="EB45" s="107"/>
      <c r="EC45" s="107"/>
      <c r="ED45" s="107"/>
      <c r="EE45" s="107"/>
      <c r="EF45" s="107"/>
      <c r="EG45" s="107"/>
      <c r="EH45" s="107"/>
      <c r="EI45" s="107"/>
      <c r="EJ45" s="107"/>
      <c r="EK45" s="107"/>
      <c r="EL45" s="107"/>
      <c r="EM45" s="107"/>
      <c r="EN45" s="107"/>
      <c r="EO45" s="107"/>
      <c r="EP45" s="107"/>
      <c r="EQ45" s="107"/>
      <c r="ER45" s="107"/>
      <c r="ES45" s="107"/>
      <c r="ET45" s="107"/>
      <c r="EU45" s="107"/>
      <c r="EV45" s="107"/>
      <c r="EW45" s="107"/>
      <c r="EX45" s="107"/>
      <c r="EY45" s="107"/>
      <c r="EZ45" s="107"/>
      <c r="FA45" s="107"/>
      <c r="FB45" s="107"/>
      <c r="FC45" s="107"/>
      <c r="FD45" s="107"/>
      <c r="FE45" s="107"/>
      <c r="FF45" s="107"/>
      <c r="FG45" s="107"/>
      <c r="FH45" s="107"/>
      <c r="FI45" s="107"/>
      <c r="FJ45" s="107"/>
      <c r="FK45" s="107"/>
      <c r="FL45" s="107"/>
      <c r="FM45" s="107"/>
      <c r="FN45" s="107"/>
      <c r="FO45" s="107"/>
      <c r="FP45" s="107"/>
      <c r="FQ45" s="107"/>
      <c r="FR45" s="107"/>
      <c r="FS45" s="107"/>
      <c r="FT45" s="107"/>
      <c r="FU45" s="107"/>
    </row>
    <row r="46" spans="1:177" s="108" customFormat="1" ht="16.5">
      <c r="A46" s="100"/>
      <c r="B46" s="148" t="str">
        <f>+Configuración!B26</f>
        <v>D-Hausera</v>
      </c>
      <c r="C46" s="153">
        <f>+Movimientos!D13</f>
        <v>500</v>
      </c>
      <c r="D46" s="150">
        <f>+C46/$C$2</f>
        <v>6.4492553134534215E-4</v>
      </c>
      <c r="E46" s="154">
        <f>+C46</f>
        <v>500</v>
      </c>
      <c r="F46" s="150">
        <f>+E46/$E$2</f>
        <v>1.1405569718358388E-3</v>
      </c>
      <c r="G46" s="154" t="s">
        <v>785</v>
      </c>
      <c r="H46" s="155" t="s">
        <v>785</v>
      </c>
      <c r="I46" s="106"/>
      <c r="J46" s="24"/>
      <c r="K46" s="24"/>
      <c r="L46" s="24"/>
      <c r="M46" s="24"/>
      <c r="N46" s="24"/>
      <c r="O46" s="24"/>
      <c r="P46" s="107"/>
      <c r="Q46" s="107"/>
      <c r="R46" s="107"/>
      <c r="S46" s="107"/>
      <c r="T46" s="107"/>
      <c r="U46" s="107"/>
      <c r="V46" s="107"/>
      <c r="W46" s="107"/>
      <c r="X46" s="107"/>
      <c r="Y46" s="107"/>
      <c r="Z46" s="107"/>
      <c r="AA46" s="107"/>
      <c r="AB46" s="107"/>
      <c r="AC46" s="107"/>
      <c r="AD46" s="107"/>
      <c r="AE46" s="107"/>
      <c r="AF46" s="107"/>
      <c r="AG46" s="107"/>
      <c r="AH46" s="107"/>
      <c r="AI46" s="107"/>
      <c r="AJ46" s="107"/>
      <c r="AK46" s="107"/>
      <c r="AL46" s="107"/>
      <c r="AM46" s="107"/>
      <c r="AN46" s="107"/>
      <c r="AO46" s="107"/>
      <c r="AP46" s="107"/>
      <c r="AQ46" s="107"/>
      <c r="AR46" s="107"/>
      <c r="AS46" s="107"/>
      <c r="AT46" s="107"/>
      <c r="AU46" s="107"/>
      <c r="AV46" s="107"/>
      <c r="AW46" s="107"/>
      <c r="AX46" s="107"/>
      <c r="AY46" s="107"/>
      <c r="AZ46" s="107"/>
      <c r="BA46" s="107"/>
      <c r="BB46" s="107"/>
      <c r="BC46" s="107"/>
      <c r="BD46" s="107"/>
      <c r="BE46" s="107"/>
      <c r="BF46" s="107"/>
      <c r="BG46" s="107"/>
      <c r="BH46" s="107"/>
      <c r="BI46" s="107"/>
      <c r="BJ46" s="107"/>
      <c r="BK46" s="107"/>
      <c r="BL46" s="107"/>
      <c r="BM46" s="107"/>
      <c r="BN46" s="107"/>
      <c r="BO46" s="107"/>
      <c r="BP46" s="107"/>
      <c r="BQ46" s="107"/>
      <c r="BR46" s="107"/>
      <c r="BS46" s="107"/>
      <c r="BT46" s="107"/>
      <c r="BU46" s="107"/>
      <c r="BV46" s="107"/>
      <c r="BW46" s="107"/>
      <c r="BX46" s="107"/>
      <c r="BY46" s="107"/>
      <c r="BZ46" s="107"/>
      <c r="CA46" s="107"/>
      <c r="CB46" s="107"/>
      <c r="CC46" s="107"/>
      <c r="CD46" s="107"/>
      <c r="CE46" s="107"/>
      <c r="CF46" s="107"/>
      <c r="CG46" s="107"/>
      <c r="CH46" s="107"/>
      <c r="CI46" s="107"/>
      <c r="CJ46" s="107"/>
      <c r="CK46" s="107"/>
      <c r="CL46" s="107"/>
      <c r="CM46" s="107"/>
      <c r="CN46" s="107"/>
      <c r="CO46" s="107"/>
      <c r="CP46" s="107"/>
      <c r="CQ46" s="107"/>
      <c r="CR46" s="107"/>
      <c r="CS46" s="107"/>
      <c r="CT46" s="107"/>
      <c r="CU46" s="107"/>
      <c r="CV46" s="107"/>
      <c r="CW46" s="107"/>
      <c r="CX46" s="107"/>
      <c r="CY46" s="107"/>
      <c r="CZ46" s="107"/>
      <c r="DA46" s="107"/>
      <c r="DB46" s="107"/>
      <c r="DC46" s="107"/>
      <c r="DD46" s="107"/>
      <c r="DE46" s="107"/>
      <c r="DF46" s="107"/>
      <c r="DG46" s="107"/>
      <c r="DH46" s="107"/>
      <c r="DI46" s="107"/>
      <c r="DJ46" s="107"/>
      <c r="DK46" s="107"/>
      <c r="DL46" s="107"/>
      <c r="DM46" s="107"/>
      <c r="DN46" s="107"/>
      <c r="DO46" s="107"/>
      <c r="DP46" s="107"/>
      <c r="DQ46" s="107"/>
      <c r="DR46" s="107"/>
      <c r="DS46" s="107"/>
      <c r="DT46" s="107"/>
      <c r="DU46" s="107"/>
      <c r="DV46" s="107"/>
      <c r="DW46" s="107"/>
      <c r="DX46" s="107"/>
      <c r="DY46" s="107"/>
      <c r="DZ46" s="107"/>
      <c r="EA46" s="107"/>
      <c r="EB46" s="107"/>
      <c r="EC46" s="107"/>
      <c r="ED46" s="107"/>
      <c r="EE46" s="107"/>
      <c r="EF46" s="107"/>
      <c r="EG46" s="107"/>
      <c r="EH46" s="107"/>
      <c r="EI46" s="107"/>
      <c r="EJ46" s="107"/>
      <c r="EK46" s="107"/>
      <c r="EL46" s="107"/>
      <c r="EM46" s="107"/>
      <c r="EN46" s="107"/>
      <c r="EO46" s="107"/>
      <c r="EP46" s="107"/>
      <c r="EQ46" s="107"/>
      <c r="ER46" s="107"/>
      <c r="ES46" s="107"/>
      <c r="ET46" s="107"/>
      <c r="EU46" s="107"/>
      <c r="EV46" s="107"/>
      <c r="EW46" s="107"/>
      <c r="EX46" s="107"/>
      <c r="EY46" s="107"/>
      <c r="EZ46" s="107"/>
      <c r="FA46" s="107"/>
      <c r="FB46" s="107"/>
      <c r="FC46" s="107"/>
      <c r="FD46" s="107"/>
      <c r="FE46" s="107"/>
      <c r="FF46" s="107"/>
      <c r="FG46" s="107"/>
      <c r="FH46" s="107"/>
      <c r="FI46" s="107"/>
      <c r="FJ46" s="107"/>
      <c r="FK46" s="107"/>
      <c r="FL46" s="107"/>
      <c r="FM46" s="107"/>
      <c r="FN46" s="107"/>
      <c r="FO46" s="107"/>
      <c r="FP46" s="107"/>
      <c r="FQ46" s="107"/>
      <c r="FR46" s="107"/>
      <c r="FS46" s="107"/>
      <c r="FT46" s="107"/>
      <c r="FU46" s="107"/>
    </row>
    <row r="47" spans="1:177" s="108" customFormat="1" ht="16.5">
      <c r="A47" s="100"/>
      <c r="B47" s="148" t="str">
        <f>+Configuración!B27</f>
        <v>D-Housers</v>
      </c>
      <c r="C47" s="153">
        <f>+Movimientos!D14</f>
        <v>1916</v>
      </c>
      <c r="D47" s="150">
        <f>+C47/$C$2</f>
        <v>2.4713546361153512E-3</v>
      </c>
      <c r="E47" s="154">
        <f>+C47</f>
        <v>1916</v>
      </c>
      <c r="F47" s="150">
        <f>+E47/$E$2</f>
        <v>4.3706143160749346E-3</v>
      </c>
      <c r="G47" s="154" t="s">
        <v>785</v>
      </c>
      <c r="H47" s="155" t="s">
        <v>785</v>
      </c>
      <c r="I47" s="106"/>
      <c r="J47" s="24"/>
      <c r="K47" s="24"/>
      <c r="L47" s="24"/>
      <c r="M47" s="24"/>
      <c r="N47" s="24"/>
      <c r="O47" s="24"/>
      <c r="P47" s="107"/>
      <c r="Q47" s="107"/>
      <c r="R47" s="107"/>
      <c r="S47" s="107"/>
      <c r="T47" s="107"/>
      <c r="U47" s="107"/>
      <c r="V47" s="107"/>
      <c r="W47" s="107"/>
      <c r="X47" s="107"/>
      <c r="Y47" s="107"/>
      <c r="Z47" s="107"/>
      <c r="AA47" s="107"/>
      <c r="AB47" s="107"/>
      <c r="AC47" s="107"/>
      <c r="AD47" s="107"/>
      <c r="AE47" s="107"/>
      <c r="AF47" s="107"/>
      <c r="AG47" s="107"/>
      <c r="AH47" s="107"/>
      <c r="AI47" s="107"/>
      <c r="AJ47" s="107"/>
      <c r="AK47" s="107"/>
      <c r="AL47" s="107"/>
      <c r="AM47" s="107"/>
      <c r="AN47" s="107"/>
      <c r="AO47" s="107"/>
      <c r="AP47" s="107"/>
      <c r="AQ47" s="107"/>
      <c r="AR47" s="107"/>
      <c r="AS47" s="107"/>
      <c r="AT47" s="107"/>
      <c r="AU47" s="107"/>
      <c r="AV47" s="107"/>
      <c r="AW47" s="107"/>
      <c r="AX47" s="107"/>
      <c r="AY47" s="107"/>
      <c r="AZ47" s="107"/>
      <c r="BA47" s="107"/>
      <c r="BB47" s="107"/>
      <c r="BC47" s="107"/>
      <c r="BD47" s="107"/>
      <c r="BE47" s="107"/>
      <c r="BF47" s="107"/>
      <c r="BG47" s="107"/>
      <c r="BH47" s="107"/>
      <c r="BI47" s="107"/>
      <c r="BJ47" s="107"/>
      <c r="BK47" s="107"/>
      <c r="BL47" s="107"/>
      <c r="BM47" s="107"/>
      <c r="BN47" s="107"/>
      <c r="BO47" s="107"/>
      <c r="BP47" s="107"/>
      <c r="BQ47" s="107"/>
      <c r="BR47" s="107"/>
      <c r="BS47" s="107"/>
      <c r="BT47" s="107"/>
      <c r="BU47" s="107"/>
      <c r="BV47" s="107"/>
      <c r="BW47" s="107"/>
      <c r="BX47" s="107"/>
      <c r="BY47" s="107"/>
      <c r="BZ47" s="107"/>
      <c r="CA47" s="107"/>
      <c r="CB47" s="107"/>
      <c r="CC47" s="107"/>
      <c r="CD47" s="107"/>
      <c r="CE47" s="107"/>
      <c r="CF47" s="107"/>
      <c r="CG47" s="107"/>
      <c r="CH47" s="107"/>
      <c r="CI47" s="107"/>
      <c r="CJ47" s="107"/>
      <c r="CK47" s="107"/>
      <c r="CL47" s="107"/>
      <c r="CM47" s="107"/>
      <c r="CN47" s="107"/>
      <c r="CO47" s="107"/>
      <c r="CP47" s="107"/>
      <c r="CQ47" s="107"/>
      <c r="CR47" s="107"/>
      <c r="CS47" s="107"/>
      <c r="CT47" s="107"/>
      <c r="CU47" s="107"/>
      <c r="CV47" s="107"/>
      <c r="CW47" s="107"/>
      <c r="CX47" s="107"/>
      <c r="CY47" s="107"/>
      <c r="CZ47" s="107"/>
      <c r="DA47" s="107"/>
      <c r="DB47" s="107"/>
      <c r="DC47" s="107"/>
      <c r="DD47" s="107"/>
      <c r="DE47" s="107"/>
      <c r="DF47" s="107"/>
      <c r="DG47" s="107"/>
      <c r="DH47" s="107"/>
      <c r="DI47" s="107"/>
      <c r="DJ47" s="107"/>
      <c r="DK47" s="107"/>
      <c r="DL47" s="107"/>
      <c r="DM47" s="107"/>
      <c r="DN47" s="107"/>
      <c r="DO47" s="107"/>
      <c r="DP47" s="107"/>
      <c r="DQ47" s="107"/>
      <c r="DR47" s="107"/>
      <c r="DS47" s="107"/>
      <c r="DT47" s="107"/>
      <c r="DU47" s="107"/>
      <c r="DV47" s="107"/>
      <c r="DW47" s="107"/>
      <c r="DX47" s="107"/>
      <c r="DY47" s="107"/>
      <c r="DZ47" s="107"/>
      <c r="EA47" s="107"/>
      <c r="EB47" s="107"/>
      <c r="EC47" s="107"/>
      <c r="ED47" s="107"/>
      <c r="EE47" s="107"/>
      <c r="EF47" s="107"/>
      <c r="EG47" s="107"/>
      <c r="EH47" s="107"/>
      <c r="EI47" s="107"/>
      <c r="EJ47" s="107"/>
      <c r="EK47" s="107"/>
      <c r="EL47" s="107"/>
      <c r="EM47" s="107"/>
      <c r="EN47" s="107"/>
      <c r="EO47" s="107"/>
      <c r="EP47" s="107"/>
      <c r="EQ47" s="107"/>
      <c r="ER47" s="107"/>
      <c r="ES47" s="107"/>
      <c r="ET47" s="107"/>
      <c r="EU47" s="107"/>
      <c r="EV47" s="107"/>
      <c r="EW47" s="107"/>
      <c r="EX47" s="107"/>
      <c r="EY47" s="107"/>
      <c r="EZ47" s="107"/>
      <c r="FA47" s="107"/>
      <c r="FB47" s="107"/>
      <c r="FC47" s="107"/>
      <c r="FD47" s="107"/>
      <c r="FE47" s="107"/>
      <c r="FF47" s="107"/>
      <c r="FG47" s="107"/>
      <c r="FH47" s="107"/>
      <c r="FI47" s="107"/>
      <c r="FJ47" s="107"/>
      <c r="FK47" s="107"/>
      <c r="FL47" s="107"/>
      <c r="FM47" s="107"/>
      <c r="FN47" s="107"/>
      <c r="FO47" s="107"/>
      <c r="FP47" s="107"/>
      <c r="FQ47" s="107"/>
      <c r="FR47" s="107"/>
      <c r="FS47" s="107"/>
      <c r="FT47" s="107"/>
      <c r="FU47" s="107"/>
    </row>
    <row r="48" spans="1:177" s="108" customFormat="1" ht="16.5">
      <c r="A48" s="100"/>
      <c r="B48" s="148" t="str">
        <f>+Configuración!B53</f>
        <v>D-Urbanitae</v>
      </c>
      <c r="C48" s="153">
        <f>+Movimientos!D40</f>
        <v>1625</v>
      </c>
      <c r="D48" s="150">
        <f>+C48/$C$2</f>
        <v>2.0960079768723621E-3</v>
      </c>
      <c r="E48" s="154">
        <f>+C48</f>
        <v>1625</v>
      </c>
      <c r="F48" s="150">
        <f>+E48/$E$2</f>
        <v>3.7068101584664765E-3</v>
      </c>
      <c r="G48" s="154" t="s">
        <v>785</v>
      </c>
      <c r="H48" s="155" t="s">
        <v>785</v>
      </c>
      <c r="I48" s="106"/>
      <c r="J48" s="24"/>
      <c r="K48" s="24"/>
      <c r="L48" s="24"/>
      <c r="M48" s="24"/>
      <c r="N48" s="24"/>
      <c r="O48" s="24"/>
      <c r="P48" s="107"/>
      <c r="Q48" s="107"/>
      <c r="R48" s="107"/>
      <c r="S48" s="107"/>
      <c r="T48" s="107"/>
      <c r="U48" s="107"/>
      <c r="V48" s="107"/>
      <c r="W48" s="107"/>
      <c r="X48" s="107"/>
      <c r="Y48" s="107"/>
      <c r="Z48" s="107"/>
      <c r="AA48" s="107"/>
      <c r="AB48" s="107"/>
      <c r="AC48" s="107"/>
      <c r="AD48" s="107"/>
      <c r="AE48" s="107"/>
      <c r="AF48" s="107"/>
      <c r="AG48" s="107"/>
      <c r="AH48" s="107"/>
      <c r="AI48" s="107"/>
      <c r="AJ48" s="107"/>
      <c r="AK48" s="107"/>
      <c r="AL48" s="107"/>
      <c r="AM48" s="107"/>
      <c r="AN48" s="107"/>
      <c r="AO48" s="107"/>
      <c r="AP48" s="107"/>
      <c r="AQ48" s="107"/>
      <c r="AR48" s="107"/>
      <c r="AS48" s="107"/>
      <c r="AT48" s="107"/>
      <c r="AU48" s="107"/>
      <c r="AV48" s="107"/>
      <c r="AW48" s="107"/>
      <c r="AX48" s="107"/>
      <c r="AY48" s="107"/>
      <c r="AZ48" s="107"/>
      <c r="BA48" s="107"/>
      <c r="BB48" s="107"/>
      <c r="BC48" s="107"/>
      <c r="BD48" s="107"/>
      <c r="BE48" s="107"/>
      <c r="BF48" s="107"/>
      <c r="BG48" s="107"/>
      <c r="BH48" s="107"/>
      <c r="BI48" s="107"/>
      <c r="BJ48" s="107"/>
      <c r="BK48" s="107"/>
      <c r="BL48" s="107"/>
      <c r="BM48" s="107"/>
      <c r="BN48" s="107"/>
      <c r="BO48" s="107"/>
      <c r="BP48" s="107"/>
      <c r="BQ48" s="107"/>
      <c r="BR48" s="107"/>
      <c r="BS48" s="107"/>
      <c r="BT48" s="107"/>
      <c r="BU48" s="107"/>
      <c r="BV48" s="107"/>
      <c r="BW48" s="107"/>
      <c r="BX48" s="107"/>
      <c r="BY48" s="107"/>
      <c r="BZ48" s="107"/>
      <c r="CA48" s="107"/>
      <c r="CB48" s="107"/>
      <c r="CC48" s="107"/>
      <c r="CD48" s="107"/>
      <c r="CE48" s="107"/>
      <c r="CF48" s="107"/>
      <c r="CG48" s="107"/>
      <c r="CH48" s="107"/>
      <c r="CI48" s="107"/>
      <c r="CJ48" s="107"/>
      <c r="CK48" s="107"/>
      <c r="CL48" s="107"/>
      <c r="CM48" s="107"/>
      <c r="CN48" s="107"/>
      <c r="CO48" s="107"/>
      <c r="CP48" s="107"/>
      <c r="CQ48" s="107"/>
      <c r="CR48" s="107"/>
      <c r="CS48" s="107"/>
      <c r="CT48" s="107"/>
      <c r="CU48" s="107"/>
      <c r="CV48" s="107"/>
      <c r="CW48" s="107"/>
      <c r="CX48" s="107"/>
      <c r="CY48" s="107"/>
      <c r="CZ48" s="107"/>
      <c r="DA48" s="107"/>
      <c r="DB48" s="107"/>
      <c r="DC48" s="107"/>
      <c r="DD48" s="107"/>
      <c r="DE48" s="107"/>
      <c r="DF48" s="107"/>
      <c r="DG48" s="107"/>
      <c r="DH48" s="107"/>
      <c r="DI48" s="107"/>
      <c r="DJ48" s="107"/>
      <c r="DK48" s="107"/>
      <c r="DL48" s="107"/>
      <c r="DM48" s="107"/>
      <c r="DN48" s="107"/>
      <c r="DO48" s="107"/>
      <c r="DP48" s="107"/>
      <c r="DQ48" s="107"/>
      <c r="DR48" s="107"/>
      <c r="DS48" s="107"/>
      <c r="DT48" s="107"/>
      <c r="DU48" s="107"/>
      <c r="DV48" s="107"/>
      <c r="DW48" s="107"/>
      <c r="DX48" s="107"/>
      <c r="DY48" s="107"/>
      <c r="DZ48" s="107"/>
      <c r="EA48" s="107"/>
      <c r="EB48" s="107"/>
      <c r="EC48" s="107"/>
      <c r="ED48" s="107"/>
      <c r="EE48" s="107"/>
      <c r="EF48" s="107"/>
      <c r="EG48" s="107"/>
      <c r="EH48" s="107"/>
      <c r="EI48" s="107"/>
      <c r="EJ48" s="107"/>
      <c r="EK48" s="107"/>
      <c r="EL48" s="107"/>
      <c r="EM48" s="107"/>
      <c r="EN48" s="107"/>
      <c r="EO48" s="107"/>
      <c r="EP48" s="107"/>
      <c r="EQ48" s="107"/>
      <c r="ER48" s="107"/>
      <c r="ES48" s="107"/>
      <c r="ET48" s="107"/>
      <c r="EU48" s="107"/>
      <c r="EV48" s="107"/>
      <c r="EW48" s="107"/>
      <c r="EX48" s="107"/>
      <c r="EY48" s="107"/>
      <c r="EZ48" s="107"/>
      <c r="FA48" s="107"/>
      <c r="FB48" s="107"/>
      <c r="FC48" s="107"/>
      <c r="FD48" s="107"/>
      <c r="FE48" s="107"/>
      <c r="FF48" s="107"/>
      <c r="FG48" s="107"/>
      <c r="FH48" s="107"/>
      <c r="FI48" s="107"/>
      <c r="FJ48" s="107"/>
      <c r="FK48" s="107"/>
      <c r="FL48" s="107"/>
      <c r="FM48" s="107"/>
      <c r="FN48" s="107"/>
      <c r="FO48" s="107"/>
      <c r="FP48" s="107"/>
      <c r="FQ48" s="107"/>
      <c r="FR48" s="107"/>
      <c r="FS48" s="107"/>
      <c r="FT48" s="107"/>
      <c r="FU48" s="107"/>
    </row>
    <row r="49" spans="1:177" s="108" customFormat="1" ht="16.5">
      <c r="A49" s="100"/>
      <c r="B49" s="148" t="str">
        <f>+Configuración!B54</f>
        <v>N-Civislend</v>
      </c>
      <c r="C49" s="153">
        <f>+Movimientos!D41</f>
        <v>3500</v>
      </c>
      <c r="D49" s="150">
        <f>+C49/$C$2</f>
        <v>4.5144787194173952E-3</v>
      </c>
      <c r="E49" s="154" t="s">
        <v>785</v>
      </c>
      <c r="F49" s="155" t="s">
        <v>785</v>
      </c>
      <c r="G49" s="154">
        <f>+C49</f>
        <v>3500</v>
      </c>
      <c r="H49" s="155">
        <f>+G49/$G$2</f>
        <v>1.0388808612585921E-2</v>
      </c>
      <c r="I49" s="106"/>
      <c r="J49" s="24"/>
      <c r="K49" s="24"/>
      <c r="L49" s="24"/>
      <c r="M49" s="24"/>
      <c r="N49" s="24"/>
      <c r="O49" s="24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  <c r="AG49" s="107"/>
      <c r="AH49" s="107"/>
      <c r="AI49" s="107"/>
      <c r="AJ49" s="107"/>
      <c r="AK49" s="107"/>
      <c r="AL49" s="107"/>
      <c r="AM49" s="107"/>
      <c r="AN49" s="107"/>
      <c r="AO49" s="107"/>
      <c r="AP49" s="107"/>
      <c r="AQ49" s="107"/>
      <c r="AR49" s="107"/>
      <c r="AS49" s="107"/>
      <c r="AT49" s="107"/>
      <c r="AU49" s="107"/>
      <c r="AV49" s="107"/>
      <c r="AW49" s="107"/>
      <c r="AX49" s="107"/>
      <c r="AY49" s="107"/>
      <c r="AZ49" s="107"/>
      <c r="BA49" s="107"/>
      <c r="BB49" s="107"/>
      <c r="BC49" s="107"/>
      <c r="BD49" s="107"/>
      <c r="BE49" s="107"/>
      <c r="BF49" s="107"/>
      <c r="BG49" s="107"/>
      <c r="BH49" s="107"/>
      <c r="BI49" s="107"/>
      <c r="BJ49" s="107"/>
      <c r="BK49" s="107"/>
      <c r="BL49" s="107"/>
      <c r="BM49" s="107"/>
      <c r="BN49" s="107"/>
      <c r="BO49" s="107"/>
      <c r="BP49" s="107"/>
      <c r="BQ49" s="107"/>
      <c r="BR49" s="107"/>
      <c r="BS49" s="107"/>
      <c r="BT49" s="107"/>
      <c r="BU49" s="107"/>
      <c r="BV49" s="107"/>
      <c r="BW49" s="107"/>
      <c r="BX49" s="107"/>
      <c r="BY49" s="107"/>
      <c r="BZ49" s="107"/>
      <c r="CA49" s="107"/>
      <c r="CB49" s="107"/>
      <c r="CC49" s="107"/>
      <c r="CD49" s="107"/>
      <c r="CE49" s="107"/>
      <c r="CF49" s="107"/>
      <c r="CG49" s="107"/>
      <c r="CH49" s="107"/>
      <c r="CI49" s="107"/>
      <c r="CJ49" s="107"/>
      <c r="CK49" s="107"/>
      <c r="CL49" s="107"/>
      <c r="CM49" s="107"/>
      <c r="CN49" s="107"/>
      <c r="CO49" s="107"/>
      <c r="CP49" s="107"/>
      <c r="CQ49" s="107"/>
      <c r="CR49" s="107"/>
      <c r="CS49" s="107"/>
      <c r="CT49" s="107"/>
      <c r="CU49" s="107"/>
      <c r="CV49" s="107"/>
      <c r="CW49" s="107"/>
      <c r="CX49" s="107"/>
      <c r="CY49" s="107"/>
      <c r="CZ49" s="107"/>
      <c r="DA49" s="107"/>
      <c r="DB49" s="107"/>
      <c r="DC49" s="107"/>
      <c r="DD49" s="107"/>
      <c r="DE49" s="107"/>
      <c r="DF49" s="107"/>
      <c r="DG49" s="107"/>
      <c r="DH49" s="107"/>
      <c r="DI49" s="107"/>
      <c r="DJ49" s="107"/>
      <c r="DK49" s="107"/>
      <c r="DL49" s="107"/>
      <c r="DM49" s="107"/>
      <c r="DN49" s="107"/>
      <c r="DO49" s="107"/>
      <c r="DP49" s="107"/>
      <c r="DQ49" s="107"/>
      <c r="DR49" s="107"/>
      <c r="DS49" s="107"/>
      <c r="DT49" s="107"/>
      <c r="DU49" s="107"/>
      <c r="DV49" s="107"/>
      <c r="DW49" s="107"/>
      <c r="DX49" s="107"/>
      <c r="DY49" s="107"/>
      <c r="DZ49" s="107"/>
      <c r="EA49" s="107"/>
      <c r="EB49" s="107"/>
      <c r="EC49" s="107"/>
      <c r="ED49" s="107"/>
      <c r="EE49" s="107"/>
      <c r="EF49" s="107"/>
      <c r="EG49" s="107"/>
      <c r="EH49" s="107"/>
      <c r="EI49" s="107"/>
      <c r="EJ49" s="107"/>
      <c r="EK49" s="107"/>
      <c r="EL49" s="107"/>
      <c r="EM49" s="107"/>
      <c r="EN49" s="107"/>
      <c r="EO49" s="107"/>
      <c r="EP49" s="107"/>
      <c r="EQ49" s="107"/>
      <c r="ER49" s="107"/>
      <c r="ES49" s="107"/>
      <c r="ET49" s="107"/>
      <c r="EU49" s="107"/>
      <c r="EV49" s="107"/>
      <c r="EW49" s="107"/>
      <c r="EX49" s="107"/>
      <c r="EY49" s="107"/>
      <c r="EZ49" s="107"/>
      <c r="FA49" s="107"/>
      <c r="FB49" s="107"/>
      <c r="FC49" s="107"/>
      <c r="FD49" s="107"/>
      <c r="FE49" s="107"/>
      <c r="FF49" s="107"/>
      <c r="FG49" s="107"/>
      <c r="FH49" s="107"/>
      <c r="FI49" s="107"/>
      <c r="FJ49" s="107"/>
      <c r="FK49" s="107"/>
      <c r="FL49" s="107"/>
      <c r="FM49" s="107"/>
      <c r="FN49" s="107"/>
      <c r="FO49" s="107"/>
      <c r="FP49" s="107"/>
      <c r="FQ49" s="107"/>
      <c r="FR49" s="107"/>
      <c r="FS49" s="107"/>
      <c r="FT49" s="107"/>
      <c r="FU49" s="107"/>
    </row>
    <row r="50" spans="1:177" s="108" customFormat="1" ht="16.5">
      <c r="A50" s="100"/>
      <c r="B50" s="148" t="str">
        <f>+Configuración!B73</f>
        <v>N-Urbanitae</v>
      </c>
      <c r="C50" s="153">
        <f>+Movimientos!D60</f>
        <v>1500</v>
      </c>
      <c r="D50" s="150">
        <f>+C50/$C$2</f>
        <v>1.9347765940360263E-3</v>
      </c>
      <c r="E50" s="154" t="s">
        <v>785</v>
      </c>
      <c r="F50" s="155" t="s">
        <v>785</v>
      </c>
      <c r="G50" s="154">
        <f>+C50</f>
        <v>1500</v>
      </c>
      <c r="H50" s="155">
        <f>+G50/$G$2</f>
        <v>4.4523465482511088E-3</v>
      </c>
      <c r="I50" s="106"/>
      <c r="J50" s="24"/>
      <c r="K50" s="24"/>
      <c r="L50" s="24"/>
      <c r="M50" s="24"/>
      <c r="N50" s="24"/>
      <c r="O50" s="24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7"/>
      <c r="AG50" s="107"/>
      <c r="AH50" s="107"/>
      <c r="AI50" s="107"/>
      <c r="AJ50" s="107"/>
      <c r="AK50" s="107"/>
      <c r="AL50" s="107"/>
      <c r="AM50" s="107"/>
      <c r="AN50" s="107"/>
      <c r="AO50" s="107"/>
      <c r="AP50" s="107"/>
      <c r="AQ50" s="107"/>
      <c r="AR50" s="107"/>
      <c r="AS50" s="107"/>
      <c r="AT50" s="107"/>
      <c r="AU50" s="107"/>
      <c r="AV50" s="107"/>
      <c r="AW50" s="107"/>
      <c r="AX50" s="107"/>
      <c r="AY50" s="107"/>
      <c r="AZ50" s="107"/>
      <c r="BA50" s="107"/>
      <c r="BB50" s="107"/>
      <c r="BC50" s="107"/>
      <c r="BD50" s="107"/>
      <c r="BE50" s="107"/>
      <c r="BF50" s="107"/>
      <c r="BG50" s="107"/>
      <c r="BH50" s="107"/>
      <c r="BI50" s="107"/>
      <c r="BJ50" s="107"/>
      <c r="BK50" s="107"/>
      <c r="BL50" s="107"/>
      <c r="BM50" s="107"/>
      <c r="BN50" s="107"/>
      <c r="BO50" s="107"/>
      <c r="BP50" s="107"/>
      <c r="BQ50" s="107"/>
      <c r="BR50" s="107"/>
      <c r="BS50" s="107"/>
      <c r="BT50" s="107"/>
      <c r="BU50" s="107"/>
      <c r="BV50" s="107"/>
      <c r="BW50" s="107"/>
      <c r="BX50" s="107"/>
      <c r="BY50" s="107"/>
      <c r="BZ50" s="107"/>
      <c r="CA50" s="107"/>
      <c r="CB50" s="107"/>
      <c r="CC50" s="107"/>
      <c r="CD50" s="107"/>
      <c r="CE50" s="107"/>
      <c r="CF50" s="107"/>
      <c r="CG50" s="107"/>
      <c r="CH50" s="107"/>
      <c r="CI50" s="107"/>
      <c r="CJ50" s="107"/>
      <c r="CK50" s="107"/>
      <c r="CL50" s="107"/>
      <c r="CM50" s="107"/>
      <c r="CN50" s="107"/>
      <c r="CO50" s="107"/>
      <c r="CP50" s="107"/>
      <c r="CQ50" s="107"/>
      <c r="CR50" s="107"/>
      <c r="CS50" s="107"/>
      <c r="CT50" s="107"/>
      <c r="CU50" s="107"/>
      <c r="CV50" s="107"/>
      <c r="CW50" s="107"/>
      <c r="CX50" s="107"/>
      <c r="CY50" s="107"/>
      <c r="CZ50" s="107"/>
      <c r="DA50" s="107"/>
      <c r="DB50" s="107"/>
      <c r="DC50" s="107"/>
      <c r="DD50" s="107"/>
      <c r="DE50" s="107"/>
      <c r="DF50" s="107"/>
      <c r="DG50" s="107"/>
      <c r="DH50" s="107"/>
      <c r="DI50" s="107"/>
      <c r="DJ50" s="107"/>
      <c r="DK50" s="107"/>
      <c r="DL50" s="107"/>
      <c r="DM50" s="107"/>
      <c r="DN50" s="107"/>
      <c r="DO50" s="107"/>
      <c r="DP50" s="107"/>
      <c r="DQ50" s="107"/>
      <c r="DR50" s="107"/>
      <c r="DS50" s="107"/>
      <c r="DT50" s="107"/>
      <c r="DU50" s="107"/>
      <c r="DV50" s="107"/>
      <c r="DW50" s="107"/>
      <c r="DX50" s="107"/>
      <c r="DY50" s="107"/>
      <c r="DZ50" s="107"/>
      <c r="EA50" s="107"/>
      <c r="EB50" s="107"/>
      <c r="EC50" s="107"/>
      <c r="ED50" s="107"/>
      <c r="EE50" s="107"/>
      <c r="EF50" s="107"/>
      <c r="EG50" s="107"/>
      <c r="EH50" s="107"/>
      <c r="EI50" s="107"/>
      <c r="EJ50" s="107"/>
      <c r="EK50" s="107"/>
      <c r="EL50" s="107"/>
      <c r="EM50" s="107"/>
      <c r="EN50" s="107"/>
      <c r="EO50" s="107"/>
      <c r="EP50" s="107"/>
      <c r="EQ50" s="107"/>
      <c r="ER50" s="107"/>
      <c r="ES50" s="107"/>
      <c r="ET50" s="107"/>
      <c r="EU50" s="107"/>
      <c r="EV50" s="107"/>
      <c r="EW50" s="107"/>
      <c r="EX50" s="107"/>
      <c r="EY50" s="107"/>
      <c r="EZ50" s="107"/>
      <c r="FA50" s="107"/>
      <c r="FB50" s="107"/>
      <c r="FC50" s="107"/>
      <c r="FD50" s="107"/>
      <c r="FE50" s="107"/>
      <c r="FF50" s="107"/>
      <c r="FG50" s="107"/>
      <c r="FH50" s="107"/>
      <c r="FI50" s="107"/>
      <c r="FJ50" s="107"/>
      <c r="FK50" s="107"/>
      <c r="FL50" s="107"/>
      <c r="FM50" s="107"/>
      <c r="FN50" s="107"/>
      <c r="FO50" s="107"/>
      <c r="FP50" s="107"/>
      <c r="FQ50" s="107"/>
      <c r="FR50" s="107"/>
      <c r="FS50" s="107"/>
      <c r="FT50" s="107"/>
      <c r="FU50" s="107"/>
    </row>
    <row r="51" spans="1:177" s="108" customFormat="1" ht="16.5">
      <c r="A51" s="100"/>
      <c r="B51" s="156" t="s">
        <v>790</v>
      </c>
      <c r="C51" s="157">
        <f>SUM(C45:C50)</f>
        <v>14341</v>
      </c>
      <c r="D51" s="158">
        <f>SUM(D45:D50)</f>
        <v>1.8497754090047107E-2</v>
      </c>
      <c r="E51" s="157">
        <f>SUM(E45:E50)</f>
        <v>9341</v>
      </c>
      <c r="F51" s="158">
        <f>SUM(F45:F50)</f>
        <v>2.1307885347837143E-2</v>
      </c>
      <c r="G51" s="157">
        <f>SUM(G45:G50)</f>
        <v>5000</v>
      </c>
      <c r="H51" s="159">
        <f>SUM(H45:H50)</f>
        <v>1.4841155160837029E-2</v>
      </c>
      <c r="I51" s="106"/>
      <c r="J51" s="24"/>
      <c r="K51" s="24"/>
      <c r="L51" s="24"/>
      <c r="M51" s="24"/>
      <c r="N51" s="24"/>
      <c r="O51" s="24"/>
      <c r="P51" s="107"/>
      <c r="Q51" s="107"/>
      <c r="R51" s="107"/>
      <c r="S51" s="107"/>
      <c r="T51" s="107"/>
      <c r="U51" s="107"/>
      <c r="V51" s="107"/>
      <c r="W51" s="107"/>
      <c r="X51" s="107"/>
      <c r="Y51" s="107"/>
      <c r="Z51" s="107"/>
      <c r="AA51" s="107"/>
      <c r="AB51" s="107"/>
      <c r="AC51" s="107"/>
      <c r="AD51" s="107"/>
      <c r="AE51" s="107"/>
      <c r="AF51" s="107"/>
      <c r="AG51" s="107"/>
      <c r="AH51" s="107"/>
      <c r="AI51" s="107"/>
      <c r="AJ51" s="107"/>
      <c r="AK51" s="107"/>
      <c r="AL51" s="107"/>
      <c r="AM51" s="107"/>
      <c r="AN51" s="107"/>
      <c r="AO51" s="107"/>
      <c r="AP51" s="107"/>
      <c r="AQ51" s="107"/>
      <c r="AR51" s="107"/>
      <c r="AS51" s="107"/>
      <c r="AT51" s="107"/>
      <c r="AU51" s="107"/>
      <c r="AV51" s="107"/>
      <c r="AW51" s="107"/>
      <c r="AX51" s="107"/>
      <c r="AY51" s="107"/>
      <c r="AZ51" s="107"/>
      <c r="BA51" s="107"/>
      <c r="BB51" s="107"/>
      <c r="BC51" s="107"/>
      <c r="BD51" s="107"/>
      <c r="BE51" s="107"/>
      <c r="BF51" s="107"/>
      <c r="BG51" s="107"/>
      <c r="BH51" s="107"/>
      <c r="BI51" s="107"/>
      <c r="BJ51" s="107"/>
      <c r="BK51" s="107"/>
      <c r="BL51" s="107"/>
      <c r="BM51" s="107"/>
      <c r="BN51" s="107"/>
      <c r="BO51" s="107"/>
      <c r="BP51" s="107"/>
      <c r="BQ51" s="107"/>
      <c r="BR51" s="107"/>
      <c r="BS51" s="107"/>
      <c r="BT51" s="107"/>
      <c r="BU51" s="107"/>
      <c r="BV51" s="107"/>
      <c r="BW51" s="107"/>
      <c r="BX51" s="107"/>
      <c r="BY51" s="107"/>
      <c r="BZ51" s="107"/>
      <c r="CA51" s="107"/>
      <c r="CB51" s="107"/>
      <c r="CC51" s="107"/>
      <c r="CD51" s="107"/>
      <c r="CE51" s="107"/>
      <c r="CF51" s="107"/>
      <c r="CG51" s="107"/>
      <c r="CH51" s="107"/>
      <c r="CI51" s="107"/>
      <c r="CJ51" s="107"/>
      <c r="CK51" s="107"/>
      <c r="CL51" s="107"/>
      <c r="CM51" s="107"/>
      <c r="CN51" s="107"/>
      <c r="CO51" s="107"/>
      <c r="CP51" s="107"/>
      <c r="CQ51" s="107"/>
      <c r="CR51" s="107"/>
      <c r="CS51" s="107"/>
      <c r="CT51" s="107"/>
      <c r="CU51" s="107"/>
      <c r="CV51" s="107"/>
      <c r="CW51" s="107"/>
      <c r="CX51" s="107"/>
      <c r="CY51" s="107"/>
      <c r="CZ51" s="107"/>
      <c r="DA51" s="107"/>
      <c r="DB51" s="107"/>
      <c r="DC51" s="107"/>
      <c r="DD51" s="107"/>
      <c r="DE51" s="107"/>
      <c r="DF51" s="107"/>
      <c r="DG51" s="107"/>
      <c r="DH51" s="107"/>
      <c r="DI51" s="107"/>
      <c r="DJ51" s="107"/>
      <c r="DK51" s="107"/>
      <c r="DL51" s="107"/>
      <c r="DM51" s="107"/>
      <c r="DN51" s="107"/>
      <c r="DO51" s="107"/>
      <c r="DP51" s="107"/>
      <c r="DQ51" s="107"/>
      <c r="DR51" s="107"/>
      <c r="DS51" s="107"/>
      <c r="DT51" s="107"/>
      <c r="DU51" s="107"/>
      <c r="DV51" s="107"/>
      <c r="DW51" s="107"/>
      <c r="DX51" s="107"/>
      <c r="DY51" s="107"/>
      <c r="DZ51" s="107"/>
      <c r="EA51" s="107"/>
      <c r="EB51" s="107"/>
      <c r="EC51" s="107"/>
      <c r="ED51" s="107"/>
      <c r="EE51" s="107"/>
      <c r="EF51" s="107"/>
      <c r="EG51" s="107"/>
      <c r="EH51" s="107"/>
      <c r="EI51" s="107"/>
      <c r="EJ51" s="107"/>
      <c r="EK51" s="107"/>
      <c r="EL51" s="107"/>
      <c r="EM51" s="107"/>
      <c r="EN51" s="107"/>
      <c r="EO51" s="107"/>
      <c r="EP51" s="107"/>
      <c r="EQ51" s="107"/>
      <c r="ER51" s="107"/>
      <c r="ES51" s="107"/>
      <c r="ET51" s="107"/>
      <c r="EU51" s="107"/>
      <c r="EV51" s="107"/>
      <c r="EW51" s="107"/>
      <c r="EX51" s="107"/>
      <c r="EY51" s="107"/>
      <c r="EZ51" s="107"/>
      <c r="FA51" s="107"/>
      <c r="FB51" s="107"/>
      <c r="FC51" s="107"/>
      <c r="FD51" s="107"/>
      <c r="FE51" s="107"/>
      <c r="FF51" s="107"/>
      <c r="FG51" s="107"/>
      <c r="FH51" s="107"/>
      <c r="FI51" s="107"/>
      <c r="FJ51" s="107"/>
      <c r="FK51" s="107"/>
      <c r="FL51" s="107"/>
      <c r="FM51" s="107"/>
      <c r="FN51" s="107"/>
      <c r="FO51" s="107"/>
      <c r="FP51" s="107"/>
      <c r="FQ51" s="107"/>
      <c r="FR51" s="107"/>
      <c r="FS51" s="107"/>
      <c r="FT51" s="107"/>
      <c r="FU51" s="107"/>
    </row>
    <row r="52" spans="1:177" s="108" customFormat="1" ht="15.75" customHeight="1">
      <c r="A52" s="100"/>
      <c r="B52" s="148" t="str">
        <f>+Configuración!B29</f>
        <v>D-IndexaCapitalPensión</v>
      </c>
      <c r="C52" s="153">
        <f>+Movimientos!D16</f>
        <v>1424.87</v>
      </c>
      <c r="D52" s="150">
        <f>+C52/$C$2</f>
        <v>1.8378700836960752E-3</v>
      </c>
      <c r="E52" s="154">
        <f>+C52</f>
        <v>1424.87</v>
      </c>
      <c r="F52" s="150">
        <f>+E52/$E$2</f>
        <v>3.2502908249194633E-3</v>
      </c>
      <c r="G52" s="154" t="s">
        <v>785</v>
      </c>
      <c r="H52" s="155" t="s">
        <v>785</v>
      </c>
      <c r="I52" s="106"/>
      <c r="J52" s="24"/>
      <c r="K52" s="24"/>
      <c r="L52" s="24"/>
      <c r="M52" s="24"/>
      <c r="N52" s="24"/>
      <c r="O52" s="24"/>
      <c r="P52" s="107"/>
      <c r="Q52" s="107"/>
      <c r="R52" s="107"/>
      <c r="S52" s="107"/>
      <c r="T52" s="107"/>
      <c r="U52" s="107"/>
      <c r="V52" s="107"/>
      <c r="W52" s="107"/>
      <c r="X52" s="107"/>
      <c r="Y52" s="107"/>
      <c r="Z52" s="107"/>
      <c r="AA52" s="107"/>
      <c r="AB52" s="107"/>
      <c r="AC52" s="107"/>
      <c r="AD52" s="107"/>
      <c r="AE52" s="107"/>
      <c r="AF52" s="107"/>
      <c r="AG52" s="107"/>
      <c r="AH52" s="107"/>
      <c r="AI52" s="107"/>
      <c r="AJ52" s="107"/>
      <c r="AK52" s="107"/>
      <c r="AL52" s="107"/>
      <c r="AM52" s="107"/>
      <c r="AN52" s="107"/>
      <c r="AO52" s="107"/>
      <c r="AP52" s="107"/>
      <c r="AQ52" s="107"/>
      <c r="AR52" s="107"/>
      <c r="AS52" s="107"/>
      <c r="AT52" s="107"/>
      <c r="AU52" s="107"/>
      <c r="AV52" s="107"/>
      <c r="AW52" s="107"/>
      <c r="AX52" s="107"/>
      <c r="AY52" s="107"/>
      <c r="AZ52" s="107"/>
      <c r="BA52" s="107"/>
      <c r="BB52" s="107"/>
      <c r="BC52" s="107"/>
      <c r="BD52" s="107"/>
      <c r="BE52" s="107"/>
      <c r="BF52" s="107"/>
      <c r="BG52" s="107"/>
      <c r="BH52" s="107"/>
      <c r="BI52" s="107"/>
      <c r="BJ52" s="107"/>
      <c r="BK52" s="107"/>
      <c r="BL52" s="107"/>
      <c r="BM52" s="107"/>
      <c r="BN52" s="107"/>
      <c r="BO52" s="107"/>
      <c r="BP52" s="107"/>
      <c r="BQ52" s="107"/>
      <c r="BR52" s="107"/>
      <c r="BS52" s="107"/>
      <c r="BT52" s="107"/>
      <c r="BU52" s="107"/>
      <c r="BV52" s="107"/>
      <c r="BW52" s="107"/>
      <c r="BX52" s="107"/>
      <c r="BY52" s="107"/>
      <c r="BZ52" s="107"/>
      <c r="CA52" s="107"/>
      <c r="CB52" s="107"/>
      <c r="CC52" s="107"/>
      <c r="CD52" s="107"/>
      <c r="CE52" s="107"/>
      <c r="CF52" s="107"/>
      <c r="CG52" s="107"/>
      <c r="CH52" s="107"/>
      <c r="CI52" s="107"/>
      <c r="CJ52" s="107"/>
      <c r="CK52" s="107"/>
      <c r="CL52" s="107"/>
      <c r="CM52" s="107"/>
      <c r="CN52" s="107"/>
      <c r="CO52" s="107"/>
      <c r="CP52" s="107"/>
      <c r="CQ52" s="107"/>
      <c r="CR52" s="107"/>
      <c r="CS52" s="107"/>
      <c r="CT52" s="107"/>
      <c r="CU52" s="107"/>
      <c r="CV52" s="107"/>
      <c r="CW52" s="107"/>
      <c r="CX52" s="107"/>
      <c r="CY52" s="107"/>
      <c r="CZ52" s="107"/>
      <c r="DA52" s="107"/>
      <c r="DB52" s="107"/>
      <c r="DC52" s="107"/>
      <c r="DD52" s="107"/>
      <c r="DE52" s="107"/>
      <c r="DF52" s="107"/>
      <c r="DG52" s="107"/>
      <c r="DH52" s="107"/>
      <c r="DI52" s="107"/>
      <c r="DJ52" s="107"/>
      <c r="DK52" s="107"/>
      <c r="DL52" s="107"/>
      <c r="DM52" s="107"/>
      <c r="DN52" s="107"/>
      <c r="DO52" s="107"/>
      <c r="DP52" s="107"/>
      <c r="DQ52" s="107"/>
      <c r="DR52" s="107"/>
      <c r="DS52" s="107"/>
      <c r="DT52" s="107"/>
      <c r="DU52" s="107"/>
      <c r="DV52" s="107"/>
      <c r="DW52" s="107"/>
      <c r="DX52" s="107"/>
      <c r="DY52" s="107"/>
      <c r="DZ52" s="107"/>
      <c r="EA52" s="107"/>
      <c r="EB52" s="107"/>
      <c r="EC52" s="107"/>
      <c r="ED52" s="107"/>
      <c r="EE52" s="107"/>
      <c r="EF52" s="107"/>
      <c r="EG52" s="107"/>
      <c r="EH52" s="107"/>
      <c r="EI52" s="107"/>
      <c r="EJ52" s="107"/>
      <c r="EK52" s="107"/>
      <c r="EL52" s="107"/>
      <c r="EM52" s="107"/>
      <c r="EN52" s="107"/>
      <c r="EO52" s="107"/>
      <c r="EP52" s="107"/>
      <c r="EQ52" s="107"/>
      <c r="ER52" s="107"/>
      <c r="ES52" s="107"/>
      <c r="ET52" s="107"/>
      <c r="EU52" s="107"/>
      <c r="EV52" s="107"/>
      <c r="EW52" s="107"/>
      <c r="EX52" s="107"/>
      <c r="EY52" s="107"/>
      <c r="EZ52" s="107"/>
      <c r="FA52" s="107"/>
      <c r="FB52" s="107"/>
      <c r="FC52" s="107"/>
      <c r="FD52" s="107"/>
      <c r="FE52" s="107"/>
      <c r="FF52" s="107"/>
      <c r="FG52" s="107"/>
      <c r="FH52" s="107"/>
      <c r="FI52" s="107"/>
      <c r="FJ52" s="107"/>
      <c r="FK52" s="107"/>
      <c r="FL52" s="107"/>
      <c r="FM52" s="107"/>
      <c r="FN52" s="107"/>
      <c r="FO52" s="107"/>
      <c r="FP52" s="107"/>
      <c r="FQ52" s="107"/>
      <c r="FR52" s="107"/>
      <c r="FS52" s="107"/>
      <c r="FT52" s="107"/>
      <c r="FU52" s="107"/>
    </row>
    <row r="53" spans="1:177" s="108" customFormat="1" ht="15.75" customHeight="1">
      <c r="A53" s="100"/>
      <c r="B53" s="148" t="str">
        <f>+Configuración!B39</f>
        <v>D-MyinvestorPensión</v>
      </c>
      <c r="C53" s="153">
        <f>+Movimientos!D26</f>
        <v>22858.940000000002</v>
      </c>
      <c r="D53" s="150">
        <f>+C53/$C$2</f>
        <v>2.9484628050982592E-2</v>
      </c>
      <c r="E53" s="154">
        <f>+C53</f>
        <v>22858.940000000002</v>
      </c>
      <c r="F53" s="150">
        <f>+E53/$E$2</f>
        <v>5.2143846771554266E-2</v>
      </c>
      <c r="G53" s="154" t="s">
        <v>785</v>
      </c>
      <c r="H53" s="155" t="s">
        <v>785</v>
      </c>
      <c r="I53" s="106"/>
      <c r="J53" s="24"/>
      <c r="K53" s="24"/>
      <c r="L53" s="24"/>
      <c r="M53" s="24"/>
      <c r="N53" s="24"/>
      <c r="O53" s="24"/>
      <c r="P53" s="107"/>
      <c r="Q53" s="107"/>
      <c r="R53" s="107"/>
      <c r="S53" s="107"/>
      <c r="T53" s="107"/>
      <c r="U53" s="107"/>
      <c r="V53" s="107"/>
      <c r="W53" s="107"/>
      <c r="X53" s="107"/>
      <c r="Y53" s="107"/>
      <c r="Z53" s="107"/>
      <c r="AA53" s="107"/>
      <c r="AB53" s="107"/>
      <c r="AC53" s="107"/>
      <c r="AD53" s="107"/>
      <c r="AE53" s="107"/>
      <c r="AF53" s="107"/>
      <c r="AG53" s="107"/>
      <c r="AH53" s="107"/>
      <c r="AI53" s="107"/>
      <c r="AJ53" s="107"/>
      <c r="AK53" s="107"/>
      <c r="AL53" s="107"/>
      <c r="AM53" s="107"/>
      <c r="AN53" s="107"/>
      <c r="AO53" s="107"/>
      <c r="AP53" s="107"/>
      <c r="AQ53" s="107"/>
      <c r="AR53" s="107"/>
      <c r="AS53" s="107"/>
      <c r="AT53" s="107"/>
      <c r="AU53" s="107"/>
      <c r="AV53" s="107"/>
      <c r="AW53" s="107"/>
      <c r="AX53" s="107"/>
      <c r="AY53" s="107"/>
      <c r="AZ53" s="107"/>
      <c r="BA53" s="107"/>
      <c r="BB53" s="107"/>
      <c r="BC53" s="107"/>
      <c r="BD53" s="107"/>
      <c r="BE53" s="107"/>
      <c r="BF53" s="107"/>
      <c r="BG53" s="107"/>
      <c r="BH53" s="107"/>
      <c r="BI53" s="107"/>
      <c r="BJ53" s="107"/>
      <c r="BK53" s="107"/>
      <c r="BL53" s="107"/>
      <c r="BM53" s="107"/>
      <c r="BN53" s="107"/>
      <c r="BO53" s="107"/>
      <c r="BP53" s="107"/>
      <c r="BQ53" s="107"/>
      <c r="BR53" s="107"/>
      <c r="BS53" s="107"/>
      <c r="BT53" s="107"/>
      <c r="BU53" s="107"/>
      <c r="BV53" s="107"/>
      <c r="BW53" s="107"/>
      <c r="BX53" s="107"/>
      <c r="BY53" s="107"/>
      <c r="BZ53" s="107"/>
      <c r="CA53" s="107"/>
      <c r="CB53" s="107"/>
      <c r="CC53" s="107"/>
      <c r="CD53" s="107"/>
      <c r="CE53" s="107"/>
      <c r="CF53" s="107"/>
      <c r="CG53" s="107"/>
      <c r="CH53" s="107"/>
      <c r="CI53" s="107"/>
      <c r="CJ53" s="107"/>
      <c r="CK53" s="107"/>
      <c r="CL53" s="107"/>
      <c r="CM53" s="107"/>
      <c r="CN53" s="107"/>
      <c r="CO53" s="107"/>
      <c r="CP53" s="107"/>
      <c r="CQ53" s="107"/>
      <c r="CR53" s="107"/>
      <c r="CS53" s="107"/>
      <c r="CT53" s="107"/>
      <c r="CU53" s="107"/>
      <c r="CV53" s="107"/>
      <c r="CW53" s="107"/>
      <c r="CX53" s="107"/>
      <c r="CY53" s="107"/>
      <c r="CZ53" s="107"/>
      <c r="DA53" s="107"/>
      <c r="DB53" s="107"/>
      <c r="DC53" s="107"/>
      <c r="DD53" s="107"/>
      <c r="DE53" s="107"/>
      <c r="DF53" s="107"/>
      <c r="DG53" s="107"/>
      <c r="DH53" s="107"/>
      <c r="DI53" s="107"/>
      <c r="DJ53" s="107"/>
      <c r="DK53" s="107"/>
      <c r="DL53" s="107"/>
      <c r="DM53" s="107"/>
      <c r="DN53" s="107"/>
      <c r="DO53" s="107"/>
      <c r="DP53" s="107"/>
      <c r="DQ53" s="107"/>
      <c r="DR53" s="107"/>
      <c r="DS53" s="107"/>
      <c r="DT53" s="107"/>
      <c r="DU53" s="107"/>
      <c r="DV53" s="107"/>
      <c r="DW53" s="107"/>
      <c r="DX53" s="107"/>
      <c r="DY53" s="107"/>
      <c r="DZ53" s="107"/>
      <c r="EA53" s="107"/>
      <c r="EB53" s="107"/>
      <c r="EC53" s="107"/>
      <c r="ED53" s="107"/>
      <c r="EE53" s="107"/>
      <c r="EF53" s="107"/>
      <c r="EG53" s="107"/>
      <c r="EH53" s="107"/>
      <c r="EI53" s="107"/>
      <c r="EJ53" s="107"/>
      <c r="EK53" s="107"/>
      <c r="EL53" s="107"/>
      <c r="EM53" s="107"/>
      <c r="EN53" s="107"/>
      <c r="EO53" s="107"/>
      <c r="EP53" s="107"/>
      <c r="EQ53" s="107"/>
      <c r="ER53" s="107"/>
      <c r="ES53" s="107"/>
      <c r="ET53" s="107"/>
      <c r="EU53" s="107"/>
      <c r="EV53" s="107"/>
      <c r="EW53" s="107"/>
      <c r="EX53" s="107"/>
      <c r="EY53" s="107"/>
      <c r="EZ53" s="107"/>
      <c r="FA53" s="107"/>
      <c r="FB53" s="107"/>
      <c r="FC53" s="107"/>
      <c r="FD53" s="107"/>
      <c r="FE53" s="107"/>
      <c r="FF53" s="107"/>
      <c r="FG53" s="107"/>
      <c r="FH53" s="107"/>
      <c r="FI53" s="107"/>
      <c r="FJ53" s="107"/>
      <c r="FK53" s="107"/>
      <c r="FL53" s="107"/>
      <c r="FM53" s="107"/>
      <c r="FN53" s="107"/>
      <c r="FO53" s="107"/>
      <c r="FP53" s="107"/>
      <c r="FQ53" s="107"/>
      <c r="FR53" s="107"/>
      <c r="FS53" s="107"/>
      <c r="FT53" s="107"/>
      <c r="FU53" s="107"/>
    </row>
    <row r="54" spans="1:177" s="108" customFormat="1" ht="15.75" customHeight="1">
      <c r="A54" s="100"/>
      <c r="B54" s="148" t="str">
        <f>+Configuración!B57</f>
        <v>N-IndexaCapitalPensión</v>
      </c>
      <c r="C54" s="153">
        <f>+Movimientos!D45</f>
        <v>10165</v>
      </c>
      <c r="D54" s="150">
        <f>+C54/$C$2</f>
        <v>1.3111336052250806E-2</v>
      </c>
      <c r="E54" s="154" t="s">
        <v>785</v>
      </c>
      <c r="F54" s="155" t="s">
        <v>785</v>
      </c>
      <c r="G54" s="154">
        <f>+C54</f>
        <v>10165</v>
      </c>
      <c r="H54" s="155">
        <f>+G54/$G$2</f>
        <v>3.017206844198168E-2</v>
      </c>
      <c r="I54" s="106"/>
      <c r="J54" s="24"/>
      <c r="K54" s="24"/>
      <c r="L54" s="24"/>
      <c r="M54" s="24"/>
      <c r="N54" s="24"/>
      <c r="O54" s="24"/>
      <c r="P54" s="107"/>
      <c r="Q54" s="107"/>
      <c r="R54" s="107"/>
      <c r="S54" s="107"/>
      <c r="T54" s="107"/>
      <c r="U54" s="107"/>
      <c r="V54" s="107"/>
      <c r="W54" s="107"/>
      <c r="X54" s="107"/>
      <c r="Y54" s="107"/>
      <c r="Z54" s="107"/>
      <c r="AA54" s="107"/>
      <c r="AB54" s="107"/>
      <c r="AC54" s="107"/>
      <c r="AD54" s="107"/>
      <c r="AE54" s="107"/>
      <c r="AF54" s="107"/>
      <c r="AG54" s="107"/>
      <c r="AH54" s="107"/>
      <c r="AI54" s="107"/>
      <c r="AJ54" s="107"/>
      <c r="AK54" s="107"/>
      <c r="AL54" s="107"/>
      <c r="AM54" s="107"/>
      <c r="AN54" s="107"/>
      <c r="AO54" s="107"/>
      <c r="AP54" s="107"/>
      <c r="AQ54" s="107"/>
      <c r="AR54" s="107"/>
      <c r="AS54" s="107"/>
      <c r="AT54" s="107"/>
      <c r="AU54" s="107"/>
      <c r="AV54" s="107"/>
      <c r="AW54" s="107"/>
      <c r="AX54" s="107"/>
      <c r="AY54" s="107"/>
      <c r="AZ54" s="107"/>
      <c r="BA54" s="107"/>
      <c r="BB54" s="107"/>
      <c r="BC54" s="107"/>
      <c r="BD54" s="107"/>
      <c r="BE54" s="107"/>
      <c r="BF54" s="107"/>
      <c r="BG54" s="107"/>
      <c r="BH54" s="107"/>
      <c r="BI54" s="107"/>
      <c r="BJ54" s="107"/>
      <c r="BK54" s="107"/>
      <c r="BL54" s="107"/>
      <c r="BM54" s="107"/>
      <c r="BN54" s="107"/>
      <c r="BO54" s="107"/>
      <c r="BP54" s="107"/>
      <c r="BQ54" s="107"/>
      <c r="BR54" s="107"/>
      <c r="BS54" s="107"/>
      <c r="BT54" s="107"/>
      <c r="BU54" s="107"/>
      <c r="BV54" s="107"/>
      <c r="BW54" s="107"/>
      <c r="BX54" s="107"/>
      <c r="BY54" s="107"/>
      <c r="BZ54" s="107"/>
      <c r="CA54" s="107"/>
      <c r="CB54" s="107"/>
      <c r="CC54" s="107"/>
      <c r="CD54" s="107"/>
      <c r="CE54" s="107"/>
      <c r="CF54" s="107"/>
      <c r="CG54" s="107"/>
      <c r="CH54" s="107"/>
      <c r="CI54" s="107"/>
      <c r="CJ54" s="107"/>
      <c r="CK54" s="107"/>
      <c r="CL54" s="107"/>
      <c r="CM54" s="107"/>
      <c r="CN54" s="107"/>
      <c r="CO54" s="107"/>
      <c r="CP54" s="107"/>
      <c r="CQ54" s="107"/>
      <c r="CR54" s="107"/>
      <c r="CS54" s="107"/>
      <c r="CT54" s="107"/>
      <c r="CU54" s="107"/>
      <c r="CV54" s="107"/>
      <c r="CW54" s="107"/>
      <c r="CX54" s="107"/>
      <c r="CY54" s="107"/>
      <c r="CZ54" s="107"/>
      <c r="DA54" s="107"/>
      <c r="DB54" s="107"/>
      <c r="DC54" s="107"/>
      <c r="DD54" s="107"/>
      <c r="DE54" s="107"/>
      <c r="DF54" s="107"/>
      <c r="DG54" s="107"/>
      <c r="DH54" s="107"/>
      <c r="DI54" s="107"/>
      <c r="DJ54" s="107"/>
      <c r="DK54" s="107"/>
      <c r="DL54" s="107"/>
      <c r="DM54" s="107"/>
      <c r="DN54" s="107"/>
      <c r="DO54" s="107"/>
      <c r="DP54" s="107"/>
      <c r="DQ54" s="107"/>
      <c r="DR54" s="107"/>
      <c r="DS54" s="107"/>
      <c r="DT54" s="107"/>
      <c r="DU54" s="107"/>
      <c r="DV54" s="107"/>
      <c r="DW54" s="107"/>
      <c r="DX54" s="107"/>
      <c r="DY54" s="107"/>
      <c r="DZ54" s="107"/>
      <c r="EA54" s="107"/>
      <c r="EB54" s="107"/>
      <c r="EC54" s="107"/>
      <c r="ED54" s="107"/>
      <c r="EE54" s="107"/>
      <c r="EF54" s="107"/>
      <c r="EG54" s="107"/>
      <c r="EH54" s="107"/>
      <c r="EI54" s="107"/>
      <c r="EJ54" s="107"/>
      <c r="EK54" s="107"/>
      <c r="EL54" s="107"/>
      <c r="EM54" s="107"/>
      <c r="EN54" s="107"/>
      <c r="EO54" s="107"/>
      <c r="EP54" s="107"/>
      <c r="EQ54" s="107"/>
      <c r="ER54" s="107"/>
      <c r="ES54" s="107"/>
      <c r="ET54" s="107"/>
      <c r="EU54" s="107"/>
      <c r="EV54" s="107"/>
      <c r="EW54" s="107"/>
      <c r="EX54" s="107"/>
      <c r="EY54" s="107"/>
      <c r="EZ54" s="107"/>
      <c r="FA54" s="107"/>
      <c r="FB54" s="107"/>
      <c r="FC54" s="107"/>
      <c r="FD54" s="107"/>
      <c r="FE54" s="107"/>
      <c r="FF54" s="107"/>
      <c r="FG54" s="107"/>
      <c r="FH54" s="107"/>
      <c r="FI54" s="107"/>
      <c r="FJ54" s="107"/>
      <c r="FK54" s="107"/>
      <c r="FL54" s="107"/>
      <c r="FM54" s="107"/>
      <c r="FN54" s="107"/>
      <c r="FO54" s="107"/>
      <c r="FP54" s="107"/>
      <c r="FQ54" s="107"/>
      <c r="FR54" s="107"/>
      <c r="FS54" s="107"/>
      <c r="FT54" s="107"/>
      <c r="FU54" s="107"/>
    </row>
    <row r="55" spans="1:177" s="108" customFormat="1" ht="15.75" customHeight="1">
      <c r="A55" s="100"/>
      <c r="B55" s="148" t="str">
        <f>+Configuración!B65</f>
        <v>N-Pensión</v>
      </c>
      <c r="C55" s="153">
        <f>+Movimientos!D52</f>
        <v>0</v>
      </c>
      <c r="D55" s="150">
        <f>+C55/$C$2</f>
        <v>0</v>
      </c>
      <c r="E55" s="154" t="s">
        <v>785</v>
      </c>
      <c r="F55" s="155" t="s">
        <v>785</v>
      </c>
      <c r="G55" s="154">
        <f>+C55</f>
        <v>0</v>
      </c>
      <c r="H55" s="155">
        <f>+G55/$G$2</f>
        <v>0</v>
      </c>
      <c r="I55" s="106"/>
      <c r="J55" s="24"/>
      <c r="K55" s="24"/>
      <c r="L55" s="24"/>
      <c r="M55" s="24"/>
      <c r="N55" s="24"/>
      <c r="O55" s="24"/>
      <c r="P55" s="107"/>
      <c r="Q55" s="107"/>
      <c r="R55" s="107"/>
      <c r="S55" s="107"/>
      <c r="T55" s="107"/>
      <c r="U55" s="107"/>
      <c r="V55" s="107"/>
      <c r="W55" s="107"/>
      <c r="X55" s="107"/>
      <c r="Y55" s="107"/>
      <c r="Z55" s="107"/>
      <c r="AA55" s="107"/>
      <c r="AB55" s="107"/>
      <c r="AC55" s="107"/>
      <c r="AD55" s="107"/>
      <c r="AE55" s="107"/>
      <c r="AF55" s="107"/>
      <c r="AG55" s="107"/>
      <c r="AH55" s="107"/>
      <c r="AI55" s="107"/>
      <c r="AJ55" s="107"/>
      <c r="AK55" s="107"/>
      <c r="AL55" s="107"/>
      <c r="AM55" s="107"/>
      <c r="AN55" s="107"/>
      <c r="AO55" s="107"/>
      <c r="AP55" s="107"/>
      <c r="AQ55" s="107"/>
      <c r="AR55" s="107"/>
      <c r="AS55" s="107"/>
      <c r="AT55" s="107"/>
      <c r="AU55" s="107"/>
      <c r="AV55" s="107"/>
      <c r="AW55" s="107"/>
      <c r="AX55" s="107"/>
      <c r="AY55" s="107"/>
      <c r="AZ55" s="107"/>
      <c r="BA55" s="107"/>
      <c r="BB55" s="107"/>
      <c r="BC55" s="107"/>
      <c r="BD55" s="107"/>
      <c r="BE55" s="107"/>
      <c r="BF55" s="107"/>
      <c r="BG55" s="107"/>
      <c r="BH55" s="107"/>
      <c r="BI55" s="107"/>
      <c r="BJ55" s="107"/>
      <c r="BK55" s="107"/>
      <c r="BL55" s="107"/>
      <c r="BM55" s="107"/>
      <c r="BN55" s="107"/>
      <c r="BO55" s="107"/>
      <c r="BP55" s="107"/>
      <c r="BQ55" s="107"/>
      <c r="BR55" s="107"/>
      <c r="BS55" s="107"/>
      <c r="BT55" s="107"/>
      <c r="BU55" s="107"/>
      <c r="BV55" s="107"/>
      <c r="BW55" s="107"/>
      <c r="BX55" s="107"/>
      <c r="BY55" s="107"/>
      <c r="BZ55" s="107"/>
      <c r="CA55" s="107"/>
      <c r="CB55" s="107"/>
      <c r="CC55" s="107"/>
      <c r="CD55" s="107"/>
      <c r="CE55" s="107"/>
      <c r="CF55" s="107"/>
      <c r="CG55" s="107"/>
      <c r="CH55" s="107"/>
      <c r="CI55" s="107"/>
      <c r="CJ55" s="107"/>
      <c r="CK55" s="107"/>
      <c r="CL55" s="107"/>
      <c r="CM55" s="107"/>
      <c r="CN55" s="107"/>
      <c r="CO55" s="107"/>
      <c r="CP55" s="107"/>
      <c r="CQ55" s="107"/>
      <c r="CR55" s="107"/>
      <c r="CS55" s="107"/>
      <c r="CT55" s="107"/>
      <c r="CU55" s="107"/>
      <c r="CV55" s="107"/>
      <c r="CW55" s="107"/>
      <c r="CX55" s="107"/>
      <c r="CY55" s="107"/>
      <c r="CZ55" s="107"/>
      <c r="DA55" s="107"/>
      <c r="DB55" s="107"/>
      <c r="DC55" s="107"/>
      <c r="DD55" s="107"/>
      <c r="DE55" s="107"/>
      <c r="DF55" s="107"/>
      <c r="DG55" s="107"/>
      <c r="DH55" s="107"/>
      <c r="DI55" s="107"/>
      <c r="DJ55" s="107"/>
      <c r="DK55" s="107"/>
      <c r="DL55" s="107"/>
      <c r="DM55" s="107"/>
      <c r="DN55" s="107"/>
      <c r="DO55" s="107"/>
      <c r="DP55" s="107"/>
      <c r="DQ55" s="107"/>
      <c r="DR55" s="107"/>
      <c r="DS55" s="107"/>
      <c r="DT55" s="107"/>
      <c r="DU55" s="107"/>
      <c r="DV55" s="107"/>
      <c r="DW55" s="107"/>
      <c r="DX55" s="107"/>
      <c r="DY55" s="107"/>
      <c r="DZ55" s="107"/>
      <c r="EA55" s="107"/>
      <c r="EB55" s="107"/>
      <c r="EC55" s="107"/>
      <c r="ED55" s="107"/>
      <c r="EE55" s="107"/>
      <c r="EF55" s="107"/>
      <c r="EG55" s="107"/>
      <c r="EH55" s="107"/>
      <c r="EI55" s="107"/>
      <c r="EJ55" s="107"/>
      <c r="EK55" s="107"/>
      <c r="EL55" s="107"/>
      <c r="EM55" s="107"/>
      <c r="EN55" s="107"/>
      <c r="EO55" s="107"/>
      <c r="EP55" s="107"/>
      <c r="EQ55" s="107"/>
      <c r="ER55" s="107"/>
      <c r="ES55" s="107"/>
      <c r="ET55" s="107"/>
      <c r="EU55" s="107"/>
      <c r="EV55" s="107"/>
      <c r="EW55" s="107"/>
      <c r="EX55" s="107"/>
      <c r="EY55" s="107"/>
      <c r="EZ55" s="107"/>
      <c r="FA55" s="107"/>
      <c r="FB55" s="107"/>
      <c r="FC55" s="107"/>
      <c r="FD55" s="107"/>
      <c r="FE55" s="107"/>
      <c r="FF55" s="107"/>
      <c r="FG55" s="107"/>
      <c r="FH55" s="107"/>
      <c r="FI55" s="107"/>
      <c r="FJ55" s="107"/>
      <c r="FK55" s="107"/>
      <c r="FL55" s="107"/>
      <c r="FM55" s="107"/>
      <c r="FN55" s="107"/>
      <c r="FO55" s="107"/>
      <c r="FP55" s="107"/>
      <c r="FQ55" s="107"/>
      <c r="FR55" s="107"/>
      <c r="FS55" s="107"/>
      <c r="FT55" s="107"/>
      <c r="FU55" s="107"/>
    </row>
    <row r="56" spans="1:177" s="108" customFormat="1" ht="16.5">
      <c r="A56" s="100"/>
      <c r="B56" s="156" t="s">
        <v>791</v>
      </c>
      <c r="C56" s="157">
        <f>SUM(C52:C55)</f>
        <v>34448.81</v>
      </c>
      <c r="D56" s="158">
        <f>SUM(D52:D55)</f>
        <v>4.4433834186929477E-2</v>
      </c>
      <c r="E56" s="157">
        <f>SUM(E52:E55)</f>
        <v>24283.81</v>
      </c>
      <c r="F56" s="158">
        <f>SUM(F52:F55)</f>
        <v>5.5394137596473728E-2</v>
      </c>
      <c r="G56" s="157">
        <f>SUM(G52:G55)</f>
        <v>10165</v>
      </c>
      <c r="H56" s="159">
        <f>SUM(H52:H55)</f>
        <v>3.017206844198168E-2</v>
      </c>
      <c r="I56" s="106"/>
      <c r="J56" s="24"/>
      <c r="K56" s="24"/>
      <c r="L56" s="24"/>
      <c r="M56" s="24"/>
      <c r="N56" s="24"/>
      <c r="O56" s="24"/>
      <c r="P56" s="107"/>
      <c r="Q56" s="107"/>
      <c r="R56" s="107"/>
      <c r="S56" s="107"/>
      <c r="T56" s="107"/>
      <c r="U56" s="107"/>
      <c r="V56" s="107"/>
      <c r="W56" s="107"/>
      <c r="X56" s="107"/>
      <c r="Y56" s="107"/>
      <c r="Z56" s="107"/>
      <c r="AA56" s="107"/>
      <c r="AB56" s="107"/>
      <c r="AC56" s="107"/>
      <c r="AD56" s="107"/>
      <c r="AE56" s="107"/>
      <c r="AF56" s="107"/>
      <c r="AG56" s="107"/>
      <c r="AH56" s="107"/>
      <c r="AI56" s="107"/>
      <c r="AJ56" s="107"/>
      <c r="AK56" s="107"/>
      <c r="AL56" s="107"/>
      <c r="AM56" s="107"/>
      <c r="AN56" s="107"/>
      <c r="AO56" s="107"/>
      <c r="AP56" s="107"/>
      <c r="AQ56" s="107"/>
      <c r="AR56" s="107"/>
      <c r="AS56" s="107"/>
      <c r="AT56" s="107"/>
      <c r="AU56" s="107"/>
      <c r="AV56" s="107"/>
      <c r="AW56" s="107"/>
      <c r="AX56" s="107"/>
      <c r="AY56" s="107"/>
      <c r="AZ56" s="107"/>
      <c r="BA56" s="107"/>
      <c r="BB56" s="107"/>
      <c r="BC56" s="107"/>
      <c r="BD56" s="107"/>
      <c r="BE56" s="107"/>
      <c r="BF56" s="107"/>
      <c r="BG56" s="107"/>
      <c r="BH56" s="107"/>
      <c r="BI56" s="107"/>
      <c r="BJ56" s="107"/>
      <c r="BK56" s="107"/>
      <c r="BL56" s="107"/>
      <c r="BM56" s="107"/>
      <c r="BN56" s="107"/>
      <c r="BO56" s="107"/>
      <c r="BP56" s="107"/>
      <c r="BQ56" s="107"/>
      <c r="BR56" s="107"/>
      <c r="BS56" s="107"/>
      <c r="BT56" s="107"/>
      <c r="BU56" s="107"/>
      <c r="BV56" s="107"/>
      <c r="BW56" s="107"/>
      <c r="BX56" s="107"/>
      <c r="BY56" s="107"/>
      <c r="BZ56" s="107"/>
      <c r="CA56" s="107"/>
      <c r="CB56" s="107"/>
      <c r="CC56" s="107"/>
      <c r="CD56" s="107"/>
      <c r="CE56" s="107"/>
      <c r="CF56" s="107"/>
      <c r="CG56" s="107"/>
      <c r="CH56" s="107"/>
      <c r="CI56" s="107"/>
      <c r="CJ56" s="107"/>
      <c r="CK56" s="107"/>
      <c r="CL56" s="107"/>
      <c r="CM56" s="107"/>
      <c r="CN56" s="107"/>
      <c r="CO56" s="107"/>
      <c r="CP56" s="107"/>
      <c r="CQ56" s="107"/>
      <c r="CR56" s="107"/>
      <c r="CS56" s="107"/>
      <c r="CT56" s="107"/>
      <c r="CU56" s="107"/>
      <c r="CV56" s="107"/>
      <c r="CW56" s="107"/>
      <c r="CX56" s="107"/>
      <c r="CY56" s="107"/>
      <c r="CZ56" s="107"/>
      <c r="DA56" s="107"/>
      <c r="DB56" s="107"/>
      <c r="DC56" s="107"/>
      <c r="DD56" s="107"/>
      <c r="DE56" s="107"/>
      <c r="DF56" s="107"/>
      <c r="DG56" s="107"/>
      <c r="DH56" s="107"/>
      <c r="DI56" s="107"/>
      <c r="DJ56" s="107"/>
      <c r="DK56" s="107"/>
      <c r="DL56" s="107"/>
      <c r="DM56" s="107"/>
      <c r="DN56" s="107"/>
      <c r="DO56" s="107"/>
      <c r="DP56" s="107"/>
      <c r="DQ56" s="107"/>
      <c r="DR56" s="107"/>
      <c r="DS56" s="107"/>
      <c r="DT56" s="107"/>
      <c r="DU56" s="107"/>
      <c r="DV56" s="107"/>
      <c r="DW56" s="107"/>
      <c r="DX56" s="107"/>
      <c r="DY56" s="107"/>
      <c r="DZ56" s="107"/>
      <c r="EA56" s="107"/>
      <c r="EB56" s="107"/>
      <c r="EC56" s="107"/>
      <c r="ED56" s="107"/>
      <c r="EE56" s="107"/>
      <c r="EF56" s="107"/>
      <c r="EG56" s="107"/>
      <c r="EH56" s="107"/>
      <c r="EI56" s="107"/>
      <c r="EJ56" s="107"/>
      <c r="EK56" s="107"/>
      <c r="EL56" s="107"/>
      <c r="EM56" s="107"/>
      <c r="EN56" s="107"/>
      <c r="EO56" s="107"/>
      <c r="EP56" s="107"/>
      <c r="EQ56" s="107"/>
      <c r="ER56" s="107"/>
      <c r="ES56" s="107"/>
      <c r="ET56" s="107"/>
      <c r="EU56" s="107"/>
      <c r="EV56" s="107"/>
      <c r="EW56" s="107"/>
      <c r="EX56" s="107"/>
      <c r="EY56" s="107"/>
      <c r="EZ56" s="107"/>
      <c r="FA56" s="107"/>
      <c r="FB56" s="107"/>
      <c r="FC56" s="107"/>
      <c r="FD56" s="107"/>
      <c r="FE56" s="107"/>
      <c r="FF56" s="107"/>
      <c r="FG56" s="107"/>
      <c r="FH56" s="107"/>
      <c r="FI56" s="107"/>
      <c r="FJ56" s="107"/>
      <c r="FK56" s="107"/>
      <c r="FL56" s="107"/>
      <c r="FM56" s="107"/>
      <c r="FN56" s="107"/>
      <c r="FO56" s="107"/>
      <c r="FP56" s="107"/>
      <c r="FQ56" s="107"/>
      <c r="FR56" s="107"/>
      <c r="FS56" s="107"/>
      <c r="FT56" s="107"/>
      <c r="FU56" s="107"/>
    </row>
    <row r="57" spans="1:177" s="108" customFormat="1" ht="16.5">
      <c r="A57" s="100"/>
      <c r="B57" s="148" t="str">
        <f>+Configuración!B22</f>
        <v>D-Degiro</v>
      </c>
      <c r="C57" s="153">
        <f>+Movimientos!D10</f>
        <v>911</v>
      </c>
      <c r="D57" s="150">
        <f>+C57/$C$2</f>
        <v>1.1750543181112134E-3</v>
      </c>
      <c r="E57" s="154">
        <f>+C57</f>
        <v>911</v>
      </c>
      <c r="F57" s="150">
        <f>+E57/$E$2</f>
        <v>2.0780948026848985E-3</v>
      </c>
      <c r="G57" s="154" t="s">
        <v>785</v>
      </c>
      <c r="H57" s="155" t="s">
        <v>785</v>
      </c>
      <c r="I57" s="106"/>
      <c r="J57" s="24"/>
      <c r="K57" s="24"/>
      <c r="L57" s="24"/>
      <c r="M57" s="24"/>
      <c r="N57" s="24"/>
      <c r="O57" s="24"/>
      <c r="P57" s="107"/>
      <c r="Q57" s="107"/>
      <c r="R57" s="107"/>
      <c r="S57" s="107"/>
      <c r="T57" s="107"/>
      <c r="U57" s="107"/>
      <c r="V57" s="107"/>
      <c r="W57" s="107"/>
      <c r="X57" s="107"/>
      <c r="Y57" s="107"/>
      <c r="Z57" s="107"/>
      <c r="AA57" s="107"/>
      <c r="AB57" s="107"/>
      <c r="AC57" s="107"/>
      <c r="AD57" s="107"/>
      <c r="AE57" s="107"/>
      <c r="AF57" s="107"/>
      <c r="AG57" s="107"/>
      <c r="AH57" s="107"/>
      <c r="AI57" s="107"/>
      <c r="AJ57" s="107"/>
      <c r="AK57" s="107"/>
      <c r="AL57" s="107"/>
      <c r="AM57" s="107"/>
      <c r="AN57" s="107"/>
      <c r="AO57" s="107"/>
      <c r="AP57" s="107"/>
      <c r="AQ57" s="107"/>
      <c r="AR57" s="107"/>
      <c r="AS57" s="107"/>
      <c r="AT57" s="107"/>
      <c r="AU57" s="107"/>
      <c r="AV57" s="107"/>
      <c r="AW57" s="107"/>
      <c r="AX57" s="107"/>
      <c r="AY57" s="107"/>
      <c r="AZ57" s="107"/>
      <c r="BA57" s="107"/>
      <c r="BB57" s="107"/>
      <c r="BC57" s="107"/>
      <c r="BD57" s="107"/>
      <c r="BE57" s="107"/>
      <c r="BF57" s="107"/>
      <c r="BG57" s="107"/>
      <c r="BH57" s="107"/>
      <c r="BI57" s="107"/>
      <c r="BJ57" s="107"/>
      <c r="BK57" s="107"/>
      <c r="BL57" s="107"/>
      <c r="BM57" s="107"/>
      <c r="BN57" s="107"/>
      <c r="BO57" s="107"/>
      <c r="BP57" s="107"/>
      <c r="BQ57" s="107"/>
      <c r="BR57" s="107"/>
      <c r="BS57" s="107"/>
      <c r="BT57" s="107"/>
      <c r="BU57" s="107"/>
      <c r="BV57" s="107"/>
      <c r="BW57" s="107"/>
      <c r="BX57" s="107"/>
      <c r="BY57" s="107"/>
      <c r="BZ57" s="107"/>
      <c r="CA57" s="107"/>
      <c r="CB57" s="107"/>
      <c r="CC57" s="107"/>
      <c r="CD57" s="107"/>
      <c r="CE57" s="107"/>
      <c r="CF57" s="107"/>
      <c r="CG57" s="107"/>
      <c r="CH57" s="107"/>
      <c r="CI57" s="107"/>
      <c r="CJ57" s="107"/>
      <c r="CK57" s="107"/>
      <c r="CL57" s="107"/>
      <c r="CM57" s="107"/>
      <c r="CN57" s="107"/>
      <c r="CO57" s="107"/>
      <c r="CP57" s="107"/>
      <c r="CQ57" s="107"/>
      <c r="CR57" s="107"/>
      <c r="CS57" s="107"/>
      <c r="CT57" s="107"/>
      <c r="CU57" s="107"/>
      <c r="CV57" s="107"/>
      <c r="CW57" s="107"/>
      <c r="CX57" s="107"/>
      <c r="CY57" s="107"/>
      <c r="CZ57" s="107"/>
      <c r="DA57" s="107"/>
      <c r="DB57" s="107"/>
      <c r="DC57" s="107"/>
      <c r="DD57" s="107"/>
      <c r="DE57" s="107"/>
      <c r="DF57" s="107"/>
      <c r="DG57" s="107"/>
      <c r="DH57" s="107"/>
      <c r="DI57" s="107"/>
      <c r="DJ57" s="107"/>
      <c r="DK57" s="107"/>
      <c r="DL57" s="107"/>
      <c r="DM57" s="107"/>
      <c r="DN57" s="107"/>
      <c r="DO57" s="107"/>
      <c r="DP57" s="107"/>
      <c r="DQ57" s="107"/>
      <c r="DR57" s="107"/>
      <c r="DS57" s="107"/>
      <c r="DT57" s="107"/>
      <c r="DU57" s="107"/>
      <c r="DV57" s="107"/>
      <c r="DW57" s="107"/>
      <c r="DX57" s="107"/>
      <c r="DY57" s="107"/>
      <c r="DZ57" s="107"/>
      <c r="EA57" s="107"/>
      <c r="EB57" s="107"/>
      <c r="EC57" s="107"/>
      <c r="ED57" s="107"/>
      <c r="EE57" s="107"/>
      <c r="EF57" s="107"/>
      <c r="EG57" s="107"/>
      <c r="EH57" s="107"/>
      <c r="EI57" s="107"/>
      <c r="EJ57" s="107"/>
      <c r="EK57" s="107"/>
      <c r="EL57" s="107"/>
      <c r="EM57" s="107"/>
      <c r="EN57" s="107"/>
      <c r="EO57" s="107"/>
      <c r="EP57" s="107"/>
      <c r="EQ57" s="107"/>
      <c r="ER57" s="107"/>
      <c r="ES57" s="107"/>
      <c r="ET57" s="107"/>
      <c r="EU57" s="107"/>
      <c r="EV57" s="107"/>
      <c r="EW57" s="107"/>
      <c r="EX57" s="107"/>
      <c r="EY57" s="107"/>
      <c r="EZ57" s="107"/>
      <c r="FA57" s="107"/>
      <c r="FB57" s="107"/>
      <c r="FC57" s="107"/>
      <c r="FD57" s="107"/>
      <c r="FE57" s="107"/>
      <c r="FF57" s="107"/>
      <c r="FG57" s="107"/>
      <c r="FH57" s="107"/>
      <c r="FI57" s="107"/>
      <c r="FJ57" s="107"/>
      <c r="FK57" s="107"/>
      <c r="FL57" s="107"/>
      <c r="FM57" s="107"/>
      <c r="FN57" s="107"/>
      <c r="FO57" s="107"/>
      <c r="FP57" s="107"/>
      <c r="FQ57" s="107"/>
      <c r="FR57" s="107"/>
      <c r="FS57" s="107"/>
      <c r="FT57" s="107"/>
      <c r="FU57" s="107"/>
    </row>
    <row r="58" spans="1:177" s="108" customFormat="1" ht="16.5">
      <c r="A58" s="100"/>
      <c r="B58" s="148" t="str">
        <f>+Configuración!B25</f>
        <v>D-Freedom24</v>
      </c>
      <c r="C58" s="153">
        <f>+Movimientos!D12</f>
        <v>5133.9999999999991</v>
      </c>
      <c r="D58" s="150">
        <f>+C58/$C$2</f>
        <v>6.6220953558539719E-3</v>
      </c>
      <c r="E58" s="154">
        <f>+C58</f>
        <v>5133.9999999999991</v>
      </c>
      <c r="F58" s="150">
        <f>+E58/$E$2</f>
        <v>1.1711238986810393E-2</v>
      </c>
      <c r="G58" s="154" t="s">
        <v>785</v>
      </c>
      <c r="H58" s="155" t="s">
        <v>785</v>
      </c>
      <c r="I58" s="106"/>
      <c r="J58" s="24"/>
      <c r="K58" s="24"/>
      <c r="L58" s="24"/>
      <c r="M58" s="24"/>
      <c r="N58" s="24"/>
      <c r="O58" s="24"/>
      <c r="P58" s="107"/>
      <c r="Q58" s="107"/>
      <c r="R58" s="107"/>
      <c r="S58" s="107"/>
      <c r="T58" s="107"/>
      <c r="U58" s="107"/>
      <c r="V58" s="107"/>
      <c r="W58" s="107"/>
      <c r="X58" s="107"/>
      <c r="Y58" s="107"/>
      <c r="Z58" s="107"/>
      <c r="AA58" s="107"/>
      <c r="AB58" s="107"/>
      <c r="AC58" s="107"/>
      <c r="AD58" s="107"/>
      <c r="AE58" s="107"/>
      <c r="AF58" s="107"/>
      <c r="AG58" s="107"/>
      <c r="AH58" s="107"/>
      <c r="AI58" s="107"/>
      <c r="AJ58" s="107"/>
      <c r="AK58" s="107"/>
      <c r="AL58" s="107"/>
      <c r="AM58" s="107"/>
      <c r="AN58" s="107"/>
      <c r="AO58" s="107"/>
      <c r="AP58" s="107"/>
      <c r="AQ58" s="107"/>
      <c r="AR58" s="107"/>
      <c r="AS58" s="107"/>
      <c r="AT58" s="107"/>
      <c r="AU58" s="107"/>
      <c r="AV58" s="107"/>
      <c r="AW58" s="107"/>
      <c r="AX58" s="107"/>
      <c r="AY58" s="107"/>
      <c r="AZ58" s="107"/>
      <c r="BA58" s="107"/>
      <c r="BB58" s="107"/>
      <c r="BC58" s="107"/>
      <c r="BD58" s="107"/>
      <c r="BE58" s="107"/>
      <c r="BF58" s="107"/>
      <c r="BG58" s="107"/>
      <c r="BH58" s="107"/>
      <c r="BI58" s="107"/>
      <c r="BJ58" s="107"/>
      <c r="BK58" s="107"/>
      <c r="BL58" s="107"/>
      <c r="BM58" s="107"/>
      <c r="BN58" s="107"/>
      <c r="BO58" s="107"/>
      <c r="BP58" s="107"/>
      <c r="BQ58" s="107"/>
      <c r="BR58" s="107"/>
      <c r="BS58" s="107"/>
      <c r="BT58" s="107"/>
      <c r="BU58" s="107"/>
      <c r="BV58" s="107"/>
      <c r="BW58" s="107"/>
      <c r="BX58" s="107"/>
      <c r="BY58" s="107"/>
      <c r="BZ58" s="107"/>
      <c r="CA58" s="107"/>
      <c r="CB58" s="107"/>
      <c r="CC58" s="107"/>
      <c r="CD58" s="107"/>
      <c r="CE58" s="107"/>
      <c r="CF58" s="107"/>
      <c r="CG58" s="107"/>
      <c r="CH58" s="107"/>
      <c r="CI58" s="107"/>
      <c r="CJ58" s="107"/>
      <c r="CK58" s="107"/>
      <c r="CL58" s="107"/>
      <c r="CM58" s="107"/>
      <c r="CN58" s="107"/>
      <c r="CO58" s="107"/>
      <c r="CP58" s="107"/>
      <c r="CQ58" s="107"/>
      <c r="CR58" s="107"/>
      <c r="CS58" s="107"/>
      <c r="CT58" s="107"/>
      <c r="CU58" s="107"/>
      <c r="CV58" s="107"/>
      <c r="CW58" s="107"/>
      <c r="CX58" s="107"/>
      <c r="CY58" s="107"/>
      <c r="CZ58" s="107"/>
      <c r="DA58" s="107"/>
      <c r="DB58" s="107"/>
      <c r="DC58" s="107"/>
      <c r="DD58" s="107"/>
      <c r="DE58" s="107"/>
      <c r="DF58" s="107"/>
      <c r="DG58" s="107"/>
      <c r="DH58" s="107"/>
      <c r="DI58" s="107"/>
      <c r="DJ58" s="107"/>
      <c r="DK58" s="107"/>
      <c r="DL58" s="107"/>
      <c r="DM58" s="107"/>
      <c r="DN58" s="107"/>
      <c r="DO58" s="107"/>
      <c r="DP58" s="107"/>
      <c r="DQ58" s="107"/>
      <c r="DR58" s="107"/>
      <c r="DS58" s="107"/>
      <c r="DT58" s="107"/>
      <c r="DU58" s="107"/>
      <c r="DV58" s="107"/>
      <c r="DW58" s="107"/>
      <c r="DX58" s="107"/>
      <c r="DY58" s="107"/>
      <c r="DZ58" s="107"/>
      <c r="EA58" s="107"/>
      <c r="EB58" s="107"/>
      <c r="EC58" s="107"/>
      <c r="ED58" s="107"/>
      <c r="EE58" s="107"/>
      <c r="EF58" s="107"/>
      <c r="EG58" s="107"/>
      <c r="EH58" s="107"/>
      <c r="EI58" s="107"/>
      <c r="EJ58" s="107"/>
      <c r="EK58" s="107"/>
      <c r="EL58" s="107"/>
      <c r="EM58" s="107"/>
      <c r="EN58" s="107"/>
      <c r="EO58" s="107"/>
      <c r="EP58" s="107"/>
      <c r="EQ58" s="107"/>
      <c r="ER58" s="107"/>
      <c r="ES58" s="107"/>
      <c r="ET58" s="107"/>
      <c r="EU58" s="107"/>
      <c r="EV58" s="107"/>
      <c r="EW58" s="107"/>
      <c r="EX58" s="107"/>
      <c r="EY58" s="107"/>
      <c r="EZ58" s="107"/>
      <c r="FA58" s="107"/>
      <c r="FB58" s="107"/>
      <c r="FC58" s="107"/>
      <c r="FD58" s="107"/>
      <c r="FE58" s="107"/>
      <c r="FF58" s="107"/>
      <c r="FG58" s="107"/>
      <c r="FH58" s="107"/>
      <c r="FI58" s="107"/>
      <c r="FJ58" s="107"/>
      <c r="FK58" s="107"/>
      <c r="FL58" s="107"/>
      <c r="FM58" s="107"/>
      <c r="FN58" s="107"/>
      <c r="FO58" s="107"/>
      <c r="FP58" s="107"/>
      <c r="FQ58" s="107"/>
      <c r="FR58" s="107"/>
      <c r="FS58" s="107"/>
      <c r="FT58" s="107"/>
      <c r="FU58" s="107"/>
    </row>
    <row r="59" spans="1:177" s="108" customFormat="1" ht="16.5">
      <c r="A59" s="100"/>
      <c r="B59" s="148" t="str">
        <f>+Configuración!B28</f>
        <v>D-IndexaCapitalFondo</v>
      </c>
      <c r="C59" s="153">
        <f>+Movimientos!D15</f>
        <v>9979.9100000000017</v>
      </c>
      <c r="D59" s="150">
        <f>+C59/$C$2</f>
        <v>1.2872597519057389E-2</v>
      </c>
      <c r="E59" s="154">
        <f>+C59</f>
        <v>9979.9100000000017</v>
      </c>
      <c r="F59" s="150">
        <f>+E59/$E$2</f>
        <v>2.2765311857588417E-2</v>
      </c>
      <c r="G59" s="154" t="s">
        <v>785</v>
      </c>
      <c r="H59" s="155" t="s">
        <v>785</v>
      </c>
      <c r="I59" s="106"/>
      <c r="J59" s="24"/>
      <c r="K59" s="24"/>
      <c r="L59" s="24"/>
      <c r="M59" s="24"/>
      <c r="N59" s="24"/>
      <c r="O59" s="24"/>
      <c r="P59" s="107"/>
      <c r="Q59" s="107"/>
      <c r="R59" s="107"/>
      <c r="S59" s="107"/>
      <c r="T59" s="107"/>
      <c r="U59" s="107"/>
      <c r="V59" s="107"/>
      <c r="W59" s="107"/>
      <c r="X59" s="107"/>
      <c r="Y59" s="107"/>
      <c r="Z59" s="107"/>
      <c r="AA59" s="107"/>
      <c r="AB59" s="107"/>
      <c r="AC59" s="107"/>
      <c r="AD59" s="107"/>
      <c r="AE59" s="107"/>
      <c r="AF59" s="107"/>
      <c r="AG59" s="107"/>
      <c r="AH59" s="107"/>
      <c r="AI59" s="107"/>
      <c r="AJ59" s="107"/>
      <c r="AK59" s="107"/>
      <c r="AL59" s="107"/>
      <c r="AM59" s="107"/>
      <c r="AN59" s="107"/>
      <c r="AO59" s="107"/>
      <c r="AP59" s="107"/>
      <c r="AQ59" s="107"/>
      <c r="AR59" s="107"/>
      <c r="AS59" s="107"/>
      <c r="AT59" s="107"/>
      <c r="AU59" s="107"/>
      <c r="AV59" s="107"/>
      <c r="AW59" s="107"/>
      <c r="AX59" s="107"/>
      <c r="AY59" s="107"/>
      <c r="AZ59" s="107"/>
      <c r="BA59" s="107"/>
      <c r="BB59" s="107"/>
      <c r="BC59" s="107"/>
      <c r="BD59" s="107"/>
      <c r="BE59" s="107"/>
      <c r="BF59" s="107"/>
      <c r="BG59" s="107"/>
      <c r="BH59" s="107"/>
      <c r="BI59" s="107"/>
      <c r="BJ59" s="107"/>
      <c r="BK59" s="107"/>
      <c r="BL59" s="107"/>
      <c r="BM59" s="107"/>
      <c r="BN59" s="107"/>
      <c r="BO59" s="107"/>
      <c r="BP59" s="107"/>
      <c r="BQ59" s="107"/>
      <c r="BR59" s="107"/>
      <c r="BS59" s="107"/>
      <c r="BT59" s="107"/>
      <c r="BU59" s="107"/>
      <c r="BV59" s="107"/>
      <c r="BW59" s="107"/>
      <c r="BX59" s="107"/>
      <c r="BY59" s="107"/>
      <c r="BZ59" s="107"/>
      <c r="CA59" s="107"/>
      <c r="CB59" s="107"/>
      <c r="CC59" s="107"/>
      <c r="CD59" s="107"/>
      <c r="CE59" s="107"/>
      <c r="CF59" s="107"/>
      <c r="CG59" s="107"/>
      <c r="CH59" s="107"/>
      <c r="CI59" s="107"/>
      <c r="CJ59" s="107"/>
      <c r="CK59" s="107"/>
      <c r="CL59" s="107"/>
      <c r="CM59" s="107"/>
      <c r="CN59" s="107"/>
      <c r="CO59" s="107"/>
      <c r="CP59" s="107"/>
      <c r="CQ59" s="107"/>
      <c r="CR59" s="107"/>
      <c r="CS59" s="107"/>
      <c r="CT59" s="107"/>
      <c r="CU59" s="107"/>
      <c r="CV59" s="107"/>
      <c r="CW59" s="107"/>
      <c r="CX59" s="107"/>
      <c r="CY59" s="107"/>
      <c r="CZ59" s="107"/>
      <c r="DA59" s="107"/>
      <c r="DB59" s="107"/>
      <c r="DC59" s="107"/>
      <c r="DD59" s="107"/>
      <c r="DE59" s="107"/>
      <c r="DF59" s="107"/>
      <c r="DG59" s="107"/>
      <c r="DH59" s="107"/>
      <c r="DI59" s="107"/>
      <c r="DJ59" s="107"/>
      <c r="DK59" s="107"/>
      <c r="DL59" s="107"/>
      <c r="DM59" s="107"/>
      <c r="DN59" s="107"/>
      <c r="DO59" s="107"/>
      <c r="DP59" s="107"/>
      <c r="DQ59" s="107"/>
      <c r="DR59" s="107"/>
      <c r="DS59" s="107"/>
      <c r="DT59" s="107"/>
      <c r="DU59" s="107"/>
      <c r="DV59" s="107"/>
      <c r="DW59" s="107"/>
      <c r="DX59" s="107"/>
      <c r="DY59" s="107"/>
      <c r="DZ59" s="107"/>
      <c r="EA59" s="107"/>
      <c r="EB59" s="107"/>
      <c r="EC59" s="107"/>
      <c r="ED59" s="107"/>
      <c r="EE59" s="107"/>
      <c r="EF59" s="107"/>
      <c r="EG59" s="107"/>
      <c r="EH59" s="107"/>
      <c r="EI59" s="107"/>
      <c r="EJ59" s="107"/>
      <c r="EK59" s="107"/>
      <c r="EL59" s="107"/>
      <c r="EM59" s="107"/>
      <c r="EN59" s="107"/>
      <c r="EO59" s="107"/>
      <c r="EP59" s="107"/>
      <c r="EQ59" s="107"/>
      <c r="ER59" s="107"/>
      <c r="ES59" s="107"/>
      <c r="ET59" s="107"/>
      <c r="EU59" s="107"/>
      <c r="EV59" s="107"/>
      <c r="EW59" s="107"/>
      <c r="EX59" s="107"/>
      <c r="EY59" s="107"/>
      <c r="EZ59" s="107"/>
      <c r="FA59" s="107"/>
      <c r="FB59" s="107"/>
      <c r="FC59" s="107"/>
      <c r="FD59" s="107"/>
      <c r="FE59" s="107"/>
      <c r="FF59" s="107"/>
      <c r="FG59" s="107"/>
      <c r="FH59" s="107"/>
      <c r="FI59" s="107"/>
      <c r="FJ59" s="107"/>
      <c r="FK59" s="107"/>
      <c r="FL59" s="107"/>
      <c r="FM59" s="107"/>
      <c r="FN59" s="107"/>
      <c r="FO59" s="107"/>
      <c r="FP59" s="107"/>
      <c r="FQ59" s="107"/>
      <c r="FR59" s="107"/>
      <c r="FS59" s="107"/>
      <c r="FT59" s="107"/>
      <c r="FU59" s="107"/>
    </row>
    <row r="60" spans="1:177" s="108" customFormat="1" ht="16.5">
      <c r="A60" s="160"/>
      <c r="B60" s="148" t="str">
        <f>+Configuración!B31</f>
        <v>D-Interactivebrokers</v>
      </c>
      <c r="C60" s="153">
        <f>+Movimientos!D18</f>
        <v>6020.5599999999995</v>
      </c>
      <c r="D60" s="150">
        <f>+C60/$C$2</f>
        <v>7.7656257139930253E-3</v>
      </c>
      <c r="E60" s="154">
        <f>+C60</f>
        <v>6020.5599999999995</v>
      </c>
      <c r="F60" s="150">
        <f>+E60/$E$2</f>
        <v>1.3733583364711956E-2</v>
      </c>
      <c r="G60" s="154" t="s">
        <v>785</v>
      </c>
      <c r="H60" s="155" t="s">
        <v>785</v>
      </c>
      <c r="I60" s="161"/>
      <c r="J60" s="162"/>
      <c r="K60" s="162"/>
      <c r="L60" s="162"/>
      <c r="M60" s="162"/>
      <c r="N60" s="162"/>
      <c r="O60" s="162"/>
      <c r="P60" s="163"/>
      <c r="Q60" s="16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  <c r="AC60" s="163"/>
      <c r="AD60" s="163"/>
      <c r="AE60" s="163"/>
      <c r="AF60" s="163"/>
      <c r="AG60" s="163"/>
      <c r="AH60" s="163"/>
      <c r="AI60" s="163"/>
      <c r="AJ60" s="163"/>
      <c r="AK60" s="163"/>
      <c r="AL60" s="163"/>
      <c r="AM60" s="163"/>
      <c r="AN60" s="163"/>
      <c r="AO60" s="163"/>
      <c r="AP60" s="163"/>
      <c r="AQ60" s="163"/>
      <c r="AR60" s="163"/>
      <c r="AS60" s="163"/>
      <c r="AT60" s="163"/>
      <c r="AU60" s="163"/>
      <c r="AV60" s="163"/>
      <c r="AW60" s="163"/>
      <c r="AX60" s="163"/>
      <c r="AY60" s="163"/>
      <c r="AZ60" s="163"/>
      <c r="BA60" s="163"/>
      <c r="BB60" s="163"/>
      <c r="BC60" s="163"/>
      <c r="BD60" s="163"/>
      <c r="BE60" s="163"/>
      <c r="BF60" s="163"/>
      <c r="BG60" s="163"/>
      <c r="BH60" s="163"/>
      <c r="BI60" s="163"/>
      <c r="BJ60" s="163"/>
      <c r="BK60" s="163"/>
      <c r="BL60" s="163"/>
      <c r="BM60" s="163"/>
      <c r="BN60" s="163"/>
      <c r="BO60" s="163"/>
      <c r="BP60" s="163"/>
      <c r="BQ60" s="163"/>
      <c r="BR60" s="163"/>
      <c r="BS60" s="163"/>
      <c r="BT60" s="163"/>
      <c r="BU60" s="163"/>
      <c r="BV60" s="163"/>
      <c r="BW60" s="163"/>
      <c r="BX60" s="163"/>
      <c r="BY60" s="163"/>
      <c r="BZ60" s="163"/>
      <c r="CA60" s="163"/>
      <c r="CB60" s="163"/>
      <c r="CC60" s="163"/>
      <c r="CD60" s="163"/>
      <c r="CE60" s="163"/>
      <c r="CF60" s="163"/>
      <c r="CG60" s="163"/>
      <c r="CH60" s="163"/>
      <c r="CI60" s="163"/>
      <c r="CJ60" s="163"/>
      <c r="CK60" s="163"/>
      <c r="CL60" s="163"/>
      <c r="CM60" s="163"/>
      <c r="CN60" s="163"/>
      <c r="CO60" s="163"/>
      <c r="CP60" s="163"/>
      <c r="CQ60" s="163"/>
      <c r="CR60" s="163"/>
      <c r="CS60" s="163"/>
      <c r="CT60" s="163"/>
      <c r="CU60" s="163"/>
      <c r="CV60" s="163"/>
      <c r="CW60" s="163"/>
      <c r="CX60" s="163"/>
      <c r="CY60" s="163"/>
      <c r="CZ60" s="163"/>
      <c r="DA60" s="163"/>
      <c r="DB60" s="163"/>
      <c r="DC60" s="163"/>
      <c r="DD60" s="163"/>
      <c r="DE60" s="163"/>
      <c r="DF60" s="163"/>
      <c r="DG60" s="163"/>
      <c r="DH60" s="163"/>
      <c r="DI60" s="163"/>
      <c r="DJ60" s="163"/>
      <c r="DK60" s="163"/>
      <c r="DL60" s="163"/>
      <c r="DM60" s="163"/>
      <c r="DN60" s="163"/>
      <c r="DO60" s="163"/>
      <c r="DP60" s="163"/>
      <c r="DQ60" s="163"/>
      <c r="DR60" s="163"/>
      <c r="DS60" s="163"/>
      <c r="DT60" s="163"/>
      <c r="DU60" s="163"/>
      <c r="DV60" s="163"/>
      <c r="DW60" s="163"/>
      <c r="DX60" s="163"/>
      <c r="DY60" s="163"/>
      <c r="DZ60" s="163"/>
      <c r="EA60" s="163"/>
      <c r="EB60" s="163"/>
      <c r="EC60" s="163"/>
      <c r="ED60" s="163"/>
      <c r="EE60" s="163"/>
      <c r="EF60" s="163"/>
      <c r="EG60" s="163"/>
      <c r="EH60" s="163"/>
      <c r="EI60" s="163"/>
      <c r="EJ60" s="163"/>
      <c r="EK60" s="163"/>
      <c r="EL60" s="163"/>
      <c r="EM60" s="163"/>
      <c r="EN60" s="163"/>
      <c r="EO60" s="163"/>
      <c r="EP60" s="163"/>
      <c r="EQ60" s="163"/>
      <c r="ER60" s="163"/>
      <c r="ES60" s="163"/>
      <c r="ET60" s="163"/>
      <c r="EU60" s="163"/>
      <c r="EV60" s="163"/>
      <c r="EW60" s="163"/>
      <c r="EX60" s="163"/>
      <c r="EY60" s="163"/>
      <c r="EZ60" s="163"/>
      <c r="FA60" s="163"/>
      <c r="FB60" s="163"/>
      <c r="FC60" s="163"/>
      <c r="FD60" s="163"/>
      <c r="FE60" s="163"/>
      <c r="FF60" s="163"/>
      <c r="FG60" s="163"/>
      <c r="FH60" s="163"/>
      <c r="FI60" s="163"/>
      <c r="FJ60" s="163"/>
      <c r="FK60" s="163"/>
      <c r="FL60" s="163"/>
      <c r="FM60" s="163"/>
      <c r="FN60" s="163"/>
      <c r="FO60" s="163"/>
      <c r="FP60" s="163"/>
      <c r="FQ60" s="163"/>
      <c r="FR60" s="163"/>
      <c r="FS60" s="163"/>
      <c r="FT60" s="163"/>
      <c r="FU60" s="163"/>
    </row>
    <row r="61" spans="1:177" ht="16.5" hidden="1">
      <c r="A61" s="100"/>
      <c r="B61" s="148" t="str">
        <f>+Configuración!B34</f>
        <v>D-Letras</v>
      </c>
      <c r="C61" s="153">
        <f>+Movimientos!D21</f>
        <v>0</v>
      </c>
      <c r="D61" s="150">
        <f>+C61/$C$2</f>
        <v>0</v>
      </c>
      <c r="E61" s="154">
        <f>+C61</f>
        <v>0</v>
      </c>
      <c r="F61" s="150">
        <f>+E61/$E$2</f>
        <v>0</v>
      </c>
      <c r="G61" s="154" t="s">
        <v>785</v>
      </c>
      <c r="H61" s="155" t="s">
        <v>785</v>
      </c>
      <c r="I61" s="106"/>
      <c r="J61" s="24"/>
      <c r="K61" s="24"/>
      <c r="L61" s="24"/>
      <c r="M61" s="24"/>
      <c r="N61" s="24"/>
      <c r="O61" s="24"/>
      <c r="P61" s="107"/>
      <c r="Q61" s="107"/>
      <c r="R61" s="107"/>
      <c r="S61" s="107"/>
      <c r="T61" s="107"/>
      <c r="U61" s="107"/>
      <c r="V61" s="107"/>
      <c r="W61" s="107"/>
      <c r="X61" s="107"/>
      <c r="Y61" s="107"/>
      <c r="Z61" s="107"/>
      <c r="AA61" s="107"/>
      <c r="AB61" s="107"/>
      <c r="AC61" s="107"/>
      <c r="AD61" s="107"/>
      <c r="AE61" s="107"/>
      <c r="AF61" s="107"/>
      <c r="AG61" s="107"/>
      <c r="AH61" s="107"/>
      <c r="AI61" s="107"/>
      <c r="AJ61" s="107"/>
      <c r="AK61" s="107"/>
      <c r="AL61" s="107"/>
      <c r="AM61" s="107"/>
      <c r="AN61" s="107"/>
      <c r="AO61" s="107"/>
      <c r="AP61" s="107"/>
      <c r="AQ61" s="107"/>
      <c r="AR61" s="107"/>
      <c r="AS61" s="107"/>
      <c r="AT61" s="107"/>
      <c r="AU61" s="107"/>
      <c r="AV61" s="107"/>
      <c r="AW61" s="107"/>
      <c r="AX61" s="107"/>
      <c r="AY61" s="107"/>
      <c r="AZ61" s="107"/>
      <c r="BA61" s="107"/>
      <c r="BB61" s="107"/>
      <c r="BC61" s="107"/>
      <c r="BD61" s="107"/>
      <c r="BE61" s="107"/>
      <c r="BF61" s="107"/>
      <c r="BG61" s="107"/>
      <c r="BH61" s="107"/>
      <c r="BI61" s="107"/>
      <c r="BJ61" s="107"/>
      <c r="BK61" s="107"/>
      <c r="BL61" s="107"/>
      <c r="BM61" s="107"/>
      <c r="BN61" s="107"/>
      <c r="BO61" s="107"/>
      <c r="BP61" s="107"/>
      <c r="BQ61" s="107"/>
      <c r="BR61" s="107"/>
      <c r="BS61" s="107"/>
      <c r="BT61" s="107"/>
      <c r="BU61" s="107"/>
      <c r="BV61" s="107"/>
      <c r="BW61" s="107"/>
      <c r="BX61" s="107"/>
      <c r="BY61" s="107"/>
      <c r="BZ61" s="107"/>
      <c r="CA61" s="107"/>
      <c r="CB61" s="107"/>
      <c r="CC61" s="107"/>
      <c r="CD61" s="107"/>
      <c r="CE61" s="107"/>
      <c r="CF61" s="107"/>
      <c r="CG61" s="107"/>
      <c r="CH61" s="107"/>
      <c r="CI61" s="107"/>
      <c r="CJ61" s="107"/>
      <c r="CK61" s="107"/>
      <c r="CL61" s="107"/>
      <c r="CM61" s="107"/>
      <c r="CN61" s="107"/>
      <c r="CO61" s="107"/>
      <c r="CP61" s="107"/>
      <c r="CQ61" s="107"/>
      <c r="CR61" s="107"/>
      <c r="CS61" s="107"/>
      <c r="CT61" s="107"/>
      <c r="CU61" s="107"/>
      <c r="CV61" s="107"/>
      <c r="CW61" s="107"/>
      <c r="CX61" s="107"/>
      <c r="CY61" s="107"/>
      <c r="CZ61" s="107"/>
      <c r="DA61" s="107"/>
      <c r="DB61" s="107"/>
      <c r="DC61" s="107"/>
      <c r="DD61" s="107"/>
      <c r="DE61" s="107"/>
      <c r="DF61" s="107"/>
      <c r="DG61" s="107"/>
      <c r="DH61" s="107"/>
      <c r="DI61" s="107"/>
      <c r="DJ61" s="107"/>
      <c r="DK61" s="107"/>
      <c r="DL61" s="107"/>
      <c r="DM61" s="107"/>
      <c r="DN61" s="107"/>
      <c r="DO61" s="107"/>
      <c r="DP61" s="107"/>
      <c r="DQ61" s="107"/>
      <c r="DR61" s="107"/>
      <c r="DS61" s="107"/>
      <c r="DT61" s="107"/>
      <c r="DU61" s="107"/>
      <c r="DV61" s="107"/>
      <c r="DW61" s="107"/>
      <c r="DX61" s="107"/>
      <c r="DY61" s="107"/>
      <c r="DZ61" s="107"/>
      <c r="EA61" s="107"/>
      <c r="EB61" s="107"/>
      <c r="EC61" s="107"/>
      <c r="ED61" s="107"/>
      <c r="EE61" s="107"/>
      <c r="EF61" s="107"/>
      <c r="EG61" s="107"/>
      <c r="EH61" s="107"/>
      <c r="EI61" s="107"/>
      <c r="EJ61" s="107"/>
      <c r="EK61" s="107"/>
      <c r="EL61" s="107"/>
      <c r="EM61" s="107"/>
      <c r="EN61" s="107"/>
      <c r="EO61" s="107"/>
      <c r="EP61" s="107"/>
      <c r="EQ61" s="107"/>
      <c r="ER61" s="107"/>
      <c r="ES61" s="107"/>
      <c r="ET61" s="107"/>
      <c r="EU61" s="107"/>
      <c r="EV61" s="107"/>
      <c r="EW61" s="107"/>
      <c r="EX61" s="107"/>
      <c r="EY61" s="107"/>
      <c r="EZ61" s="107"/>
      <c r="FA61" s="107"/>
      <c r="FB61" s="107"/>
      <c r="FC61" s="107"/>
      <c r="FD61" s="107"/>
      <c r="FE61" s="107"/>
      <c r="FF61" s="107"/>
      <c r="FG61" s="107"/>
      <c r="FH61" s="107"/>
      <c r="FI61" s="107"/>
      <c r="FJ61" s="107"/>
      <c r="FK61" s="107"/>
      <c r="FL61" s="107"/>
      <c r="FM61" s="107"/>
      <c r="FN61" s="107"/>
      <c r="FO61" s="107"/>
      <c r="FP61" s="107"/>
      <c r="FQ61" s="107"/>
      <c r="FR61" s="107"/>
      <c r="FS61" s="107"/>
      <c r="FT61" s="107"/>
      <c r="FU61" s="107"/>
    </row>
    <row r="62" spans="1:177" ht="16.5">
      <c r="A62" s="100"/>
      <c r="B62" s="148" t="str">
        <f>+Configuración!B36</f>
        <v>D-Mintos</v>
      </c>
      <c r="C62" s="153">
        <f>+Movimientos!D23</f>
        <v>3178.74</v>
      </c>
      <c r="D62" s="150">
        <f>+C62/$C$2</f>
        <v>4.1001011670173853E-3</v>
      </c>
      <c r="E62" s="154">
        <f>+C62</f>
        <v>3178.74</v>
      </c>
      <c r="F62" s="150">
        <f>+E62/$E$2</f>
        <v>7.2510681373069083E-3</v>
      </c>
      <c r="G62" s="154" t="s">
        <v>785</v>
      </c>
      <c r="H62" s="155" t="s">
        <v>785</v>
      </c>
      <c r="I62" s="106"/>
      <c r="J62" s="24"/>
      <c r="K62" s="24"/>
      <c r="L62" s="24"/>
      <c r="M62" s="24"/>
      <c r="N62" s="24"/>
      <c r="O62" s="24"/>
      <c r="P62" s="107"/>
      <c r="Q62" s="107"/>
      <c r="R62" s="107"/>
      <c r="S62" s="107"/>
      <c r="T62" s="107"/>
      <c r="U62" s="107"/>
      <c r="V62" s="107"/>
      <c r="W62" s="107"/>
      <c r="X62" s="107"/>
      <c r="Y62" s="107"/>
      <c r="Z62" s="107"/>
      <c r="AA62" s="107"/>
      <c r="AB62" s="107"/>
      <c r="AC62" s="107"/>
      <c r="AD62" s="107"/>
      <c r="AE62" s="107"/>
      <c r="AF62" s="107"/>
      <c r="AG62" s="107"/>
      <c r="AH62" s="107"/>
      <c r="AI62" s="107"/>
      <c r="AJ62" s="107"/>
      <c r="AK62" s="107"/>
      <c r="AL62" s="107"/>
      <c r="AM62" s="107"/>
      <c r="AN62" s="107"/>
      <c r="AO62" s="107"/>
      <c r="AP62" s="107"/>
      <c r="AQ62" s="107"/>
      <c r="AR62" s="107"/>
      <c r="AS62" s="107"/>
      <c r="AT62" s="107"/>
      <c r="AU62" s="107"/>
      <c r="AV62" s="107"/>
      <c r="AW62" s="107"/>
      <c r="AX62" s="107"/>
      <c r="AY62" s="107"/>
      <c r="AZ62" s="107"/>
      <c r="BA62" s="107"/>
      <c r="BB62" s="107"/>
      <c r="BC62" s="107"/>
      <c r="BD62" s="107"/>
      <c r="BE62" s="107"/>
      <c r="BF62" s="107"/>
      <c r="BG62" s="107"/>
      <c r="BH62" s="107"/>
      <c r="BI62" s="107"/>
      <c r="BJ62" s="107"/>
      <c r="BK62" s="107"/>
      <c r="BL62" s="107"/>
      <c r="BM62" s="107"/>
      <c r="BN62" s="107"/>
      <c r="BO62" s="107"/>
      <c r="BP62" s="107"/>
      <c r="BQ62" s="107"/>
      <c r="BR62" s="107"/>
      <c r="BS62" s="107"/>
      <c r="BT62" s="107"/>
      <c r="BU62" s="107"/>
      <c r="BV62" s="107"/>
      <c r="BW62" s="107"/>
      <c r="BX62" s="107"/>
      <c r="BY62" s="107"/>
      <c r="BZ62" s="107"/>
      <c r="CA62" s="107"/>
      <c r="CB62" s="107"/>
      <c r="CC62" s="107"/>
      <c r="CD62" s="107"/>
      <c r="CE62" s="107"/>
      <c r="CF62" s="107"/>
      <c r="CG62" s="107"/>
      <c r="CH62" s="107"/>
      <c r="CI62" s="107"/>
      <c r="CJ62" s="107"/>
      <c r="CK62" s="107"/>
      <c r="CL62" s="107"/>
      <c r="CM62" s="107"/>
      <c r="CN62" s="107"/>
      <c r="CO62" s="107"/>
      <c r="CP62" s="107"/>
      <c r="CQ62" s="107"/>
      <c r="CR62" s="107"/>
      <c r="CS62" s="107"/>
      <c r="CT62" s="107"/>
      <c r="CU62" s="107"/>
      <c r="CV62" s="107"/>
      <c r="CW62" s="107"/>
      <c r="CX62" s="107"/>
      <c r="CY62" s="107"/>
      <c r="CZ62" s="107"/>
      <c r="DA62" s="107"/>
      <c r="DB62" s="107"/>
      <c r="DC62" s="107"/>
      <c r="DD62" s="107"/>
      <c r="DE62" s="107"/>
      <c r="DF62" s="107"/>
      <c r="DG62" s="107"/>
      <c r="DH62" s="107"/>
      <c r="DI62" s="107"/>
      <c r="DJ62" s="107"/>
      <c r="DK62" s="107"/>
      <c r="DL62" s="107"/>
      <c r="DM62" s="107"/>
      <c r="DN62" s="107"/>
      <c r="DO62" s="107"/>
      <c r="DP62" s="107"/>
      <c r="DQ62" s="107"/>
      <c r="DR62" s="107"/>
      <c r="DS62" s="107"/>
      <c r="DT62" s="107"/>
      <c r="DU62" s="107"/>
      <c r="DV62" s="107"/>
      <c r="DW62" s="107"/>
      <c r="DX62" s="107"/>
      <c r="DY62" s="107"/>
      <c r="DZ62" s="107"/>
      <c r="EA62" s="107"/>
      <c r="EB62" s="107"/>
      <c r="EC62" s="107"/>
      <c r="ED62" s="107"/>
      <c r="EE62" s="107"/>
      <c r="EF62" s="107"/>
      <c r="EG62" s="107"/>
      <c r="EH62" s="107"/>
      <c r="EI62" s="107"/>
      <c r="EJ62" s="107"/>
      <c r="EK62" s="107"/>
      <c r="EL62" s="107"/>
      <c r="EM62" s="107"/>
      <c r="EN62" s="107"/>
      <c r="EO62" s="107"/>
      <c r="EP62" s="107"/>
      <c r="EQ62" s="107"/>
      <c r="ER62" s="107"/>
      <c r="ES62" s="107"/>
      <c r="ET62" s="107"/>
      <c r="EU62" s="107"/>
      <c r="EV62" s="107"/>
      <c r="EW62" s="107"/>
      <c r="EX62" s="107"/>
      <c r="EY62" s="107"/>
      <c r="EZ62" s="107"/>
      <c r="FA62" s="107"/>
      <c r="FB62" s="107"/>
      <c r="FC62" s="107"/>
      <c r="FD62" s="107"/>
      <c r="FE62" s="107"/>
      <c r="FF62" s="107"/>
      <c r="FG62" s="107"/>
      <c r="FH62" s="107"/>
      <c r="FI62" s="107"/>
      <c r="FJ62" s="107"/>
      <c r="FK62" s="107"/>
      <c r="FL62" s="107"/>
      <c r="FM62" s="107"/>
      <c r="FN62" s="107"/>
      <c r="FO62" s="107"/>
      <c r="FP62" s="107"/>
      <c r="FQ62" s="107"/>
      <c r="FR62" s="107"/>
      <c r="FS62" s="107"/>
      <c r="FT62" s="107"/>
      <c r="FU62" s="107"/>
    </row>
    <row r="63" spans="1:177" ht="16.5">
      <c r="A63" s="100"/>
      <c r="B63" s="148" t="str">
        <f>+Configuración!B38</f>
        <v>D-MyinvestorFondo</v>
      </c>
      <c r="C63" s="153">
        <f>+Movimientos!D25</f>
        <v>11904.52</v>
      </c>
      <c r="D63" s="150">
        <f>+C63/$C$2</f>
        <v>1.5355057772822506E-2</v>
      </c>
      <c r="E63" s="154">
        <f>+C63</f>
        <v>11904.52</v>
      </c>
      <c r="F63" s="150">
        <f>+E63/$E$2</f>
        <v>2.7155566564718361E-2</v>
      </c>
      <c r="G63" s="154" t="s">
        <v>785</v>
      </c>
      <c r="H63" s="155" t="s">
        <v>785</v>
      </c>
      <c r="I63" s="106"/>
      <c r="J63" s="24"/>
      <c r="K63" s="24"/>
      <c r="L63" s="24"/>
      <c r="M63" s="24"/>
      <c r="N63" s="24"/>
      <c r="O63" s="24"/>
      <c r="P63" s="107"/>
      <c r="Q63" s="107"/>
      <c r="R63" s="107"/>
      <c r="S63" s="107"/>
      <c r="T63" s="107"/>
      <c r="U63" s="107"/>
      <c r="V63" s="107"/>
      <c r="W63" s="107"/>
      <c r="X63" s="107"/>
      <c r="Y63" s="107"/>
      <c r="Z63" s="107"/>
      <c r="AA63" s="107"/>
      <c r="AB63" s="107"/>
      <c r="AC63" s="107"/>
      <c r="AD63" s="107"/>
      <c r="AE63" s="107"/>
      <c r="AF63" s="107"/>
      <c r="AG63" s="107"/>
      <c r="AH63" s="107"/>
      <c r="AI63" s="107"/>
      <c r="AJ63" s="107"/>
      <c r="AK63" s="107"/>
      <c r="AL63" s="107"/>
      <c r="AM63" s="107"/>
      <c r="AN63" s="107"/>
      <c r="AO63" s="107"/>
      <c r="AP63" s="107"/>
      <c r="AQ63" s="107"/>
      <c r="AR63" s="107"/>
      <c r="AS63" s="107"/>
      <c r="AT63" s="107"/>
      <c r="AU63" s="107"/>
      <c r="AV63" s="107"/>
      <c r="AW63" s="107"/>
      <c r="AX63" s="107"/>
      <c r="AY63" s="107"/>
      <c r="AZ63" s="107"/>
      <c r="BA63" s="107"/>
      <c r="BB63" s="107"/>
      <c r="BC63" s="107"/>
      <c r="BD63" s="107"/>
      <c r="BE63" s="107"/>
      <c r="BF63" s="107"/>
      <c r="BG63" s="107"/>
      <c r="BH63" s="107"/>
      <c r="BI63" s="107"/>
      <c r="BJ63" s="107"/>
      <c r="BK63" s="107"/>
      <c r="BL63" s="107"/>
      <c r="BM63" s="107"/>
      <c r="BN63" s="107"/>
      <c r="BO63" s="107"/>
      <c r="BP63" s="107"/>
      <c r="BQ63" s="107"/>
      <c r="BR63" s="107"/>
      <c r="BS63" s="107"/>
      <c r="BT63" s="107"/>
      <c r="BU63" s="107"/>
      <c r="BV63" s="107"/>
      <c r="BW63" s="107"/>
      <c r="BX63" s="107"/>
      <c r="BY63" s="107"/>
      <c r="BZ63" s="107"/>
      <c r="CA63" s="107"/>
      <c r="CB63" s="107"/>
      <c r="CC63" s="107"/>
      <c r="CD63" s="107"/>
      <c r="CE63" s="107"/>
      <c r="CF63" s="107"/>
      <c r="CG63" s="107"/>
      <c r="CH63" s="107"/>
      <c r="CI63" s="107"/>
      <c r="CJ63" s="107"/>
      <c r="CK63" s="107"/>
      <c r="CL63" s="107"/>
      <c r="CM63" s="107"/>
      <c r="CN63" s="107"/>
      <c r="CO63" s="107"/>
      <c r="CP63" s="107"/>
      <c r="CQ63" s="107"/>
      <c r="CR63" s="107"/>
      <c r="CS63" s="107"/>
      <c r="CT63" s="107"/>
      <c r="CU63" s="107"/>
      <c r="CV63" s="107"/>
      <c r="CW63" s="107"/>
      <c r="CX63" s="107"/>
      <c r="CY63" s="107"/>
      <c r="CZ63" s="107"/>
      <c r="DA63" s="107"/>
      <c r="DB63" s="107"/>
      <c r="DC63" s="107"/>
      <c r="DD63" s="107"/>
      <c r="DE63" s="107"/>
      <c r="DF63" s="107"/>
      <c r="DG63" s="107"/>
      <c r="DH63" s="107"/>
      <c r="DI63" s="107"/>
      <c r="DJ63" s="107"/>
      <c r="DK63" s="107"/>
      <c r="DL63" s="107"/>
      <c r="DM63" s="107"/>
      <c r="DN63" s="107"/>
      <c r="DO63" s="107"/>
      <c r="DP63" s="107"/>
      <c r="DQ63" s="107"/>
      <c r="DR63" s="107"/>
      <c r="DS63" s="107"/>
      <c r="DT63" s="107"/>
      <c r="DU63" s="107"/>
      <c r="DV63" s="107"/>
      <c r="DW63" s="107"/>
      <c r="DX63" s="107"/>
      <c r="DY63" s="107"/>
      <c r="DZ63" s="107"/>
      <c r="EA63" s="107"/>
      <c r="EB63" s="107"/>
      <c r="EC63" s="107"/>
      <c r="ED63" s="107"/>
      <c r="EE63" s="107"/>
      <c r="EF63" s="107"/>
      <c r="EG63" s="107"/>
      <c r="EH63" s="107"/>
      <c r="EI63" s="107"/>
      <c r="EJ63" s="107"/>
      <c r="EK63" s="107"/>
      <c r="EL63" s="107"/>
      <c r="EM63" s="107"/>
      <c r="EN63" s="107"/>
      <c r="EO63" s="107"/>
      <c r="EP63" s="107"/>
      <c r="EQ63" s="107"/>
      <c r="ER63" s="107"/>
      <c r="ES63" s="107"/>
      <c r="ET63" s="107"/>
      <c r="EU63" s="107"/>
      <c r="EV63" s="107"/>
      <c r="EW63" s="107"/>
      <c r="EX63" s="107"/>
      <c r="EY63" s="107"/>
      <c r="EZ63" s="107"/>
      <c r="FA63" s="107"/>
      <c r="FB63" s="107"/>
      <c r="FC63" s="107"/>
      <c r="FD63" s="107"/>
      <c r="FE63" s="107"/>
      <c r="FF63" s="107"/>
      <c r="FG63" s="107"/>
      <c r="FH63" s="107"/>
      <c r="FI63" s="107"/>
      <c r="FJ63" s="107"/>
      <c r="FK63" s="107"/>
      <c r="FL63" s="107"/>
      <c r="FM63" s="107"/>
      <c r="FN63" s="107"/>
      <c r="FO63" s="107"/>
      <c r="FP63" s="107"/>
      <c r="FQ63" s="107"/>
      <c r="FR63" s="107"/>
      <c r="FS63" s="107"/>
      <c r="FT63" s="107"/>
      <c r="FU63" s="107"/>
    </row>
    <row r="64" spans="1:177" ht="16.5" hidden="1">
      <c r="A64" s="100"/>
      <c r="B64" s="148" t="str">
        <f>+Configuración!B41</f>
        <v>D-N26Fondo</v>
      </c>
      <c r="C64" s="153">
        <f>+Movimientos!D28</f>
        <v>2.2737367544323206E-13</v>
      </c>
      <c r="D64" s="150">
        <f>+C64/$C$2</f>
        <v>2.9327817689833962E-19</v>
      </c>
      <c r="E64" s="154">
        <f>+C64</f>
        <v>2.2737367544323206E-13</v>
      </c>
      <c r="F64" s="150">
        <f>+E64/$E$2</f>
        <v>5.1866526147743525E-19</v>
      </c>
      <c r="G64" s="154" t="s">
        <v>785</v>
      </c>
      <c r="H64" s="155" t="s">
        <v>785</v>
      </c>
      <c r="I64" s="106"/>
      <c r="J64" s="135"/>
      <c r="K64" s="24"/>
      <c r="L64" s="24"/>
      <c r="M64" s="24"/>
      <c r="N64" s="24"/>
      <c r="O64" s="24"/>
      <c r="P64" s="107"/>
      <c r="Q64" s="107"/>
      <c r="R64" s="107"/>
      <c r="S64" s="107"/>
      <c r="T64" s="107"/>
      <c r="U64" s="107"/>
      <c r="V64" s="107"/>
      <c r="W64" s="107"/>
      <c r="X64" s="107"/>
      <c r="Y64" s="107"/>
      <c r="Z64" s="107"/>
      <c r="AA64" s="107"/>
      <c r="AB64" s="107"/>
      <c r="AC64" s="107"/>
      <c r="AD64" s="107"/>
      <c r="AE64" s="107"/>
      <c r="AF64" s="107"/>
      <c r="AG64" s="107"/>
      <c r="AH64" s="107"/>
      <c r="AI64" s="107"/>
      <c r="AJ64" s="107"/>
      <c r="AK64" s="107"/>
      <c r="AL64" s="107"/>
      <c r="AM64" s="107"/>
      <c r="AN64" s="107"/>
      <c r="AO64" s="107"/>
      <c r="AP64" s="107"/>
      <c r="AQ64" s="107"/>
      <c r="AR64" s="107"/>
      <c r="AS64" s="107"/>
      <c r="AT64" s="107"/>
      <c r="AU64" s="107"/>
      <c r="AV64" s="107"/>
      <c r="AW64" s="107"/>
      <c r="AX64" s="107"/>
      <c r="AY64" s="107"/>
      <c r="AZ64" s="107"/>
      <c r="BA64" s="107"/>
      <c r="BB64" s="107"/>
      <c r="BC64" s="107"/>
      <c r="BD64" s="107"/>
      <c r="BE64" s="107"/>
      <c r="BF64" s="107"/>
      <c r="BG64" s="107"/>
      <c r="BH64" s="107"/>
      <c r="BI64" s="107"/>
      <c r="BJ64" s="107"/>
      <c r="BK64" s="107"/>
      <c r="BL64" s="107"/>
      <c r="BM64" s="107"/>
      <c r="BN64" s="107"/>
      <c r="BO64" s="107"/>
      <c r="BP64" s="107"/>
      <c r="BQ64" s="107"/>
      <c r="BR64" s="107"/>
      <c r="BS64" s="107"/>
      <c r="BT64" s="107"/>
      <c r="BU64" s="107"/>
      <c r="BV64" s="107"/>
      <c r="BW64" s="107"/>
      <c r="BX64" s="107"/>
      <c r="BY64" s="107"/>
      <c r="BZ64" s="107"/>
      <c r="CA64" s="107"/>
      <c r="CB64" s="107"/>
      <c r="CC64" s="107"/>
      <c r="CD64" s="107"/>
      <c r="CE64" s="107"/>
      <c r="CF64" s="107"/>
      <c r="CG64" s="107"/>
      <c r="CH64" s="107"/>
      <c r="CI64" s="107"/>
      <c r="CJ64" s="107"/>
      <c r="CK64" s="107"/>
      <c r="CL64" s="107"/>
      <c r="CM64" s="107"/>
      <c r="CN64" s="107"/>
      <c r="CO64" s="107"/>
      <c r="CP64" s="107"/>
      <c r="CQ64" s="107"/>
      <c r="CR64" s="107"/>
      <c r="CS64" s="107"/>
      <c r="CT64" s="107"/>
      <c r="CU64" s="107"/>
      <c r="CV64" s="107"/>
      <c r="CW64" s="107"/>
      <c r="CX64" s="107"/>
      <c r="CY64" s="107"/>
      <c r="CZ64" s="107"/>
      <c r="DA64" s="107"/>
      <c r="DB64" s="107"/>
      <c r="DC64" s="107"/>
      <c r="DD64" s="107"/>
      <c r="DE64" s="107"/>
      <c r="DF64" s="107"/>
      <c r="DG64" s="107"/>
      <c r="DH64" s="107"/>
      <c r="DI64" s="107"/>
      <c r="DJ64" s="107"/>
      <c r="DK64" s="107"/>
      <c r="DL64" s="107"/>
      <c r="DM64" s="107"/>
      <c r="DN64" s="107"/>
      <c r="DO64" s="107"/>
      <c r="DP64" s="107"/>
      <c r="DQ64" s="107"/>
      <c r="DR64" s="107"/>
      <c r="DS64" s="107"/>
      <c r="DT64" s="107"/>
      <c r="DU64" s="107"/>
      <c r="DV64" s="107"/>
      <c r="DW64" s="107"/>
      <c r="DX64" s="107"/>
      <c r="DY64" s="107"/>
      <c r="DZ64" s="107"/>
      <c r="EA64" s="107"/>
      <c r="EB64" s="107"/>
      <c r="EC64" s="107"/>
      <c r="ED64" s="107"/>
      <c r="EE64" s="107"/>
      <c r="EF64" s="107"/>
      <c r="EG64" s="107"/>
      <c r="EH64" s="107"/>
      <c r="EI64" s="107"/>
      <c r="EJ64" s="107"/>
      <c r="EK64" s="107"/>
      <c r="EL64" s="107"/>
      <c r="EM64" s="107"/>
      <c r="EN64" s="107"/>
      <c r="EO64" s="107"/>
      <c r="EP64" s="107"/>
      <c r="EQ64" s="107"/>
      <c r="ER64" s="107"/>
      <c r="ES64" s="107"/>
      <c r="ET64" s="107"/>
      <c r="EU64" s="107"/>
      <c r="EV64" s="107"/>
      <c r="EW64" s="107"/>
      <c r="EX64" s="107"/>
      <c r="EY64" s="107"/>
      <c r="EZ64" s="107"/>
      <c r="FA64" s="107"/>
      <c r="FB64" s="107"/>
      <c r="FC64" s="107"/>
      <c r="FD64" s="107"/>
      <c r="FE64" s="107"/>
      <c r="FF64" s="107"/>
      <c r="FG64" s="107"/>
      <c r="FH64" s="107"/>
      <c r="FI64" s="107"/>
      <c r="FJ64" s="107"/>
      <c r="FK64" s="107"/>
      <c r="FL64" s="107"/>
      <c r="FM64" s="107"/>
      <c r="FN64" s="107"/>
      <c r="FO64" s="107"/>
      <c r="FP64" s="107"/>
      <c r="FQ64" s="107"/>
      <c r="FR64" s="107"/>
      <c r="FS64" s="107"/>
      <c r="FT64" s="107"/>
      <c r="FU64" s="107"/>
    </row>
    <row r="65" spans="1:177" ht="16.5" hidden="1">
      <c r="A65" s="100"/>
      <c r="B65" s="148" t="str">
        <f>+Configuración!B44</f>
        <v>D-Revolut</v>
      </c>
      <c r="C65" s="153">
        <f>ROUND(+Movimientos!D31,2)</f>
        <v>0</v>
      </c>
      <c r="D65" s="150">
        <f>+C65/$C$2</f>
        <v>0</v>
      </c>
      <c r="E65" s="154">
        <f>+C65</f>
        <v>0</v>
      </c>
      <c r="F65" s="150">
        <f>+E65/$E$2</f>
        <v>0</v>
      </c>
      <c r="G65" s="154" t="s">
        <v>785</v>
      </c>
      <c r="H65" s="155" t="s">
        <v>785</v>
      </c>
      <c r="I65" s="106"/>
      <c r="J65" s="24"/>
      <c r="K65" s="24"/>
      <c r="L65" s="24"/>
      <c r="M65" s="24"/>
      <c r="N65" s="24"/>
      <c r="O65" s="24"/>
      <c r="P65" s="107"/>
      <c r="Q65" s="107"/>
      <c r="R65" s="107"/>
      <c r="S65" s="107"/>
      <c r="T65" s="107"/>
      <c r="U65" s="107"/>
      <c r="V65" s="107"/>
      <c r="W65" s="107"/>
      <c r="X65" s="107"/>
      <c r="Y65" s="107"/>
      <c r="Z65" s="107"/>
      <c r="AA65" s="107"/>
      <c r="AB65" s="107"/>
      <c r="AC65" s="107"/>
      <c r="AD65" s="107"/>
      <c r="AE65" s="107"/>
      <c r="AF65" s="107"/>
      <c r="AG65" s="107"/>
      <c r="AH65" s="107"/>
      <c r="AI65" s="107"/>
      <c r="AJ65" s="107"/>
      <c r="AK65" s="107"/>
      <c r="AL65" s="107"/>
      <c r="AM65" s="107"/>
      <c r="AN65" s="107"/>
      <c r="AO65" s="107"/>
      <c r="AP65" s="107"/>
      <c r="AQ65" s="107"/>
      <c r="AR65" s="107"/>
      <c r="AS65" s="107"/>
      <c r="AT65" s="107"/>
      <c r="AU65" s="107"/>
      <c r="AV65" s="107"/>
      <c r="AW65" s="107"/>
      <c r="AX65" s="107"/>
      <c r="AY65" s="107"/>
      <c r="AZ65" s="107"/>
      <c r="BA65" s="107"/>
      <c r="BB65" s="107"/>
      <c r="BC65" s="107"/>
      <c r="BD65" s="107"/>
      <c r="BE65" s="107"/>
      <c r="BF65" s="107"/>
      <c r="BG65" s="107"/>
      <c r="BH65" s="107"/>
      <c r="BI65" s="107"/>
      <c r="BJ65" s="107"/>
      <c r="BK65" s="107"/>
      <c r="BL65" s="107"/>
      <c r="BM65" s="107"/>
      <c r="BN65" s="107"/>
      <c r="BO65" s="107"/>
      <c r="BP65" s="107"/>
      <c r="BQ65" s="107"/>
      <c r="BR65" s="107"/>
      <c r="BS65" s="107"/>
      <c r="BT65" s="107"/>
      <c r="BU65" s="107"/>
      <c r="BV65" s="107"/>
      <c r="BW65" s="107"/>
      <c r="BX65" s="107"/>
      <c r="BY65" s="107"/>
      <c r="BZ65" s="107"/>
      <c r="CA65" s="107"/>
      <c r="CB65" s="107"/>
      <c r="CC65" s="107"/>
      <c r="CD65" s="107"/>
      <c r="CE65" s="107"/>
      <c r="CF65" s="107"/>
      <c r="CG65" s="107"/>
      <c r="CH65" s="107"/>
      <c r="CI65" s="107"/>
      <c r="CJ65" s="107"/>
      <c r="CK65" s="107"/>
      <c r="CL65" s="107"/>
      <c r="CM65" s="107"/>
      <c r="CN65" s="107"/>
      <c r="CO65" s="107"/>
      <c r="CP65" s="107"/>
      <c r="CQ65" s="107"/>
      <c r="CR65" s="107"/>
      <c r="CS65" s="107"/>
      <c r="CT65" s="107"/>
      <c r="CU65" s="107"/>
      <c r="CV65" s="107"/>
      <c r="CW65" s="107"/>
      <c r="CX65" s="107"/>
      <c r="CY65" s="107"/>
      <c r="CZ65" s="107"/>
      <c r="DA65" s="107"/>
      <c r="DB65" s="107"/>
      <c r="DC65" s="107"/>
      <c r="DD65" s="107"/>
      <c r="DE65" s="107"/>
      <c r="DF65" s="107"/>
      <c r="DG65" s="107"/>
      <c r="DH65" s="107"/>
      <c r="DI65" s="107"/>
      <c r="DJ65" s="107"/>
      <c r="DK65" s="107"/>
      <c r="DL65" s="107"/>
      <c r="DM65" s="107"/>
      <c r="DN65" s="107"/>
      <c r="DO65" s="107"/>
      <c r="DP65" s="107"/>
      <c r="DQ65" s="107"/>
      <c r="DR65" s="107"/>
      <c r="DS65" s="107"/>
      <c r="DT65" s="107"/>
      <c r="DU65" s="107"/>
      <c r="DV65" s="107"/>
      <c r="DW65" s="107"/>
      <c r="DX65" s="107"/>
      <c r="DY65" s="107"/>
      <c r="DZ65" s="107"/>
      <c r="EA65" s="107"/>
      <c r="EB65" s="107"/>
      <c r="EC65" s="107"/>
      <c r="ED65" s="107"/>
      <c r="EE65" s="107"/>
      <c r="EF65" s="107"/>
      <c r="EG65" s="107"/>
      <c r="EH65" s="107"/>
      <c r="EI65" s="107"/>
      <c r="EJ65" s="107"/>
      <c r="EK65" s="107"/>
      <c r="EL65" s="107"/>
      <c r="EM65" s="107"/>
      <c r="EN65" s="107"/>
      <c r="EO65" s="107"/>
      <c r="EP65" s="107"/>
      <c r="EQ65" s="107"/>
      <c r="ER65" s="107"/>
      <c r="ES65" s="107"/>
      <c r="ET65" s="107"/>
      <c r="EU65" s="107"/>
      <c r="EV65" s="107"/>
      <c r="EW65" s="107"/>
      <c r="EX65" s="107"/>
      <c r="EY65" s="107"/>
      <c r="EZ65" s="107"/>
      <c r="FA65" s="107"/>
      <c r="FB65" s="107"/>
      <c r="FC65" s="107"/>
      <c r="FD65" s="107"/>
      <c r="FE65" s="107"/>
      <c r="FF65" s="107"/>
      <c r="FG65" s="107"/>
      <c r="FH65" s="107"/>
      <c r="FI65" s="107"/>
      <c r="FJ65" s="107"/>
      <c r="FK65" s="107"/>
      <c r="FL65" s="107"/>
      <c r="FM65" s="107"/>
      <c r="FN65" s="107"/>
      <c r="FO65" s="107"/>
      <c r="FP65" s="107"/>
      <c r="FQ65" s="107"/>
      <c r="FR65" s="107"/>
      <c r="FS65" s="107"/>
      <c r="FT65" s="107"/>
      <c r="FU65" s="107"/>
    </row>
    <row r="66" spans="1:177" ht="16.5">
      <c r="A66" s="100"/>
      <c r="B66" s="148" t="str">
        <f>+Configuración!B49</f>
        <v>D-TradeRepublicFijo</v>
      </c>
      <c r="C66" s="153">
        <f>+Movimientos!D36</f>
        <v>2013.47</v>
      </c>
      <c r="D66" s="150">
        <f>+C66/$C$2</f>
        <v>2.597076419195812E-3</v>
      </c>
      <c r="E66" s="154">
        <f>+C66</f>
        <v>2013.47</v>
      </c>
      <c r="F66" s="150">
        <f>+E66/$E$2</f>
        <v>4.5929544921646135E-3</v>
      </c>
      <c r="G66" s="154" t="s">
        <v>785</v>
      </c>
      <c r="H66" s="155" t="s">
        <v>785</v>
      </c>
      <c r="I66" s="106"/>
      <c r="J66" s="24"/>
      <c r="K66" s="24"/>
      <c r="L66" s="24"/>
      <c r="M66" s="24"/>
      <c r="N66" s="24"/>
      <c r="O66" s="24"/>
      <c r="P66" s="107"/>
      <c r="Q66" s="107"/>
      <c r="R66" s="107"/>
      <c r="S66" s="107"/>
      <c r="T66" s="107"/>
      <c r="U66" s="107"/>
      <c r="V66" s="107"/>
      <c r="W66" s="107"/>
      <c r="X66" s="107"/>
      <c r="Y66" s="107"/>
      <c r="Z66" s="107"/>
      <c r="AA66" s="107"/>
      <c r="AB66" s="107"/>
      <c r="AC66" s="107"/>
      <c r="AD66" s="107"/>
      <c r="AE66" s="107"/>
      <c r="AF66" s="107"/>
      <c r="AG66" s="107"/>
      <c r="AH66" s="107"/>
      <c r="AI66" s="107"/>
      <c r="AJ66" s="107"/>
      <c r="AK66" s="107"/>
      <c r="AL66" s="107"/>
      <c r="AM66" s="107"/>
      <c r="AN66" s="107"/>
      <c r="AO66" s="107"/>
      <c r="AP66" s="107"/>
      <c r="AQ66" s="107"/>
      <c r="AR66" s="107"/>
      <c r="AS66" s="107"/>
      <c r="AT66" s="107"/>
      <c r="AU66" s="107"/>
      <c r="AV66" s="107"/>
      <c r="AW66" s="107"/>
      <c r="AX66" s="107"/>
      <c r="AY66" s="107"/>
      <c r="AZ66" s="107"/>
      <c r="BA66" s="107"/>
      <c r="BB66" s="107"/>
      <c r="BC66" s="107"/>
      <c r="BD66" s="107"/>
      <c r="BE66" s="107"/>
      <c r="BF66" s="107"/>
      <c r="BG66" s="107"/>
      <c r="BH66" s="107"/>
      <c r="BI66" s="107"/>
      <c r="BJ66" s="107"/>
      <c r="BK66" s="107"/>
      <c r="BL66" s="107"/>
      <c r="BM66" s="107"/>
      <c r="BN66" s="107"/>
      <c r="BO66" s="107"/>
      <c r="BP66" s="107"/>
      <c r="BQ66" s="107"/>
      <c r="BR66" s="107"/>
      <c r="BS66" s="107"/>
      <c r="BT66" s="107"/>
      <c r="BU66" s="107"/>
      <c r="BV66" s="107"/>
      <c r="BW66" s="107"/>
      <c r="BX66" s="107"/>
      <c r="BY66" s="107"/>
      <c r="BZ66" s="107"/>
      <c r="CA66" s="107"/>
      <c r="CB66" s="107"/>
      <c r="CC66" s="107"/>
      <c r="CD66" s="107"/>
      <c r="CE66" s="107"/>
      <c r="CF66" s="107"/>
      <c r="CG66" s="107"/>
      <c r="CH66" s="107"/>
      <c r="CI66" s="107"/>
      <c r="CJ66" s="107"/>
      <c r="CK66" s="107"/>
      <c r="CL66" s="107"/>
      <c r="CM66" s="107"/>
      <c r="CN66" s="107"/>
      <c r="CO66" s="107"/>
      <c r="CP66" s="107"/>
      <c r="CQ66" s="107"/>
      <c r="CR66" s="107"/>
      <c r="CS66" s="107"/>
      <c r="CT66" s="107"/>
      <c r="CU66" s="107"/>
      <c r="CV66" s="107"/>
      <c r="CW66" s="107"/>
      <c r="CX66" s="107"/>
      <c r="CY66" s="107"/>
      <c r="CZ66" s="107"/>
      <c r="DA66" s="107"/>
      <c r="DB66" s="107"/>
      <c r="DC66" s="107"/>
      <c r="DD66" s="107"/>
      <c r="DE66" s="107"/>
      <c r="DF66" s="107"/>
      <c r="DG66" s="107"/>
      <c r="DH66" s="107"/>
      <c r="DI66" s="107"/>
      <c r="DJ66" s="107"/>
      <c r="DK66" s="107"/>
      <c r="DL66" s="107"/>
      <c r="DM66" s="107"/>
      <c r="DN66" s="107"/>
      <c r="DO66" s="107"/>
      <c r="DP66" s="107"/>
      <c r="DQ66" s="107"/>
      <c r="DR66" s="107"/>
      <c r="DS66" s="107"/>
      <c r="DT66" s="107"/>
      <c r="DU66" s="107"/>
      <c r="DV66" s="107"/>
      <c r="DW66" s="107"/>
      <c r="DX66" s="107"/>
      <c r="DY66" s="107"/>
      <c r="DZ66" s="107"/>
      <c r="EA66" s="107"/>
      <c r="EB66" s="107"/>
      <c r="EC66" s="107"/>
      <c r="ED66" s="107"/>
      <c r="EE66" s="107"/>
      <c r="EF66" s="107"/>
      <c r="EG66" s="107"/>
      <c r="EH66" s="107"/>
      <c r="EI66" s="107"/>
      <c r="EJ66" s="107"/>
      <c r="EK66" s="107"/>
      <c r="EL66" s="107"/>
      <c r="EM66" s="107"/>
      <c r="EN66" s="107"/>
      <c r="EO66" s="107"/>
      <c r="EP66" s="107"/>
      <c r="EQ66" s="107"/>
      <c r="ER66" s="107"/>
      <c r="ES66" s="107"/>
      <c r="ET66" s="107"/>
      <c r="EU66" s="107"/>
      <c r="EV66" s="107"/>
      <c r="EW66" s="107"/>
      <c r="EX66" s="107"/>
      <c r="EY66" s="107"/>
      <c r="EZ66" s="107"/>
      <c r="FA66" s="107"/>
      <c r="FB66" s="107"/>
      <c r="FC66" s="107"/>
      <c r="FD66" s="107"/>
      <c r="FE66" s="107"/>
      <c r="FF66" s="107"/>
      <c r="FG66" s="107"/>
      <c r="FH66" s="107"/>
      <c r="FI66" s="107"/>
      <c r="FJ66" s="107"/>
      <c r="FK66" s="107"/>
      <c r="FL66" s="107"/>
      <c r="FM66" s="107"/>
      <c r="FN66" s="107"/>
      <c r="FO66" s="107"/>
      <c r="FP66" s="107"/>
      <c r="FQ66" s="107"/>
      <c r="FR66" s="107"/>
      <c r="FS66" s="107"/>
      <c r="FT66" s="107"/>
      <c r="FU66" s="107"/>
    </row>
    <row r="67" spans="1:177" ht="16.5">
      <c r="A67" s="100"/>
      <c r="B67" s="148" t="str">
        <f>+Configuración!B50</f>
        <v>D-TradeRepublicFondos</v>
      </c>
      <c r="C67" s="153">
        <f>+Movimientos!D37</f>
        <v>12937.859999999995</v>
      </c>
      <c r="D67" s="150">
        <f>+C67/$C$2</f>
        <v>1.6687912469943288E-2</v>
      </c>
      <c r="E67" s="154">
        <f>+C67</f>
        <v>12937.859999999995</v>
      </c>
      <c r="F67" s="150">
        <f>+E67/$E$2</f>
        <v>2.9512732847272044E-2</v>
      </c>
      <c r="G67" s="154" t="s">
        <v>785</v>
      </c>
      <c r="H67" s="155" t="s">
        <v>785</v>
      </c>
      <c r="I67" s="106"/>
      <c r="J67" s="24"/>
      <c r="K67" s="24"/>
      <c r="L67" s="24"/>
      <c r="M67" s="24"/>
      <c r="N67" s="24"/>
      <c r="O67" s="24"/>
      <c r="P67" s="107"/>
      <c r="Q67" s="107"/>
      <c r="R67" s="107"/>
      <c r="S67" s="107"/>
      <c r="T67" s="107"/>
      <c r="U67" s="107"/>
      <c r="V67" s="107"/>
      <c r="W67" s="107"/>
      <c r="X67" s="107"/>
      <c r="Y67" s="107"/>
      <c r="Z67" s="107"/>
      <c r="AA67" s="107"/>
      <c r="AB67" s="107"/>
      <c r="AC67" s="107"/>
      <c r="AD67" s="107"/>
      <c r="AE67" s="107"/>
      <c r="AF67" s="107"/>
      <c r="AG67" s="107"/>
      <c r="AH67" s="107"/>
      <c r="AI67" s="107"/>
      <c r="AJ67" s="107"/>
      <c r="AK67" s="107"/>
      <c r="AL67" s="107"/>
      <c r="AM67" s="107"/>
      <c r="AN67" s="107"/>
      <c r="AO67" s="107"/>
      <c r="AP67" s="107"/>
      <c r="AQ67" s="107"/>
      <c r="AR67" s="107"/>
      <c r="AS67" s="107"/>
      <c r="AT67" s="107"/>
      <c r="AU67" s="107"/>
      <c r="AV67" s="107"/>
      <c r="AW67" s="107"/>
      <c r="AX67" s="107"/>
      <c r="AY67" s="107"/>
      <c r="AZ67" s="107"/>
      <c r="BA67" s="107"/>
      <c r="BB67" s="107"/>
      <c r="BC67" s="107"/>
      <c r="BD67" s="107"/>
      <c r="BE67" s="107"/>
      <c r="BF67" s="107"/>
      <c r="BG67" s="107"/>
      <c r="BH67" s="107"/>
      <c r="BI67" s="107"/>
      <c r="BJ67" s="107"/>
      <c r="BK67" s="107"/>
      <c r="BL67" s="107"/>
      <c r="BM67" s="107"/>
      <c r="BN67" s="107"/>
      <c r="BO67" s="107"/>
      <c r="BP67" s="107"/>
      <c r="BQ67" s="107"/>
      <c r="BR67" s="107"/>
      <c r="BS67" s="107"/>
      <c r="BT67" s="107"/>
      <c r="BU67" s="107"/>
      <c r="BV67" s="107"/>
      <c r="BW67" s="107"/>
      <c r="BX67" s="107"/>
      <c r="BY67" s="107"/>
      <c r="BZ67" s="107"/>
      <c r="CA67" s="107"/>
      <c r="CB67" s="107"/>
      <c r="CC67" s="107"/>
      <c r="CD67" s="107"/>
      <c r="CE67" s="107"/>
      <c r="CF67" s="107"/>
      <c r="CG67" s="107"/>
      <c r="CH67" s="107"/>
      <c r="CI67" s="107"/>
      <c r="CJ67" s="107"/>
      <c r="CK67" s="107"/>
      <c r="CL67" s="107"/>
      <c r="CM67" s="107"/>
      <c r="CN67" s="107"/>
      <c r="CO67" s="107"/>
      <c r="CP67" s="107"/>
      <c r="CQ67" s="107"/>
      <c r="CR67" s="107"/>
      <c r="CS67" s="107"/>
      <c r="CT67" s="107"/>
      <c r="CU67" s="107"/>
      <c r="CV67" s="107"/>
      <c r="CW67" s="107"/>
      <c r="CX67" s="107"/>
      <c r="CY67" s="107"/>
      <c r="CZ67" s="107"/>
      <c r="DA67" s="107"/>
      <c r="DB67" s="107"/>
      <c r="DC67" s="107"/>
      <c r="DD67" s="107"/>
      <c r="DE67" s="107"/>
      <c r="DF67" s="107"/>
      <c r="DG67" s="107"/>
      <c r="DH67" s="107"/>
      <c r="DI67" s="107"/>
      <c r="DJ67" s="107"/>
      <c r="DK67" s="107"/>
      <c r="DL67" s="107"/>
      <c r="DM67" s="107"/>
      <c r="DN67" s="107"/>
      <c r="DO67" s="107"/>
      <c r="DP67" s="107"/>
      <c r="DQ67" s="107"/>
      <c r="DR67" s="107"/>
      <c r="DS67" s="107"/>
      <c r="DT67" s="107"/>
      <c r="DU67" s="107"/>
      <c r="DV67" s="107"/>
      <c r="DW67" s="107"/>
      <c r="DX67" s="107"/>
      <c r="DY67" s="107"/>
      <c r="DZ67" s="107"/>
      <c r="EA67" s="107"/>
      <c r="EB67" s="107"/>
      <c r="EC67" s="107"/>
      <c r="ED67" s="107"/>
      <c r="EE67" s="107"/>
      <c r="EF67" s="107"/>
      <c r="EG67" s="107"/>
      <c r="EH67" s="107"/>
      <c r="EI67" s="107"/>
      <c r="EJ67" s="107"/>
      <c r="EK67" s="107"/>
      <c r="EL67" s="107"/>
      <c r="EM67" s="107"/>
      <c r="EN67" s="107"/>
      <c r="EO67" s="107"/>
      <c r="EP67" s="107"/>
      <c r="EQ67" s="107"/>
      <c r="ER67" s="107"/>
      <c r="ES67" s="107"/>
      <c r="ET67" s="107"/>
      <c r="EU67" s="107"/>
      <c r="EV67" s="107"/>
      <c r="EW67" s="107"/>
      <c r="EX67" s="107"/>
      <c r="EY67" s="107"/>
      <c r="EZ67" s="107"/>
      <c r="FA67" s="107"/>
      <c r="FB67" s="107"/>
      <c r="FC67" s="107"/>
      <c r="FD67" s="107"/>
      <c r="FE67" s="107"/>
      <c r="FF67" s="107"/>
      <c r="FG67" s="107"/>
      <c r="FH67" s="107"/>
      <c r="FI67" s="107"/>
      <c r="FJ67" s="107"/>
      <c r="FK67" s="107"/>
      <c r="FL67" s="107"/>
      <c r="FM67" s="107"/>
      <c r="FN67" s="107"/>
      <c r="FO67" s="107"/>
      <c r="FP67" s="107"/>
      <c r="FQ67" s="107"/>
      <c r="FR67" s="107"/>
      <c r="FS67" s="107"/>
      <c r="FT67" s="107"/>
      <c r="FU67" s="107"/>
    </row>
    <row r="68" spans="1:177" ht="16.5">
      <c r="A68" s="100"/>
      <c r="B68" s="148" t="str">
        <f>+Configuración!B51</f>
        <v>D-TradeRepublicPrivate</v>
      </c>
      <c r="C68" s="153">
        <f>+Movimientos!D38</f>
        <v>16183.96</v>
      </c>
      <c r="D68" s="150">
        <f>+C68/$C$2</f>
        <v>2.0874898004543525E-2</v>
      </c>
      <c r="E68" s="154">
        <f>+C68</f>
        <v>16183.96</v>
      </c>
      <c r="F68" s="150">
        <f>+E68/$E$2</f>
        <v>3.6917456819824682E-2</v>
      </c>
      <c r="G68" s="154" t="s">
        <v>785</v>
      </c>
      <c r="H68" s="155" t="s">
        <v>785</v>
      </c>
      <c r="I68" s="106"/>
      <c r="J68" s="24"/>
      <c r="K68" s="24"/>
      <c r="L68" s="24"/>
      <c r="M68" s="24"/>
      <c r="N68" s="24"/>
      <c r="O68" s="24"/>
      <c r="P68" s="107"/>
      <c r="Q68" s="107"/>
      <c r="R68" s="107"/>
      <c r="S68" s="107"/>
      <c r="T68" s="107"/>
      <c r="U68" s="107"/>
      <c r="V68" s="107"/>
      <c r="W68" s="107"/>
      <c r="X68" s="107"/>
      <c r="Y68" s="107"/>
      <c r="Z68" s="107"/>
      <c r="AA68" s="107"/>
      <c r="AB68" s="107"/>
      <c r="AC68" s="107"/>
      <c r="AD68" s="107"/>
      <c r="AE68" s="107"/>
      <c r="AF68" s="107"/>
      <c r="AG68" s="107"/>
      <c r="AH68" s="107"/>
      <c r="AI68" s="107"/>
      <c r="AJ68" s="107"/>
      <c r="AK68" s="107"/>
      <c r="AL68" s="107"/>
      <c r="AM68" s="107"/>
      <c r="AN68" s="107"/>
      <c r="AO68" s="107"/>
      <c r="AP68" s="107"/>
      <c r="AQ68" s="107"/>
      <c r="AR68" s="107"/>
      <c r="AS68" s="107"/>
      <c r="AT68" s="107"/>
      <c r="AU68" s="107"/>
      <c r="AV68" s="107"/>
      <c r="AW68" s="107"/>
      <c r="AX68" s="107"/>
      <c r="AY68" s="107"/>
      <c r="AZ68" s="107"/>
      <c r="BA68" s="107"/>
      <c r="BB68" s="107"/>
      <c r="BC68" s="107"/>
      <c r="BD68" s="107"/>
      <c r="BE68" s="107"/>
      <c r="BF68" s="107"/>
      <c r="BG68" s="107"/>
      <c r="BH68" s="107"/>
      <c r="BI68" s="107"/>
      <c r="BJ68" s="107"/>
      <c r="BK68" s="107"/>
      <c r="BL68" s="107"/>
      <c r="BM68" s="107"/>
      <c r="BN68" s="107"/>
      <c r="BO68" s="107"/>
      <c r="BP68" s="107"/>
      <c r="BQ68" s="107"/>
      <c r="BR68" s="107"/>
      <c r="BS68" s="107"/>
      <c r="BT68" s="107"/>
      <c r="BU68" s="107"/>
      <c r="BV68" s="107"/>
      <c r="BW68" s="107"/>
      <c r="BX68" s="107"/>
      <c r="BY68" s="107"/>
      <c r="BZ68" s="107"/>
      <c r="CA68" s="107"/>
      <c r="CB68" s="107"/>
      <c r="CC68" s="107"/>
      <c r="CD68" s="107"/>
      <c r="CE68" s="107"/>
      <c r="CF68" s="107"/>
      <c r="CG68" s="107"/>
      <c r="CH68" s="107"/>
      <c r="CI68" s="107"/>
      <c r="CJ68" s="107"/>
      <c r="CK68" s="107"/>
      <c r="CL68" s="107"/>
      <c r="CM68" s="107"/>
      <c r="CN68" s="107"/>
      <c r="CO68" s="107"/>
      <c r="CP68" s="107"/>
      <c r="CQ68" s="107"/>
      <c r="CR68" s="107"/>
      <c r="CS68" s="107"/>
      <c r="CT68" s="107"/>
      <c r="CU68" s="107"/>
      <c r="CV68" s="107"/>
      <c r="CW68" s="107"/>
      <c r="CX68" s="107"/>
      <c r="CY68" s="107"/>
      <c r="CZ68" s="107"/>
      <c r="DA68" s="107"/>
      <c r="DB68" s="107"/>
      <c r="DC68" s="107"/>
      <c r="DD68" s="107"/>
      <c r="DE68" s="107"/>
      <c r="DF68" s="107"/>
      <c r="DG68" s="107"/>
      <c r="DH68" s="107"/>
      <c r="DI68" s="107"/>
      <c r="DJ68" s="107"/>
      <c r="DK68" s="107"/>
      <c r="DL68" s="107"/>
      <c r="DM68" s="107"/>
      <c r="DN68" s="107"/>
      <c r="DO68" s="107"/>
      <c r="DP68" s="107"/>
      <c r="DQ68" s="107"/>
      <c r="DR68" s="107"/>
      <c r="DS68" s="107"/>
      <c r="DT68" s="107"/>
      <c r="DU68" s="107"/>
      <c r="DV68" s="107"/>
      <c r="DW68" s="107"/>
      <c r="DX68" s="107"/>
      <c r="DY68" s="107"/>
      <c r="DZ68" s="107"/>
      <c r="EA68" s="107"/>
      <c r="EB68" s="107"/>
      <c r="EC68" s="107"/>
      <c r="ED68" s="107"/>
      <c r="EE68" s="107"/>
      <c r="EF68" s="107"/>
      <c r="EG68" s="107"/>
      <c r="EH68" s="107"/>
      <c r="EI68" s="107"/>
      <c r="EJ68" s="107"/>
      <c r="EK68" s="107"/>
      <c r="EL68" s="107"/>
      <c r="EM68" s="107"/>
      <c r="EN68" s="107"/>
      <c r="EO68" s="107"/>
      <c r="EP68" s="107"/>
      <c r="EQ68" s="107"/>
      <c r="ER68" s="107"/>
      <c r="ES68" s="107"/>
      <c r="ET68" s="107"/>
      <c r="EU68" s="107"/>
      <c r="EV68" s="107"/>
      <c r="EW68" s="107"/>
      <c r="EX68" s="107"/>
      <c r="EY68" s="107"/>
      <c r="EZ68" s="107"/>
      <c r="FA68" s="107"/>
      <c r="FB68" s="107"/>
      <c r="FC68" s="107"/>
      <c r="FD68" s="107"/>
      <c r="FE68" s="107"/>
      <c r="FF68" s="107"/>
      <c r="FG68" s="107"/>
      <c r="FH68" s="107"/>
      <c r="FI68" s="107"/>
      <c r="FJ68" s="107"/>
      <c r="FK68" s="107"/>
      <c r="FL68" s="107"/>
      <c r="FM68" s="107"/>
      <c r="FN68" s="107"/>
      <c r="FO68" s="107"/>
      <c r="FP68" s="107"/>
      <c r="FQ68" s="107"/>
      <c r="FR68" s="107"/>
      <c r="FS68" s="107"/>
      <c r="FT68" s="107"/>
      <c r="FU68" s="107"/>
    </row>
    <row r="69" spans="1:177" ht="16.5">
      <c r="A69" s="100"/>
      <c r="B69" s="148" t="str">
        <f>+Configuración!B58</f>
        <v>N-IndexaCapitalFondo</v>
      </c>
      <c r="C69" s="153">
        <f>+Movimientos!D44</f>
        <v>1000</v>
      </c>
      <c r="D69" s="150">
        <f>+C69/$C$2</f>
        <v>1.2898510626906843E-3</v>
      </c>
      <c r="E69" s="154" t="s">
        <v>785</v>
      </c>
      <c r="F69" s="150" t="s">
        <v>785</v>
      </c>
      <c r="G69" s="154">
        <f>+C69</f>
        <v>1000</v>
      </c>
      <c r="H69" s="155">
        <f>+G69/$G$2</f>
        <v>2.9682310321674059E-3</v>
      </c>
      <c r="I69" s="106"/>
      <c r="J69" s="24"/>
      <c r="K69" s="24"/>
      <c r="L69" s="24"/>
      <c r="M69" s="24"/>
      <c r="N69" s="24"/>
      <c r="O69" s="24"/>
      <c r="P69" s="107"/>
      <c r="Q69" s="107"/>
      <c r="R69" s="107"/>
      <c r="S69" s="107"/>
      <c r="T69" s="107"/>
      <c r="U69" s="107"/>
      <c r="V69" s="107"/>
      <c r="W69" s="107"/>
      <c r="X69" s="107"/>
      <c r="Y69" s="107"/>
      <c r="Z69" s="107"/>
      <c r="AA69" s="107"/>
      <c r="AB69" s="107"/>
      <c r="AC69" s="107"/>
      <c r="AD69" s="107"/>
      <c r="AE69" s="107"/>
      <c r="AF69" s="107"/>
      <c r="AG69" s="107"/>
      <c r="AH69" s="107"/>
      <c r="AI69" s="107"/>
      <c r="AJ69" s="107"/>
      <c r="AK69" s="107"/>
      <c r="AL69" s="107"/>
      <c r="AM69" s="107"/>
      <c r="AN69" s="107"/>
      <c r="AO69" s="107"/>
      <c r="AP69" s="107"/>
      <c r="AQ69" s="107"/>
      <c r="AR69" s="107"/>
      <c r="AS69" s="107"/>
      <c r="AT69" s="107"/>
      <c r="AU69" s="107"/>
      <c r="AV69" s="107"/>
      <c r="AW69" s="107"/>
      <c r="AX69" s="107"/>
      <c r="AY69" s="107"/>
      <c r="AZ69" s="107"/>
      <c r="BA69" s="107"/>
      <c r="BB69" s="107"/>
      <c r="BC69" s="107"/>
      <c r="BD69" s="107"/>
      <c r="BE69" s="107"/>
      <c r="BF69" s="107"/>
      <c r="BG69" s="107"/>
      <c r="BH69" s="107"/>
      <c r="BI69" s="107"/>
      <c r="BJ69" s="107"/>
      <c r="BK69" s="107"/>
      <c r="BL69" s="107"/>
      <c r="BM69" s="107"/>
      <c r="BN69" s="107"/>
      <c r="BO69" s="107"/>
      <c r="BP69" s="107"/>
      <c r="BQ69" s="107"/>
      <c r="BR69" s="107"/>
      <c r="BS69" s="107"/>
      <c r="BT69" s="107"/>
      <c r="BU69" s="107"/>
      <c r="BV69" s="107"/>
      <c r="BW69" s="107"/>
      <c r="BX69" s="107"/>
      <c r="BY69" s="107"/>
      <c r="BZ69" s="107"/>
      <c r="CA69" s="107"/>
      <c r="CB69" s="107"/>
      <c r="CC69" s="107"/>
      <c r="CD69" s="107"/>
      <c r="CE69" s="107"/>
      <c r="CF69" s="107"/>
      <c r="CG69" s="107"/>
      <c r="CH69" s="107"/>
      <c r="CI69" s="107"/>
      <c r="CJ69" s="107"/>
      <c r="CK69" s="107"/>
      <c r="CL69" s="107"/>
      <c r="CM69" s="107"/>
      <c r="CN69" s="107"/>
      <c r="CO69" s="107"/>
      <c r="CP69" s="107"/>
      <c r="CQ69" s="107"/>
      <c r="CR69" s="107"/>
      <c r="CS69" s="107"/>
      <c r="CT69" s="107"/>
      <c r="CU69" s="107"/>
      <c r="CV69" s="107"/>
      <c r="CW69" s="107"/>
      <c r="CX69" s="107"/>
      <c r="CY69" s="107"/>
      <c r="CZ69" s="107"/>
      <c r="DA69" s="107"/>
      <c r="DB69" s="107"/>
      <c r="DC69" s="107"/>
      <c r="DD69" s="107"/>
      <c r="DE69" s="107"/>
      <c r="DF69" s="107"/>
      <c r="DG69" s="107"/>
      <c r="DH69" s="107"/>
      <c r="DI69" s="107"/>
      <c r="DJ69" s="107"/>
      <c r="DK69" s="107"/>
      <c r="DL69" s="107"/>
      <c r="DM69" s="107"/>
      <c r="DN69" s="107"/>
      <c r="DO69" s="107"/>
      <c r="DP69" s="107"/>
      <c r="DQ69" s="107"/>
      <c r="DR69" s="107"/>
      <c r="DS69" s="107"/>
      <c r="DT69" s="107"/>
      <c r="DU69" s="107"/>
      <c r="DV69" s="107"/>
      <c r="DW69" s="107"/>
      <c r="DX69" s="107"/>
      <c r="DY69" s="107"/>
      <c r="DZ69" s="107"/>
      <c r="EA69" s="107"/>
      <c r="EB69" s="107"/>
      <c r="EC69" s="107"/>
      <c r="ED69" s="107"/>
      <c r="EE69" s="107"/>
      <c r="EF69" s="107"/>
      <c r="EG69" s="107"/>
      <c r="EH69" s="107"/>
      <c r="EI69" s="107"/>
      <c r="EJ69" s="107"/>
      <c r="EK69" s="107"/>
      <c r="EL69" s="107"/>
      <c r="EM69" s="107"/>
      <c r="EN69" s="107"/>
      <c r="EO69" s="107"/>
      <c r="EP69" s="107"/>
      <c r="EQ69" s="107"/>
      <c r="ER69" s="107"/>
      <c r="ES69" s="107"/>
      <c r="ET69" s="107"/>
      <c r="EU69" s="107"/>
      <c r="EV69" s="107"/>
      <c r="EW69" s="107"/>
      <c r="EX69" s="107"/>
      <c r="EY69" s="107"/>
      <c r="EZ69" s="107"/>
      <c r="FA69" s="107"/>
      <c r="FB69" s="107"/>
      <c r="FC69" s="107"/>
      <c r="FD69" s="107"/>
      <c r="FE69" s="107"/>
      <c r="FF69" s="107"/>
      <c r="FG69" s="107"/>
      <c r="FH69" s="107"/>
      <c r="FI69" s="107"/>
      <c r="FJ69" s="107"/>
      <c r="FK69" s="107"/>
      <c r="FL69" s="107"/>
      <c r="FM69" s="107"/>
      <c r="FN69" s="107"/>
      <c r="FO69" s="107"/>
      <c r="FP69" s="107"/>
      <c r="FQ69" s="107"/>
      <c r="FR69" s="107"/>
      <c r="FS69" s="107"/>
      <c r="FT69" s="107"/>
      <c r="FU69" s="107"/>
    </row>
    <row r="70" spans="1:177" ht="16.5">
      <c r="A70" s="100"/>
      <c r="B70" s="148" t="str">
        <f>+Configuración!B62</f>
        <v>N-MyinvestorFondo</v>
      </c>
      <c r="C70" s="153">
        <f>+Movimientos!D49</f>
        <v>3500.09</v>
      </c>
      <c r="D70" s="150">
        <f>+C70/$C$2</f>
        <v>4.5145948060130369E-3</v>
      </c>
      <c r="E70" s="154" t="s">
        <v>785</v>
      </c>
      <c r="F70" s="150" t="s">
        <v>785</v>
      </c>
      <c r="G70" s="154">
        <f>+C70</f>
        <v>3500.09</v>
      </c>
      <c r="H70" s="155">
        <f>+G70/$G$2</f>
        <v>1.0389075753378815E-2</v>
      </c>
      <c r="I70" s="106"/>
      <c r="J70" s="24"/>
      <c r="K70" s="24"/>
      <c r="L70" s="24"/>
      <c r="M70" s="24"/>
      <c r="N70" s="24"/>
      <c r="O70" s="24"/>
      <c r="P70" s="107"/>
      <c r="Q70" s="107"/>
      <c r="R70" s="107"/>
      <c r="S70" s="107"/>
      <c r="T70" s="107"/>
      <c r="U70" s="107"/>
      <c r="V70" s="107"/>
      <c r="W70" s="107"/>
      <c r="X70" s="107"/>
      <c r="Y70" s="107"/>
      <c r="Z70" s="107"/>
      <c r="AA70" s="107"/>
      <c r="AB70" s="107"/>
      <c r="AC70" s="107"/>
      <c r="AD70" s="107"/>
      <c r="AE70" s="107"/>
      <c r="AF70" s="107"/>
      <c r="AG70" s="107"/>
      <c r="AH70" s="107"/>
      <c r="AI70" s="107"/>
      <c r="AJ70" s="107"/>
      <c r="AK70" s="107"/>
      <c r="AL70" s="107"/>
      <c r="AM70" s="107"/>
      <c r="AN70" s="107"/>
      <c r="AO70" s="107"/>
      <c r="AP70" s="107"/>
      <c r="AQ70" s="107"/>
      <c r="AR70" s="107"/>
      <c r="AS70" s="107"/>
      <c r="AT70" s="107"/>
      <c r="AU70" s="107"/>
      <c r="AV70" s="107"/>
      <c r="AW70" s="107"/>
      <c r="AX70" s="107"/>
      <c r="AY70" s="107"/>
      <c r="AZ70" s="107"/>
      <c r="BA70" s="107"/>
      <c r="BB70" s="107"/>
      <c r="BC70" s="107"/>
      <c r="BD70" s="107"/>
      <c r="BE70" s="107"/>
      <c r="BF70" s="107"/>
      <c r="BG70" s="107"/>
      <c r="BH70" s="107"/>
      <c r="BI70" s="107"/>
      <c r="BJ70" s="107"/>
      <c r="BK70" s="107"/>
      <c r="BL70" s="107"/>
      <c r="BM70" s="107"/>
      <c r="BN70" s="107"/>
      <c r="BO70" s="107"/>
      <c r="BP70" s="107"/>
      <c r="BQ70" s="107"/>
      <c r="BR70" s="107"/>
      <c r="BS70" s="107"/>
      <c r="BT70" s="107"/>
      <c r="BU70" s="107"/>
      <c r="BV70" s="107"/>
      <c r="BW70" s="107"/>
      <c r="BX70" s="107"/>
      <c r="BY70" s="107"/>
      <c r="BZ70" s="107"/>
      <c r="CA70" s="107"/>
      <c r="CB70" s="107"/>
      <c r="CC70" s="107"/>
      <c r="CD70" s="107"/>
      <c r="CE70" s="107"/>
      <c r="CF70" s="107"/>
      <c r="CG70" s="107"/>
      <c r="CH70" s="107"/>
      <c r="CI70" s="107"/>
      <c r="CJ70" s="107"/>
      <c r="CK70" s="107"/>
      <c r="CL70" s="107"/>
      <c r="CM70" s="107"/>
      <c r="CN70" s="107"/>
      <c r="CO70" s="107"/>
      <c r="CP70" s="107"/>
      <c r="CQ70" s="107"/>
      <c r="CR70" s="107"/>
      <c r="CS70" s="107"/>
      <c r="CT70" s="107"/>
      <c r="CU70" s="107"/>
      <c r="CV70" s="107"/>
      <c r="CW70" s="107"/>
      <c r="CX70" s="107"/>
      <c r="CY70" s="107"/>
      <c r="CZ70" s="107"/>
      <c r="DA70" s="107"/>
      <c r="DB70" s="107"/>
      <c r="DC70" s="107"/>
      <c r="DD70" s="107"/>
      <c r="DE70" s="107"/>
      <c r="DF70" s="107"/>
      <c r="DG70" s="107"/>
      <c r="DH70" s="107"/>
      <c r="DI70" s="107"/>
      <c r="DJ70" s="107"/>
      <c r="DK70" s="107"/>
      <c r="DL70" s="107"/>
      <c r="DM70" s="107"/>
      <c r="DN70" s="107"/>
      <c r="DO70" s="107"/>
      <c r="DP70" s="107"/>
      <c r="DQ70" s="107"/>
      <c r="DR70" s="107"/>
      <c r="DS70" s="107"/>
      <c r="DT70" s="107"/>
      <c r="DU70" s="107"/>
      <c r="DV70" s="107"/>
      <c r="DW70" s="107"/>
      <c r="DX70" s="107"/>
      <c r="DY70" s="107"/>
      <c r="DZ70" s="107"/>
      <c r="EA70" s="107"/>
      <c r="EB70" s="107"/>
      <c r="EC70" s="107"/>
      <c r="ED70" s="107"/>
      <c r="EE70" s="107"/>
      <c r="EF70" s="107"/>
      <c r="EG70" s="107"/>
      <c r="EH70" s="107"/>
      <c r="EI70" s="107"/>
      <c r="EJ70" s="107"/>
      <c r="EK70" s="107"/>
      <c r="EL70" s="107"/>
      <c r="EM70" s="107"/>
      <c r="EN70" s="107"/>
      <c r="EO70" s="107"/>
      <c r="EP70" s="107"/>
      <c r="EQ70" s="107"/>
      <c r="ER70" s="107"/>
      <c r="ES70" s="107"/>
      <c r="ET70" s="107"/>
      <c r="EU70" s="107"/>
      <c r="EV70" s="107"/>
      <c r="EW70" s="107"/>
      <c r="EX70" s="107"/>
      <c r="EY70" s="107"/>
      <c r="EZ70" s="107"/>
      <c r="FA70" s="107"/>
      <c r="FB70" s="107"/>
      <c r="FC70" s="107"/>
      <c r="FD70" s="107"/>
      <c r="FE70" s="107"/>
      <c r="FF70" s="107"/>
      <c r="FG70" s="107"/>
      <c r="FH70" s="107"/>
      <c r="FI70" s="107"/>
      <c r="FJ70" s="107"/>
      <c r="FK70" s="107"/>
      <c r="FL70" s="107"/>
      <c r="FM70" s="107"/>
      <c r="FN70" s="107"/>
      <c r="FO70" s="107"/>
      <c r="FP70" s="107"/>
      <c r="FQ70" s="107"/>
      <c r="FR70" s="107"/>
      <c r="FS70" s="107"/>
      <c r="FT70" s="107"/>
      <c r="FU70" s="107"/>
    </row>
    <row r="71" spans="1:177" ht="16.5">
      <c r="A71" s="100"/>
      <c r="B71" s="148" t="str">
        <f>+Configuración!B60</f>
        <v>N-Letras</v>
      </c>
      <c r="C71" s="153">
        <f>+Movimientos!D47</f>
        <v>90000</v>
      </c>
      <c r="D71" s="150">
        <f>+C71/$C$2</f>
        <v>0.11608659564216159</v>
      </c>
      <c r="E71" s="154" t="s">
        <v>785</v>
      </c>
      <c r="F71" s="150" t="s">
        <v>785</v>
      </c>
      <c r="G71" s="154">
        <f>+C71</f>
        <v>90000</v>
      </c>
      <c r="H71" s="155">
        <f>+G71/$G$2</f>
        <v>0.26714079289506654</v>
      </c>
      <c r="I71" s="106"/>
      <c r="J71" s="24"/>
      <c r="K71" s="24"/>
      <c r="L71" s="24"/>
      <c r="M71" s="24"/>
      <c r="N71" s="24"/>
      <c r="O71" s="24"/>
      <c r="P71" s="107"/>
      <c r="Q71" s="107"/>
      <c r="R71" s="107"/>
      <c r="S71" s="107"/>
      <c r="T71" s="107"/>
      <c r="U71" s="107"/>
      <c r="V71" s="107"/>
      <c r="W71" s="107"/>
      <c r="X71" s="107"/>
      <c r="Y71" s="107"/>
      <c r="Z71" s="107"/>
      <c r="AA71" s="107"/>
      <c r="AB71" s="107"/>
      <c r="AC71" s="107"/>
      <c r="AD71" s="107"/>
      <c r="AE71" s="107"/>
      <c r="AF71" s="107"/>
      <c r="AG71" s="107"/>
      <c r="AH71" s="107"/>
      <c r="AI71" s="107"/>
      <c r="AJ71" s="107"/>
      <c r="AK71" s="107"/>
      <c r="AL71" s="107"/>
      <c r="AM71" s="107"/>
      <c r="AN71" s="107"/>
      <c r="AO71" s="107"/>
      <c r="AP71" s="107"/>
      <c r="AQ71" s="107"/>
      <c r="AR71" s="107"/>
      <c r="AS71" s="107"/>
      <c r="AT71" s="107"/>
      <c r="AU71" s="107"/>
      <c r="AV71" s="107"/>
      <c r="AW71" s="107"/>
      <c r="AX71" s="107"/>
      <c r="AY71" s="107"/>
      <c r="AZ71" s="107"/>
      <c r="BA71" s="107"/>
      <c r="BB71" s="107"/>
      <c r="BC71" s="107"/>
      <c r="BD71" s="107"/>
      <c r="BE71" s="107"/>
      <c r="BF71" s="107"/>
      <c r="BG71" s="107"/>
      <c r="BH71" s="107"/>
      <c r="BI71" s="107"/>
      <c r="BJ71" s="107"/>
      <c r="BK71" s="107"/>
      <c r="BL71" s="107"/>
      <c r="BM71" s="107"/>
      <c r="BN71" s="107"/>
      <c r="BO71" s="107"/>
      <c r="BP71" s="107"/>
      <c r="BQ71" s="107"/>
      <c r="BR71" s="107"/>
      <c r="BS71" s="107"/>
      <c r="BT71" s="107"/>
      <c r="BU71" s="107"/>
      <c r="BV71" s="107"/>
      <c r="BW71" s="107"/>
      <c r="BX71" s="107"/>
      <c r="BY71" s="107"/>
      <c r="BZ71" s="107"/>
      <c r="CA71" s="107"/>
      <c r="CB71" s="107"/>
      <c r="CC71" s="107"/>
      <c r="CD71" s="107"/>
      <c r="CE71" s="107"/>
      <c r="CF71" s="107"/>
      <c r="CG71" s="107"/>
      <c r="CH71" s="107"/>
      <c r="CI71" s="107"/>
      <c r="CJ71" s="107"/>
      <c r="CK71" s="107"/>
      <c r="CL71" s="107"/>
      <c r="CM71" s="107"/>
      <c r="CN71" s="107"/>
      <c r="CO71" s="107"/>
      <c r="CP71" s="107"/>
      <c r="CQ71" s="107"/>
      <c r="CR71" s="107"/>
      <c r="CS71" s="107"/>
      <c r="CT71" s="107"/>
      <c r="CU71" s="107"/>
      <c r="CV71" s="107"/>
      <c r="CW71" s="107"/>
      <c r="CX71" s="107"/>
      <c r="CY71" s="107"/>
      <c r="CZ71" s="107"/>
      <c r="DA71" s="107"/>
      <c r="DB71" s="107"/>
      <c r="DC71" s="107"/>
      <c r="DD71" s="107"/>
      <c r="DE71" s="107"/>
      <c r="DF71" s="107"/>
      <c r="DG71" s="107"/>
      <c r="DH71" s="107"/>
      <c r="DI71" s="107"/>
      <c r="DJ71" s="107"/>
      <c r="DK71" s="107"/>
      <c r="DL71" s="107"/>
      <c r="DM71" s="107"/>
      <c r="DN71" s="107"/>
      <c r="DO71" s="107"/>
      <c r="DP71" s="107"/>
      <c r="DQ71" s="107"/>
      <c r="DR71" s="107"/>
      <c r="DS71" s="107"/>
      <c r="DT71" s="107"/>
      <c r="DU71" s="107"/>
      <c r="DV71" s="107"/>
      <c r="DW71" s="107"/>
      <c r="DX71" s="107"/>
      <c r="DY71" s="107"/>
      <c r="DZ71" s="107"/>
      <c r="EA71" s="107"/>
      <c r="EB71" s="107"/>
      <c r="EC71" s="107"/>
      <c r="ED71" s="107"/>
      <c r="EE71" s="107"/>
      <c r="EF71" s="107"/>
      <c r="EG71" s="107"/>
      <c r="EH71" s="107"/>
      <c r="EI71" s="107"/>
      <c r="EJ71" s="107"/>
      <c r="EK71" s="107"/>
      <c r="EL71" s="107"/>
      <c r="EM71" s="107"/>
      <c r="EN71" s="107"/>
      <c r="EO71" s="107"/>
      <c r="EP71" s="107"/>
      <c r="EQ71" s="107"/>
      <c r="ER71" s="107"/>
      <c r="ES71" s="107"/>
      <c r="ET71" s="107"/>
      <c r="EU71" s="107"/>
      <c r="EV71" s="107"/>
      <c r="EW71" s="107"/>
      <c r="EX71" s="107"/>
      <c r="EY71" s="107"/>
      <c r="EZ71" s="107"/>
      <c r="FA71" s="107"/>
      <c r="FB71" s="107"/>
      <c r="FC71" s="107"/>
      <c r="FD71" s="107"/>
      <c r="FE71" s="107"/>
      <c r="FF71" s="107"/>
      <c r="FG71" s="107"/>
      <c r="FH71" s="107"/>
      <c r="FI71" s="107"/>
      <c r="FJ71" s="107"/>
      <c r="FK71" s="107"/>
      <c r="FL71" s="107"/>
      <c r="FM71" s="107"/>
      <c r="FN71" s="107"/>
      <c r="FO71" s="107"/>
      <c r="FP71" s="107"/>
      <c r="FQ71" s="107"/>
      <c r="FR71" s="107"/>
      <c r="FS71" s="107"/>
      <c r="FT71" s="107"/>
      <c r="FU71" s="107"/>
    </row>
    <row r="72" spans="1:177" ht="16.5">
      <c r="A72" s="100"/>
      <c r="B72" s="148" t="str">
        <f>+Configuración!B67</f>
        <v>N-RevolutFondo</v>
      </c>
      <c r="C72" s="153">
        <f>+Movimientos!D54</f>
        <v>2000</v>
      </c>
      <c r="D72" s="150">
        <f>+C72/$C$2</f>
        <v>2.5797021253813686E-3</v>
      </c>
      <c r="E72" s="154" t="s">
        <v>785</v>
      </c>
      <c r="F72" s="150" t="s">
        <v>785</v>
      </c>
      <c r="G72" s="154">
        <f>+C72</f>
        <v>2000</v>
      </c>
      <c r="H72" s="155">
        <f>+G72/$G$2</f>
        <v>5.9364620643348118E-3</v>
      </c>
      <c r="I72" s="106"/>
      <c r="J72" s="24"/>
      <c r="K72" s="24"/>
      <c r="L72" s="24"/>
      <c r="M72" s="24"/>
      <c r="N72" s="24"/>
      <c r="O72" s="24"/>
      <c r="P72" s="107"/>
      <c r="Q72" s="107"/>
      <c r="R72" s="107"/>
      <c r="S72" s="107"/>
      <c r="T72" s="107"/>
      <c r="U72" s="107"/>
      <c r="V72" s="107"/>
      <c r="W72" s="107"/>
      <c r="X72" s="107"/>
      <c r="Y72" s="107"/>
      <c r="Z72" s="107"/>
      <c r="AA72" s="107"/>
      <c r="AB72" s="107"/>
      <c r="AC72" s="107"/>
      <c r="AD72" s="107"/>
      <c r="AE72" s="107"/>
      <c r="AF72" s="107"/>
      <c r="AG72" s="107"/>
      <c r="AH72" s="107"/>
      <c r="AI72" s="107"/>
      <c r="AJ72" s="107"/>
      <c r="AK72" s="107"/>
      <c r="AL72" s="107"/>
      <c r="AM72" s="107"/>
      <c r="AN72" s="107"/>
      <c r="AO72" s="107"/>
      <c r="AP72" s="107"/>
      <c r="AQ72" s="107"/>
      <c r="AR72" s="107"/>
      <c r="AS72" s="107"/>
      <c r="AT72" s="107"/>
      <c r="AU72" s="107"/>
      <c r="AV72" s="107"/>
      <c r="AW72" s="107"/>
      <c r="AX72" s="107"/>
      <c r="AY72" s="107"/>
      <c r="AZ72" s="107"/>
      <c r="BA72" s="107"/>
      <c r="BB72" s="107"/>
      <c r="BC72" s="107"/>
      <c r="BD72" s="107"/>
      <c r="BE72" s="107"/>
      <c r="BF72" s="107"/>
      <c r="BG72" s="107"/>
      <c r="BH72" s="107"/>
      <c r="BI72" s="107"/>
      <c r="BJ72" s="107"/>
      <c r="BK72" s="107"/>
      <c r="BL72" s="107"/>
      <c r="BM72" s="107"/>
      <c r="BN72" s="107"/>
      <c r="BO72" s="107"/>
      <c r="BP72" s="107"/>
      <c r="BQ72" s="107"/>
      <c r="BR72" s="107"/>
      <c r="BS72" s="107"/>
      <c r="BT72" s="107"/>
      <c r="BU72" s="107"/>
      <c r="BV72" s="107"/>
      <c r="BW72" s="107"/>
      <c r="BX72" s="107"/>
      <c r="BY72" s="107"/>
      <c r="BZ72" s="107"/>
      <c r="CA72" s="107"/>
      <c r="CB72" s="107"/>
      <c r="CC72" s="107"/>
      <c r="CD72" s="107"/>
      <c r="CE72" s="107"/>
      <c r="CF72" s="107"/>
      <c r="CG72" s="107"/>
      <c r="CH72" s="107"/>
      <c r="CI72" s="107"/>
      <c r="CJ72" s="107"/>
      <c r="CK72" s="107"/>
      <c r="CL72" s="107"/>
      <c r="CM72" s="107"/>
      <c r="CN72" s="107"/>
      <c r="CO72" s="107"/>
      <c r="CP72" s="107"/>
      <c r="CQ72" s="107"/>
      <c r="CR72" s="107"/>
      <c r="CS72" s="107"/>
      <c r="CT72" s="107"/>
      <c r="CU72" s="107"/>
      <c r="CV72" s="107"/>
      <c r="CW72" s="107"/>
      <c r="CX72" s="107"/>
      <c r="CY72" s="107"/>
      <c r="CZ72" s="107"/>
      <c r="DA72" s="107"/>
      <c r="DB72" s="107"/>
      <c r="DC72" s="107"/>
      <c r="DD72" s="107"/>
      <c r="DE72" s="107"/>
      <c r="DF72" s="107"/>
      <c r="DG72" s="107"/>
      <c r="DH72" s="107"/>
      <c r="DI72" s="107"/>
      <c r="DJ72" s="107"/>
      <c r="DK72" s="107"/>
      <c r="DL72" s="107"/>
      <c r="DM72" s="107"/>
      <c r="DN72" s="107"/>
      <c r="DO72" s="107"/>
      <c r="DP72" s="107"/>
      <c r="DQ72" s="107"/>
      <c r="DR72" s="107"/>
      <c r="DS72" s="107"/>
      <c r="DT72" s="107"/>
      <c r="DU72" s="107"/>
      <c r="DV72" s="107"/>
      <c r="DW72" s="107"/>
      <c r="DX72" s="107"/>
      <c r="DY72" s="107"/>
      <c r="DZ72" s="107"/>
      <c r="EA72" s="107"/>
      <c r="EB72" s="107"/>
      <c r="EC72" s="107"/>
      <c r="ED72" s="107"/>
      <c r="EE72" s="107"/>
      <c r="EF72" s="107"/>
      <c r="EG72" s="107"/>
      <c r="EH72" s="107"/>
      <c r="EI72" s="107"/>
      <c r="EJ72" s="107"/>
      <c r="EK72" s="107"/>
      <c r="EL72" s="107"/>
      <c r="EM72" s="107"/>
      <c r="EN72" s="107"/>
      <c r="EO72" s="107"/>
      <c r="EP72" s="107"/>
      <c r="EQ72" s="107"/>
      <c r="ER72" s="107"/>
      <c r="ES72" s="107"/>
      <c r="ET72" s="107"/>
      <c r="EU72" s="107"/>
      <c r="EV72" s="107"/>
      <c r="EW72" s="107"/>
      <c r="EX72" s="107"/>
      <c r="EY72" s="107"/>
      <c r="EZ72" s="107"/>
      <c r="FA72" s="107"/>
      <c r="FB72" s="107"/>
      <c r="FC72" s="107"/>
      <c r="FD72" s="107"/>
      <c r="FE72" s="107"/>
      <c r="FF72" s="107"/>
      <c r="FG72" s="107"/>
      <c r="FH72" s="107"/>
      <c r="FI72" s="107"/>
      <c r="FJ72" s="107"/>
      <c r="FK72" s="107"/>
      <c r="FL72" s="107"/>
      <c r="FM72" s="107"/>
      <c r="FN72" s="107"/>
      <c r="FO72" s="107"/>
      <c r="FP72" s="107"/>
      <c r="FQ72" s="107"/>
      <c r="FR72" s="107"/>
      <c r="FS72" s="107"/>
      <c r="FT72" s="107"/>
      <c r="FU72" s="107"/>
    </row>
    <row r="73" spans="1:177" ht="16.5">
      <c r="A73" s="100"/>
      <c r="B73" s="164" t="str">
        <f>+Configuración!B72</f>
        <v>N-TradeRepublicFondo</v>
      </c>
      <c r="C73" s="165">
        <f>+Movimientos!D59</f>
        <v>970</v>
      </c>
      <c r="D73" s="150">
        <f>+C73/$C$2</f>
        <v>1.2511555308099638E-3</v>
      </c>
      <c r="E73" s="166" t="s">
        <v>785</v>
      </c>
      <c r="F73" s="167" t="s">
        <v>785</v>
      </c>
      <c r="G73" s="166">
        <f>+C73</f>
        <v>970</v>
      </c>
      <c r="H73" s="155">
        <f>+G73/$G$2</f>
        <v>2.8791841012023836E-3</v>
      </c>
      <c r="I73" s="106"/>
      <c r="J73" s="24"/>
      <c r="K73" s="24"/>
      <c r="L73" s="24"/>
      <c r="M73" s="24"/>
      <c r="N73" s="24"/>
      <c r="O73" s="24"/>
      <c r="P73" s="107"/>
      <c r="Q73" s="107"/>
      <c r="R73" s="107"/>
      <c r="S73" s="107"/>
      <c r="T73" s="107"/>
      <c r="U73" s="107"/>
      <c r="V73" s="107"/>
      <c r="W73" s="107"/>
      <c r="X73" s="107"/>
      <c r="Y73" s="107"/>
      <c r="Z73" s="107"/>
      <c r="AA73" s="107"/>
      <c r="AB73" s="107"/>
      <c r="AC73" s="107"/>
      <c r="AD73" s="107"/>
      <c r="AE73" s="107"/>
      <c r="AF73" s="107"/>
      <c r="AG73" s="107"/>
      <c r="AH73" s="107"/>
      <c r="AI73" s="107"/>
      <c r="AJ73" s="107"/>
      <c r="AK73" s="107"/>
      <c r="AL73" s="107"/>
      <c r="AM73" s="107"/>
      <c r="AN73" s="107"/>
      <c r="AO73" s="107"/>
      <c r="AP73" s="107"/>
      <c r="AQ73" s="107"/>
      <c r="AR73" s="107"/>
      <c r="AS73" s="107"/>
      <c r="AT73" s="107"/>
      <c r="AU73" s="107"/>
      <c r="AV73" s="107"/>
      <c r="AW73" s="107"/>
      <c r="AX73" s="107"/>
      <c r="AY73" s="107"/>
      <c r="AZ73" s="107"/>
      <c r="BA73" s="107"/>
      <c r="BB73" s="107"/>
      <c r="BC73" s="107"/>
      <c r="BD73" s="107"/>
      <c r="BE73" s="107"/>
      <c r="BF73" s="107"/>
      <c r="BG73" s="107"/>
      <c r="BH73" s="107"/>
      <c r="BI73" s="107"/>
      <c r="BJ73" s="107"/>
      <c r="BK73" s="107"/>
      <c r="BL73" s="107"/>
      <c r="BM73" s="107"/>
      <c r="BN73" s="107"/>
      <c r="BO73" s="107"/>
      <c r="BP73" s="107"/>
      <c r="BQ73" s="107"/>
      <c r="BR73" s="107"/>
      <c r="BS73" s="107"/>
      <c r="BT73" s="107"/>
      <c r="BU73" s="107"/>
      <c r="BV73" s="107"/>
      <c r="BW73" s="107"/>
      <c r="BX73" s="107"/>
      <c r="BY73" s="107"/>
      <c r="BZ73" s="107"/>
      <c r="CA73" s="107"/>
      <c r="CB73" s="107"/>
      <c r="CC73" s="107"/>
      <c r="CD73" s="107"/>
      <c r="CE73" s="107"/>
      <c r="CF73" s="107"/>
      <c r="CG73" s="107"/>
      <c r="CH73" s="107"/>
      <c r="CI73" s="107"/>
      <c r="CJ73" s="107"/>
      <c r="CK73" s="107"/>
      <c r="CL73" s="107"/>
      <c r="CM73" s="107"/>
      <c r="CN73" s="107"/>
      <c r="CO73" s="107"/>
      <c r="CP73" s="107"/>
      <c r="CQ73" s="107"/>
      <c r="CR73" s="107"/>
      <c r="CS73" s="107"/>
      <c r="CT73" s="107"/>
      <c r="CU73" s="107"/>
      <c r="CV73" s="107"/>
      <c r="CW73" s="107"/>
      <c r="CX73" s="107"/>
      <c r="CY73" s="107"/>
      <c r="CZ73" s="107"/>
      <c r="DA73" s="107"/>
      <c r="DB73" s="107"/>
      <c r="DC73" s="107"/>
      <c r="DD73" s="107"/>
      <c r="DE73" s="107"/>
      <c r="DF73" s="107"/>
      <c r="DG73" s="107"/>
      <c r="DH73" s="107"/>
      <c r="DI73" s="107"/>
      <c r="DJ73" s="107"/>
      <c r="DK73" s="107"/>
      <c r="DL73" s="107"/>
      <c r="DM73" s="107"/>
      <c r="DN73" s="107"/>
      <c r="DO73" s="107"/>
      <c r="DP73" s="107"/>
      <c r="DQ73" s="107"/>
      <c r="DR73" s="107"/>
      <c r="DS73" s="107"/>
      <c r="DT73" s="107"/>
      <c r="DU73" s="107"/>
      <c r="DV73" s="107"/>
      <c r="DW73" s="107"/>
      <c r="DX73" s="107"/>
      <c r="DY73" s="107"/>
      <c r="DZ73" s="107"/>
      <c r="EA73" s="107"/>
      <c r="EB73" s="107"/>
      <c r="EC73" s="107"/>
      <c r="ED73" s="107"/>
      <c r="EE73" s="107"/>
      <c r="EF73" s="107"/>
      <c r="EG73" s="107"/>
      <c r="EH73" s="107"/>
      <c r="EI73" s="107"/>
      <c r="EJ73" s="107"/>
      <c r="EK73" s="107"/>
      <c r="EL73" s="107"/>
      <c r="EM73" s="107"/>
      <c r="EN73" s="107"/>
      <c r="EO73" s="107"/>
      <c r="EP73" s="107"/>
      <c r="EQ73" s="107"/>
      <c r="ER73" s="107"/>
      <c r="ES73" s="107"/>
      <c r="ET73" s="107"/>
      <c r="EU73" s="107"/>
      <c r="EV73" s="107"/>
      <c r="EW73" s="107"/>
      <c r="EX73" s="107"/>
      <c r="EY73" s="107"/>
      <c r="EZ73" s="107"/>
      <c r="FA73" s="107"/>
      <c r="FB73" s="107"/>
      <c r="FC73" s="107"/>
      <c r="FD73" s="107"/>
      <c r="FE73" s="107"/>
      <c r="FF73" s="107"/>
      <c r="FG73" s="107"/>
      <c r="FH73" s="107"/>
      <c r="FI73" s="107"/>
      <c r="FJ73" s="107"/>
      <c r="FK73" s="107"/>
      <c r="FL73" s="107"/>
      <c r="FM73" s="107"/>
      <c r="FN73" s="107"/>
      <c r="FO73" s="107"/>
      <c r="FP73" s="107"/>
      <c r="FQ73" s="107"/>
      <c r="FR73" s="107"/>
      <c r="FS73" s="107"/>
      <c r="FT73" s="107"/>
      <c r="FU73" s="107"/>
    </row>
    <row r="74" spans="1:177" ht="16.5">
      <c r="A74" s="100"/>
      <c r="B74" s="168" t="s">
        <v>792</v>
      </c>
      <c r="C74" s="169">
        <f>SUM(C57:C73)</f>
        <v>165734.10999999999</v>
      </c>
      <c r="D74" s="158">
        <f>SUM(D57:D73)</f>
        <v>0.21377231790759474</v>
      </c>
      <c r="E74" s="169">
        <f>SUM(E57:E73)</f>
        <v>68264.01999999999</v>
      </c>
      <c r="F74" s="159">
        <f>SUM(F57:F73)</f>
        <v>0.15571800787308226</v>
      </c>
      <c r="G74" s="169">
        <f>SUM(G57:G73)</f>
        <v>97470.09</v>
      </c>
      <c r="H74" s="159">
        <f>SUM(H57:H73)</f>
        <v>0.28931374584614988</v>
      </c>
      <c r="I74" s="106"/>
      <c r="J74" s="24"/>
      <c r="K74" s="24"/>
      <c r="L74" s="24"/>
      <c r="M74" s="24"/>
      <c r="N74" s="24"/>
      <c r="O74" s="24"/>
      <c r="P74" s="107"/>
      <c r="Q74" s="107"/>
      <c r="R74" s="107"/>
      <c r="S74" s="107"/>
      <c r="T74" s="107"/>
      <c r="U74" s="107"/>
      <c r="V74" s="107"/>
      <c r="W74" s="107"/>
      <c r="X74" s="107"/>
      <c r="Y74" s="107"/>
      <c r="Z74" s="107"/>
      <c r="AA74" s="107"/>
      <c r="AB74" s="107"/>
      <c r="AC74" s="107"/>
      <c r="AD74" s="107"/>
      <c r="AE74" s="107"/>
      <c r="AF74" s="107"/>
      <c r="AG74" s="107"/>
      <c r="AH74" s="107"/>
      <c r="AI74" s="107"/>
      <c r="AJ74" s="107"/>
      <c r="AK74" s="107"/>
      <c r="AL74" s="107"/>
      <c r="AM74" s="107"/>
      <c r="AN74" s="107"/>
      <c r="AO74" s="107"/>
      <c r="AP74" s="107"/>
      <c r="AQ74" s="107"/>
      <c r="AR74" s="107"/>
      <c r="AS74" s="107"/>
      <c r="AT74" s="107"/>
      <c r="AU74" s="107"/>
      <c r="AV74" s="107"/>
      <c r="AW74" s="107"/>
      <c r="AX74" s="107"/>
      <c r="AY74" s="107"/>
      <c r="AZ74" s="107"/>
      <c r="BA74" s="107"/>
      <c r="BB74" s="107"/>
      <c r="BC74" s="107"/>
      <c r="BD74" s="107"/>
      <c r="BE74" s="107"/>
      <c r="BF74" s="107"/>
      <c r="BG74" s="107"/>
      <c r="BH74" s="107"/>
      <c r="BI74" s="107"/>
      <c r="BJ74" s="107"/>
      <c r="BK74" s="107"/>
      <c r="BL74" s="107"/>
      <c r="BM74" s="107"/>
      <c r="BN74" s="107"/>
      <c r="BO74" s="107"/>
      <c r="BP74" s="107"/>
      <c r="BQ74" s="107"/>
      <c r="BR74" s="107"/>
      <c r="BS74" s="107"/>
      <c r="BT74" s="107"/>
      <c r="BU74" s="107"/>
      <c r="BV74" s="107"/>
      <c r="BW74" s="107"/>
      <c r="BX74" s="107"/>
      <c r="BY74" s="107"/>
      <c r="BZ74" s="107"/>
      <c r="CA74" s="107"/>
      <c r="CB74" s="107"/>
      <c r="CC74" s="107"/>
      <c r="CD74" s="107"/>
      <c r="CE74" s="107"/>
      <c r="CF74" s="107"/>
      <c r="CG74" s="107"/>
      <c r="CH74" s="107"/>
      <c r="CI74" s="107"/>
      <c r="CJ74" s="107"/>
      <c r="CK74" s="107"/>
      <c r="CL74" s="107"/>
      <c r="CM74" s="107"/>
      <c r="CN74" s="107"/>
      <c r="CO74" s="107"/>
      <c r="CP74" s="107"/>
      <c r="CQ74" s="107"/>
      <c r="CR74" s="107"/>
      <c r="CS74" s="107"/>
      <c r="CT74" s="107"/>
      <c r="CU74" s="107"/>
      <c r="CV74" s="107"/>
      <c r="CW74" s="107"/>
      <c r="CX74" s="107"/>
      <c r="CY74" s="107"/>
      <c r="CZ74" s="107"/>
      <c r="DA74" s="107"/>
      <c r="DB74" s="107"/>
      <c r="DC74" s="107"/>
      <c r="DD74" s="107"/>
      <c r="DE74" s="107"/>
      <c r="DF74" s="107"/>
      <c r="DG74" s="107"/>
      <c r="DH74" s="107"/>
      <c r="DI74" s="107"/>
      <c r="DJ74" s="107"/>
      <c r="DK74" s="107"/>
      <c r="DL74" s="107"/>
      <c r="DM74" s="107"/>
      <c r="DN74" s="107"/>
      <c r="DO74" s="107"/>
      <c r="DP74" s="107"/>
      <c r="DQ74" s="107"/>
      <c r="DR74" s="107"/>
      <c r="DS74" s="107"/>
      <c r="DT74" s="107"/>
      <c r="DU74" s="107"/>
      <c r="DV74" s="107"/>
      <c r="DW74" s="107"/>
      <c r="DX74" s="107"/>
      <c r="DY74" s="107"/>
      <c r="DZ74" s="107"/>
      <c r="EA74" s="107"/>
      <c r="EB74" s="107"/>
      <c r="EC74" s="107"/>
      <c r="ED74" s="107"/>
      <c r="EE74" s="107"/>
      <c r="EF74" s="107"/>
      <c r="EG74" s="107"/>
      <c r="EH74" s="107"/>
      <c r="EI74" s="107"/>
      <c r="EJ74" s="107"/>
      <c r="EK74" s="107"/>
      <c r="EL74" s="107"/>
      <c r="EM74" s="107"/>
      <c r="EN74" s="107"/>
      <c r="EO74" s="107"/>
      <c r="EP74" s="107"/>
      <c r="EQ74" s="107"/>
      <c r="ER74" s="107"/>
      <c r="ES74" s="107"/>
      <c r="ET74" s="107"/>
      <c r="EU74" s="107"/>
      <c r="EV74" s="107"/>
      <c r="EW74" s="107"/>
      <c r="EX74" s="107"/>
      <c r="EY74" s="107"/>
      <c r="EZ74" s="107"/>
      <c r="FA74" s="107"/>
      <c r="FB74" s="107"/>
      <c r="FC74" s="107"/>
      <c r="FD74" s="107"/>
      <c r="FE74" s="107"/>
      <c r="FF74" s="107"/>
      <c r="FG74" s="107"/>
      <c r="FH74" s="107"/>
      <c r="FI74" s="107"/>
      <c r="FJ74" s="107"/>
      <c r="FK74" s="107"/>
      <c r="FL74" s="107"/>
      <c r="FM74" s="107"/>
      <c r="FN74" s="107"/>
      <c r="FO74" s="107"/>
      <c r="FP74" s="107"/>
      <c r="FQ74" s="107"/>
      <c r="FR74" s="107"/>
      <c r="FS74" s="107"/>
      <c r="FT74" s="107"/>
      <c r="FU74" s="107"/>
    </row>
    <row r="75" spans="1:177" ht="16.5">
      <c r="A75" s="100"/>
      <c r="B75" s="170" t="str">
        <f>+Configuración!B2</f>
        <v>D-Casa</v>
      </c>
      <c r="C75" s="171">
        <v>165779.10999999999</v>
      </c>
      <c r="D75" s="172">
        <f>+C75/$C$2</f>
        <v>0.21383036120541582</v>
      </c>
      <c r="E75" s="173">
        <f>+C75</f>
        <v>165779.10999999999</v>
      </c>
      <c r="F75" s="172">
        <f>+E75/$E$2</f>
        <v>0.37816103939048085</v>
      </c>
      <c r="G75" s="173" t="s">
        <v>785</v>
      </c>
      <c r="H75" s="174" t="s">
        <v>785</v>
      </c>
      <c r="I75" s="106"/>
      <c r="J75" s="24"/>
      <c r="K75" s="24"/>
      <c r="L75" s="24"/>
      <c r="M75" s="24"/>
      <c r="N75" s="24"/>
      <c r="O75" s="24"/>
      <c r="P75" s="107"/>
      <c r="Q75" s="107"/>
      <c r="R75" s="107"/>
      <c r="S75" s="107"/>
      <c r="T75" s="107"/>
      <c r="U75" s="107"/>
      <c r="V75" s="107"/>
      <c r="W75" s="107"/>
      <c r="X75" s="107"/>
      <c r="Y75" s="107"/>
      <c r="Z75" s="107"/>
      <c r="AA75" s="107"/>
      <c r="AB75" s="107"/>
      <c r="AC75" s="107"/>
      <c r="AD75" s="107"/>
      <c r="AE75" s="107"/>
      <c r="AF75" s="107"/>
      <c r="AG75" s="107"/>
      <c r="AH75" s="107"/>
      <c r="AI75" s="107"/>
      <c r="AJ75" s="107"/>
      <c r="AK75" s="107"/>
      <c r="AL75" s="107"/>
      <c r="AM75" s="107"/>
      <c r="AN75" s="107"/>
      <c r="AO75" s="107"/>
      <c r="AP75" s="107"/>
      <c r="AQ75" s="107"/>
      <c r="AR75" s="107"/>
      <c r="AS75" s="107"/>
      <c r="AT75" s="107"/>
      <c r="AU75" s="107"/>
      <c r="AV75" s="107"/>
      <c r="AW75" s="107"/>
      <c r="AX75" s="107"/>
      <c r="AY75" s="107"/>
      <c r="AZ75" s="107"/>
      <c r="BA75" s="107"/>
      <c r="BB75" s="107"/>
      <c r="BC75" s="107"/>
      <c r="BD75" s="107"/>
      <c r="BE75" s="107"/>
      <c r="BF75" s="107"/>
      <c r="BG75" s="107"/>
      <c r="BH75" s="107"/>
      <c r="BI75" s="107"/>
      <c r="BJ75" s="107"/>
      <c r="BK75" s="107"/>
      <c r="BL75" s="107"/>
      <c r="BM75" s="107"/>
      <c r="BN75" s="107"/>
      <c r="BO75" s="107"/>
      <c r="BP75" s="107"/>
      <c r="BQ75" s="107"/>
      <c r="BR75" s="107"/>
      <c r="BS75" s="107"/>
      <c r="BT75" s="107"/>
      <c r="BU75" s="107"/>
      <c r="BV75" s="107"/>
      <c r="BW75" s="107"/>
      <c r="BX75" s="107"/>
      <c r="BY75" s="107"/>
      <c r="BZ75" s="107"/>
      <c r="CA75" s="107"/>
      <c r="CB75" s="107"/>
      <c r="CC75" s="107"/>
      <c r="CD75" s="107"/>
      <c r="CE75" s="107"/>
      <c r="CF75" s="107"/>
      <c r="CG75" s="107"/>
      <c r="CH75" s="107"/>
      <c r="CI75" s="107"/>
      <c r="CJ75" s="107"/>
      <c r="CK75" s="107"/>
      <c r="CL75" s="107"/>
      <c r="CM75" s="107"/>
      <c r="CN75" s="107"/>
      <c r="CO75" s="107"/>
      <c r="CP75" s="107"/>
      <c r="CQ75" s="107"/>
      <c r="CR75" s="107"/>
      <c r="CS75" s="107"/>
      <c r="CT75" s="107"/>
      <c r="CU75" s="107"/>
      <c r="CV75" s="107"/>
      <c r="CW75" s="107"/>
      <c r="CX75" s="107"/>
      <c r="CY75" s="107"/>
      <c r="CZ75" s="107"/>
      <c r="DA75" s="107"/>
      <c r="DB75" s="107"/>
      <c r="DC75" s="107"/>
      <c r="DD75" s="107"/>
      <c r="DE75" s="107"/>
      <c r="DF75" s="107"/>
      <c r="DG75" s="107"/>
      <c r="DH75" s="107"/>
      <c r="DI75" s="107"/>
      <c r="DJ75" s="107"/>
      <c r="DK75" s="107"/>
      <c r="DL75" s="107"/>
      <c r="DM75" s="107"/>
      <c r="DN75" s="107"/>
      <c r="DO75" s="107"/>
      <c r="DP75" s="107"/>
      <c r="DQ75" s="107"/>
      <c r="DR75" s="107"/>
      <c r="DS75" s="107"/>
      <c r="DT75" s="107"/>
      <c r="DU75" s="107"/>
      <c r="DV75" s="107"/>
      <c r="DW75" s="107"/>
      <c r="DX75" s="107"/>
      <c r="DY75" s="107"/>
      <c r="DZ75" s="107"/>
      <c r="EA75" s="107"/>
      <c r="EB75" s="107"/>
      <c r="EC75" s="107"/>
      <c r="ED75" s="107"/>
      <c r="EE75" s="107"/>
      <c r="EF75" s="107"/>
      <c r="EG75" s="107"/>
      <c r="EH75" s="107"/>
      <c r="EI75" s="107"/>
      <c r="EJ75" s="107"/>
      <c r="EK75" s="107"/>
      <c r="EL75" s="107"/>
      <c r="EM75" s="107"/>
      <c r="EN75" s="107"/>
      <c r="EO75" s="107"/>
      <c r="EP75" s="107"/>
      <c r="EQ75" s="107"/>
      <c r="ER75" s="107"/>
      <c r="ES75" s="107"/>
      <c r="ET75" s="107"/>
      <c r="EU75" s="107"/>
      <c r="EV75" s="107"/>
      <c r="EW75" s="107"/>
      <c r="EX75" s="107"/>
      <c r="EY75" s="107"/>
      <c r="EZ75" s="107"/>
      <c r="FA75" s="107"/>
      <c r="FB75" s="107"/>
      <c r="FC75" s="107"/>
      <c r="FD75" s="107"/>
      <c r="FE75" s="107"/>
      <c r="FF75" s="107"/>
      <c r="FG75" s="107"/>
      <c r="FH75" s="107"/>
      <c r="FI75" s="107"/>
      <c r="FJ75" s="107"/>
      <c r="FK75" s="107"/>
      <c r="FL75" s="107"/>
      <c r="FM75" s="107"/>
      <c r="FN75" s="107"/>
      <c r="FO75" s="107"/>
      <c r="FP75" s="107"/>
      <c r="FQ75" s="107"/>
      <c r="FR75" s="107"/>
      <c r="FS75" s="107"/>
      <c r="FT75" s="107"/>
      <c r="FU75" s="107"/>
    </row>
    <row r="76" spans="1:177" ht="16.5">
      <c r="A76" s="100"/>
      <c r="B76" s="175" t="str">
        <f>+Configuración!B3</f>
        <v>D-Coche</v>
      </c>
      <c r="C76" s="176">
        <v>17654.07</v>
      </c>
      <c r="D76" s="177">
        <f>+C76/$C$2</f>
        <v>2.2771120950315728E-2</v>
      </c>
      <c r="E76" s="178">
        <f>+C76</f>
        <v>17654.07</v>
      </c>
      <c r="F76" s="177">
        <f>+E76/$E$2</f>
        <v>4.0270945239555857E-2</v>
      </c>
      <c r="G76" s="178" t="s">
        <v>785</v>
      </c>
      <c r="H76" s="174" t="s">
        <v>785</v>
      </c>
      <c r="I76" s="106"/>
      <c r="J76" s="24"/>
      <c r="K76" s="24"/>
      <c r="L76" s="24"/>
      <c r="M76" s="24"/>
      <c r="N76" s="24"/>
      <c r="O76" s="24"/>
      <c r="P76" s="107"/>
      <c r="Q76" s="107"/>
      <c r="R76" s="107"/>
      <c r="S76" s="107"/>
      <c r="T76" s="107"/>
      <c r="U76" s="107"/>
      <c r="V76" s="107"/>
      <c r="W76" s="107"/>
      <c r="X76" s="107"/>
      <c r="Y76" s="107"/>
      <c r="Z76" s="107"/>
      <c r="AA76" s="107"/>
      <c r="AB76" s="107"/>
      <c r="AC76" s="107"/>
      <c r="AD76" s="107"/>
      <c r="AE76" s="107"/>
      <c r="AF76" s="107"/>
      <c r="AG76" s="107"/>
      <c r="AH76" s="107"/>
      <c r="AI76" s="107"/>
      <c r="AJ76" s="107"/>
      <c r="AK76" s="107"/>
      <c r="AL76" s="107"/>
      <c r="AM76" s="107"/>
      <c r="AN76" s="107"/>
      <c r="AO76" s="107"/>
      <c r="AP76" s="107"/>
      <c r="AQ76" s="107"/>
      <c r="AR76" s="107"/>
      <c r="AS76" s="107"/>
      <c r="AT76" s="107"/>
      <c r="AU76" s="107"/>
      <c r="AV76" s="107"/>
      <c r="AW76" s="107"/>
      <c r="AX76" s="107"/>
      <c r="AY76" s="107"/>
      <c r="AZ76" s="107"/>
      <c r="BA76" s="107"/>
      <c r="BB76" s="107"/>
      <c r="BC76" s="107"/>
      <c r="BD76" s="107"/>
      <c r="BE76" s="107"/>
      <c r="BF76" s="107"/>
      <c r="BG76" s="107"/>
      <c r="BH76" s="107"/>
      <c r="BI76" s="107"/>
      <c r="BJ76" s="107"/>
      <c r="BK76" s="107"/>
      <c r="BL76" s="107"/>
      <c r="BM76" s="107"/>
      <c r="BN76" s="107"/>
      <c r="BO76" s="107"/>
      <c r="BP76" s="107"/>
      <c r="BQ76" s="107"/>
      <c r="BR76" s="107"/>
      <c r="BS76" s="107"/>
      <c r="BT76" s="107"/>
      <c r="BU76" s="107"/>
      <c r="BV76" s="107"/>
      <c r="BW76" s="107"/>
      <c r="BX76" s="107"/>
      <c r="BY76" s="107"/>
      <c r="BZ76" s="107"/>
      <c r="CA76" s="107"/>
      <c r="CB76" s="107"/>
      <c r="CC76" s="107"/>
      <c r="CD76" s="107"/>
      <c r="CE76" s="107"/>
      <c r="CF76" s="107"/>
      <c r="CG76" s="107"/>
      <c r="CH76" s="107"/>
      <c r="CI76" s="107"/>
      <c r="CJ76" s="107"/>
      <c r="CK76" s="107"/>
      <c r="CL76" s="107"/>
      <c r="CM76" s="107"/>
      <c r="CN76" s="107"/>
      <c r="CO76" s="107"/>
      <c r="CP76" s="107"/>
      <c r="CQ76" s="107"/>
      <c r="CR76" s="107"/>
      <c r="CS76" s="107"/>
      <c r="CT76" s="107"/>
      <c r="CU76" s="107"/>
      <c r="CV76" s="107"/>
      <c r="CW76" s="107"/>
      <c r="CX76" s="107"/>
      <c r="CY76" s="107"/>
      <c r="CZ76" s="107"/>
      <c r="DA76" s="107"/>
      <c r="DB76" s="107"/>
      <c r="DC76" s="107"/>
      <c r="DD76" s="107"/>
      <c r="DE76" s="107"/>
      <c r="DF76" s="107"/>
      <c r="DG76" s="107"/>
      <c r="DH76" s="107"/>
      <c r="DI76" s="107"/>
      <c r="DJ76" s="107"/>
      <c r="DK76" s="107"/>
      <c r="DL76" s="107"/>
      <c r="DM76" s="107"/>
      <c r="DN76" s="107"/>
      <c r="DO76" s="107"/>
      <c r="DP76" s="107"/>
      <c r="DQ76" s="107"/>
      <c r="DR76" s="107"/>
      <c r="DS76" s="107"/>
      <c r="DT76" s="107"/>
      <c r="DU76" s="107"/>
      <c r="DV76" s="107"/>
      <c r="DW76" s="107"/>
      <c r="DX76" s="107"/>
      <c r="DY76" s="107"/>
      <c r="DZ76" s="107"/>
      <c r="EA76" s="107"/>
      <c r="EB76" s="107"/>
      <c r="EC76" s="107"/>
      <c r="ED76" s="107"/>
      <c r="EE76" s="107"/>
      <c r="EF76" s="107"/>
      <c r="EG76" s="107"/>
      <c r="EH76" s="107"/>
      <c r="EI76" s="107"/>
      <c r="EJ76" s="107"/>
      <c r="EK76" s="107"/>
      <c r="EL76" s="107"/>
      <c r="EM76" s="107"/>
      <c r="EN76" s="107"/>
      <c r="EO76" s="107"/>
      <c r="EP76" s="107"/>
      <c r="EQ76" s="107"/>
      <c r="ER76" s="107"/>
      <c r="ES76" s="107"/>
      <c r="ET76" s="107"/>
      <c r="EU76" s="107"/>
      <c r="EV76" s="107"/>
      <c r="EW76" s="107"/>
      <c r="EX76" s="107"/>
      <c r="EY76" s="107"/>
      <c r="EZ76" s="107"/>
      <c r="FA76" s="107"/>
      <c r="FB76" s="107"/>
      <c r="FC76" s="107"/>
      <c r="FD76" s="107"/>
      <c r="FE76" s="107"/>
      <c r="FF76" s="107"/>
      <c r="FG76" s="107"/>
      <c r="FH76" s="107"/>
      <c r="FI76" s="107"/>
      <c r="FJ76" s="107"/>
      <c r="FK76" s="107"/>
      <c r="FL76" s="107"/>
      <c r="FM76" s="107"/>
      <c r="FN76" s="107"/>
      <c r="FO76" s="107"/>
      <c r="FP76" s="107"/>
      <c r="FQ76" s="107"/>
      <c r="FR76" s="107"/>
      <c r="FS76" s="107"/>
      <c r="FT76" s="107"/>
      <c r="FU76" s="107"/>
    </row>
    <row r="77" spans="1:177" ht="16.5">
      <c r="A77" s="100"/>
      <c r="B77" s="175" t="str">
        <f>+Configuración!B4</f>
        <v>D-Garaje</v>
      </c>
      <c r="C77" s="176">
        <v>8038.54</v>
      </c>
      <c r="D77" s="177">
        <f>+C77/$C$2</f>
        <v>1.0368519361481573E-2</v>
      </c>
      <c r="E77" s="178">
        <f>+C77</f>
        <v>8038.54</v>
      </c>
      <c r="F77" s="177">
        <f>+E77/$E$2</f>
        <v>1.8336825680762527E-2</v>
      </c>
      <c r="G77" s="178" t="s">
        <v>785</v>
      </c>
      <c r="H77" s="174" t="s">
        <v>785</v>
      </c>
      <c r="I77" s="106"/>
      <c r="J77" s="24"/>
      <c r="K77" s="24"/>
      <c r="L77" s="24"/>
      <c r="M77" s="24"/>
      <c r="N77" s="24"/>
      <c r="O77" s="24"/>
      <c r="P77" s="107"/>
      <c r="Q77" s="107"/>
      <c r="R77" s="107"/>
      <c r="S77" s="107"/>
      <c r="T77" s="107"/>
      <c r="U77" s="107"/>
      <c r="V77" s="107"/>
      <c r="W77" s="107"/>
      <c r="X77" s="107"/>
      <c r="Y77" s="107"/>
      <c r="Z77" s="107"/>
      <c r="AA77" s="107"/>
      <c r="AB77" s="107"/>
      <c r="AC77" s="107"/>
      <c r="AD77" s="107"/>
      <c r="AE77" s="107"/>
      <c r="AF77" s="107"/>
      <c r="AG77" s="107"/>
      <c r="AH77" s="107"/>
      <c r="AI77" s="107"/>
      <c r="AJ77" s="107"/>
      <c r="AK77" s="107"/>
      <c r="AL77" s="107"/>
      <c r="AM77" s="107"/>
      <c r="AN77" s="107"/>
      <c r="AO77" s="107"/>
      <c r="AP77" s="107"/>
      <c r="AQ77" s="107"/>
      <c r="AR77" s="107"/>
      <c r="AS77" s="107"/>
      <c r="AT77" s="107"/>
      <c r="AU77" s="107"/>
      <c r="AV77" s="107"/>
      <c r="AW77" s="107"/>
      <c r="AX77" s="107"/>
      <c r="AY77" s="107"/>
      <c r="AZ77" s="107"/>
      <c r="BA77" s="107"/>
      <c r="BB77" s="107"/>
      <c r="BC77" s="107"/>
      <c r="BD77" s="107"/>
      <c r="BE77" s="107"/>
      <c r="BF77" s="107"/>
      <c r="BG77" s="107"/>
      <c r="BH77" s="107"/>
      <c r="BI77" s="107"/>
      <c r="BJ77" s="107"/>
      <c r="BK77" s="107"/>
      <c r="BL77" s="107"/>
      <c r="BM77" s="107"/>
      <c r="BN77" s="107"/>
      <c r="BO77" s="107"/>
      <c r="BP77" s="107"/>
      <c r="BQ77" s="107"/>
      <c r="BR77" s="107"/>
      <c r="BS77" s="107"/>
      <c r="BT77" s="107"/>
      <c r="BU77" s="107"/>
      <c r="BV77" s="107"/>
      <c r="BW77" s="107"/>
      <c r="BX77" s="107"/>
      <c r="BY77" s="107"/>
      <c r="BZ77" s="107"/>
      <c r="CA77" s="107"/>
      <c r="CB77" s="107"/>
      <c r="CC77" s="107"/>
      <c r="CD77" s="107"/>
      <c r="CE77" s="107"/>
      <c r="CF77" s="107"/>
      <c r="CG77" s="107"/>
      <c r="CH77" s="107"/>
      <c r="CI77" s="107"/>
      <c r="CJ77" s="107"/>
      <c r="CK77" s="107"/>
      <c r="CL77" s="107"/>
      <c r="CM77" s="107"/>
      <c r="CN77" s="107"/>
      <c r="CO77" s="107"/>
      <c r="CP77" s="107"/>
      <c r="CQ77" s="107"/>
      <c r="CR77" s="107"/>
      <c r="CS77" s="107"/>
      <c r="CT77" s="107"/>
      <c r="CU77" s="107"/>
      <c r="CV77" s="107"/>
      <c r="CW77" s="107"/>
      <c r="CX77" s="107"/>
      <c r="CY77" s="107"/>
      <c r="CZ77" s="107"/>
      <c r="DA77" s="107"/>
      <c r="DB77" s="107"/>
      <c r="DC77" s="107"/>
      <c r="DD77" s="107"/>
      <c r="DE77" s="107"/>
      <c r="DF77" s="107"/>
      <c r="DG77" s="107"/>
      <c r="DH77" s="107"/>
      <c r="DI77" s="107"/>
      <c r="DJ77" s="107"/>
      <c r="DK77" s="107"/>
      <c r="DL77" s="107"/>
      <c r="DM77" s="107"/>
      <c r="DN77" s="107"/>
      <c r="DO77" s="107"/>
      <c r="DP77" s="107"/>
      <c r="DQ77" s="107"/>
      <c r="DR77" s="107"/>
      <c r="DS77" s="107"/>
      <c r="DT77" s="107"/>
      <c r="DU77" s="107"/>
      <c r="DV77" s="107"/>
      <c r="DW77" s="107"/>
      <c r="DX77" s="107"/>
      <c r="DY77" s="107"/>
      <c r="DZ77" s="107"/>
      <c r="EA77" s="107"/>
      <c r="EB77" s="107"/>
      <c r="EC77" s="107"/>
      <c r="ED77" s="107"/>
      <c r="EE77" s="107"/>
      <c r="EF77" s="107"/>
      <c r="EG77" s="107"/>
      <c r="EH77" s="107"/>
      <c r="EI77" s="107"/>
      <c r="EJ77" s="107"/>
      <c r="EK77" s="107"/>
      <c r="EL77" s="107"/>
      <c r="EM77" s="107"/>
      <c r="EN77" s="107"/>
      <c r="EO77" s="107"/>
      <c r="EP77" s="107"/>
      <c r="EQ77" s="107"/>
      <c r="ER77" s="107"/>
      <c r="ES77" s="107"/>
      <c r="ET77" s="107"/>
      <c r="EU77" s="107"/>
      <c r="EV77" s="107"/>
      <c r="EW77" s="107"/>
      <c r="EX77" s="107"/>
      <c r="EY77" s="107"/>
      <c r="EZ77" s="107"/>
      <c r="FA77" s="107"/>
      <c r="FB77" s="107"/>
      <c r="FC77" s="107"/>
      <c r="FD77" s="107"/>
      <c r="FE77" s="107"/>
      <c r="FF77" s="107"/>
      <c r="FG77" s="107"/>
      <c r="FH77" s="107"/>
      <c r="FI77" s="107"/>
      <c r="FJ77" s="107"/>
      <c r="FK77" s="107"/>
      <c r="FL77" s="107"/>
      <c r="FM77" s="107"/>
      <c r="FN77" s="107"/>
      <c r="FO77" s="107"/>
      <c r="FP77" s="107"/>
      <c r="FQ77" s="107"/>
      <c r="FR77" s="107"/>
      <c r="FS77" s="107"/>
      <c r="FT77" s="107"/>
      <c r="FU77" s="107"/>
    </row>
    <row r="78" spans="1:177" ht="16.5">
      <c r="A78" s="100"/>
      <c r="B78" s="175" t="str">
        <f>+Configuración!B5</f>
        <v>D-Garaje&amp;Trastero</v>
      </c>
      <c r="C78" s="176">
        <v>12629.86</v>
      </c>
      <c r="D78" s="177">
        <f>+C78/$C$2</f>
        <v>1.6290638342634566E-2</v>
      </c>
      <c r="E78" s="178">
        <f>+C78</f>
        <v>12629.86</v>
      </c>
      <c r="F78" s="177">
        <f>+E78/$E$2</f>
        <v>2.8810149752621177E-2</v>
      </c>
      <c r="G78" s="178" t="s">
        <v>785</v>
      </c>
      <c r="H78" s="174" t="s">
        <v>785</v>
      </c>
      <c r="I78" s="106"/>
      <c r="J78" s="24"/>
      <c r="K78" s="24"/>
      <c r="L78" s="24"/>
      <c r="M78" s="24"/>
      <c r="N78" s="24"/>
      <c r="O78" s="24"/>
      <c r="P78" s="107"/>
      <c r="Q78" s="107"/>
      <c r="R78" s="107"/>
      <c r="S78" s="107"/>
      <c r="T78" s="107"/>
      <c r="U78" s="107"/>
      <c r="V78" s="107"/>
      <c r="W78" s="107"/>
      <c r="X78" s="107"/>
      <c r="Y78" s="107"/>
      <c r="Z78" s="107"/>
      <c r="AA78" s="107"/>
      <c r="AB78" s="107"/>
      <c r="AC78" s="107"/>
      <c r="AD78" s="107"/>
      <c r="AE78" s="107"/>
      <c r="AF78" s="107"/>
      <c r="AG78" s="107"/>
      <c r="AH78" s="107"/>
      <c r="AI78" s="107"/>
      <c r="AJ78" s="107"/>
      <c r="AK78" s="107"/>
      <c r="AL78" s="107"/>
      <c r="AM78" s="107"/>
      <c r="AN78" s="107"/>
      <c r="AO78" s="107"/>
      <c r="AP78" s="107"/>
      <c r="AQ78" s="107"/>
      <c r="AR78" s="107"/>
      <c r="AS78" s="107"/>
      <c r="AT78" s="107"/>
      <c r="AU78" s="107"/>
      <c r="AV78" s="107"/>
      <c r="AW78" s="107"/>
      <c r="AX78" s="107"/>
      <c r="AY78" s="107"/>
      <c r="AZ78" s="107"/>
      <c r="BA78" s="107"/>
      <c r="BB78" s="107"/>
      <c r="BC78" s="107"/>
      <c r="BD78" s="107"/>
      <c r="BE78" s="107"/>
      <c r="BF78" s="107"/>
      <c r="BG78" s="107"/>
      <c r="BH78" s="107"/>
      <c r="BI78" s="107"/>
      <c r="BJ78" s="107"/>
      <c r="BK78" s="107"/>
      <c r="BL78" s="107"/>
      <c r="BM78" s="107"/>
      <c r="BN78" s="107"/>
      <c r="BO78" s="107"/>
      <c r="BP78" s="107"/>
      <c r="BQ78" s="107"/>
      <c r="BR78" s="107"/>
      <c r="BS78" s="107"/>
      <c r="BT78" s="107"/>
      <c r="BU78" s="107"/>
      <c r="BV78" s="107"/>
      <c r="BW78" s="107"/>
      <c r="BX78" s="107"/>
      <c r="BY78" s="107"/>
      <c r="BZ78" s="107"/>
      <c r="CA78" s="107"/>
      <c r="CB78" s="107"/>
      <c r="CC78" s="107"/>
      <c r="CD78" s="107"/>
      <c r="CE78" s="107"/>
      <c r="CF78" s="107"/>
      <c r="CG78" s="107"/>
      <c r="CH78" s="107"/>
      <c r="CI78" s="107"/>
      <c r="CJ78" s="107"/>
      <c r="CK78" s="107"/>
      <c r="CL78" s="107"/>
      <c r="CM78" s="107"/>
      <c r="CN78" s="107"/>
      <c r="CO78" s="107"/>
      <c r="CP78" s="107"/>
      <c r="CQ78" s="107"/>
      <c r="CR78" s="107"/>
      <c r="CS78" s="107"/>
      <c r="CT78" s="107"/>
      <c r="CU78" s="107"/>
      <c r="CV78" s="107"/>
      <c r="CW78" s="107"/>
      <c r="CX78" s="107"/>
      <c r="CY78" s="107"/>
      <c r="CZ78" s="107"/>
      <c r="DA78" s="107"/>
      <c r="DB78" s="107"/>
      <c r="DC78" s="107"/>
      <c r="DD78" s="107"/>
      <c r="DE78" s="107"/>
      <c r="DF78" s="107"/>
      <c r="DG78" s="107"/>
      <c r="DH78" s="107"/>
      <c r="DI78" s="107"/>
      <c r="DJ78" s="107"/>
      <c r="DK78" s="107"/>
      <c r="DL78" s="107"/>
      <c r="DM78" s="107"/>
      <c r="DN78" s="107"/>
      <c r="DO78" s="107"/>
      <c r="DP78" s="107"/>
      <c r="DQ78" s="107"/>
      <c r="DR78" s="107"/>
      <c r="DS78" s="107"/>
      <c r="DT78" s="107"/>
      <c r="DU78" s="107"/>
      <c r="DV78" s="107"/>
      <c r="DW78" s="107"/>
      <c r="DX78" s="107"/>
      <c r="DY78" s="107"/>
      <c r="DZ78" s="107"/>
      <c r="EA78" s="107"/>
      <c r="EB78" s="107"/>
      <c r="EC78" s="107"/>
      <c r="ED78" s="107"/>
      <c r="EE78" s="107"/>
      <c r="EF78" s="107"/>
      <c r="EG78" s="107"/>
      <c r="EH78" s="107"/>
      <c r="EI78" s="107"/>
      <c r="EJ78" s="107"/>
      <c r="EK78" s="107"/>
      <c r="EL78" s="107"/>
      <c r="EM78" s="107"/>
      <c r="EN78" s="107"/>
      <c r="EO78" s="107"/>
      <c r="EP78" s="107"/>
      <c r="EQ78" s="107"/>
      <c r="ER78" s="107"/>
      <c r="ES78" s="107"/>
      <c r="ET78" s="107"/>
      <c r="EU78" s="107"/>
      <c r="EV78" s="107"/>
      <c r="EW78" s="107"/>
      <c r="EX78" s="107"/>
      <c r="EY78" s="107"/>
      <c r="EZ78" s="107"/>
      <c r="FA78" s="107"/>
      <c r="FB78" s="107"/>
      <c r="FC78" s="107"/>
      <c r="FD78" s="107"/>
      <c r="FE78" s="107"/>
      <c r="FF78" s="107"/>
      <c r="FG78" s="107"/>
      <c r="FH78" s="107"/>
      <c r="FI78" s="107"/>
      <c r="FJ78" s="107"/>
      <c r="FK78" s="107"/>
      <c r="FL78" s="107"/>
      <c r="FM78" s="107"/>
      <c r="FN78" s="107"/>
      <c r="FO78" s="107"/>
      <c r="FP78" s="107"/>
      <c r="FQ78" s="107"/>
      <c r="FR78" s="107"/>
      <c r="FS78" s="107"/>
      <c r="FT78" s="107"/>
      <c r="FU78" s="107"/>
    </row>
    <row r="79" spans="1:177" ht="16.5">
      <c r="A79" s="100"/>
      <c r="B79" s="175" t="str">
        <f>+Configuración!B6</f>
        <v>D-MobilCasa</v>
      </c>
      <c r="C79" s="176">
        <v>9523.93</v>
      </c>
      <c r="D79" s="177">
        <f>+C79/$C$2</f>
        <v>1.2284451231491689E-2</v>
      </c>
      <c r="E79" s="178">
        <f>+C79</f>
        <v>9523.93</v>
      </c>
      <c r="F79" s="177">
        <f>+E79/$E$2</f>
        <v>2.1725169521553005E-2</v>
      </c>
      <c r="G79" s="178" t="s">
        <v>785</v>
      </c>
      <c r="H79" s="174" t="s">
        <v>785</v>
      </c>
      <c r="I79" s="106"/>
      <c r="J79" s="24"/>
      <c r="K79" s="24"/>
      <c r="L79" s="24"/>
      <c r="M79" s="24"/>
      <c r="N79" s="24"/>
      <c r="O79" s="24"/>
      <c r="P79" s="107"/>
      <c r="Q79" s="107"/>
      <c r="R79" s="107"/>
      <c r="S79" s="107"/>
      <c r="T79" s="107"/>
      <c r="U79" s="107"/>
      <c r="V79" s="107"/>
      <c r="W79" s="107"/>
      <c r="X79" s="107"/>
      <c r="Y79" s="107"/>
      <c r="Z79" s="107"/>
      <c r="AA79" s="107"/>
      <c r="AB79" s="107"/>
      <c r="AC79" s="107"/>
      <c r="AD79" s="107"/>
      <c r="AE79" s="107"/>
      <c r="AF79" s="107"/>
      <c r="AG79" s="107"/>
      <c r="AH79" s="107"/>
      <c r="AI79" s="107"/>
      <c r="AJ79" s="107"/>
      <c r="AK79" s="107"/>
      <c r="AL79" s="107"/>
      <c r="AM79" s="107"/>
      <c r="AN79" s="107"/>
      <c r="AO79" s="107"/>
      <c r="AP79" s="107"/>
      <c r="AQ79" s="107"/>
      <c r="AR79" s="107"/>
      <c r="AS79" s="107"/>
      <c r="AT79" s="107"/>
      <c r="AU79" s="107"/>
      <c r="AV79" s="107"/>
      <c r="AW79" s="107"/>
      <c r="AX79" s="107"/>
      <c r="AY79" s="107"/>
      <c r="AZ79" s="107"/>
      <c r="BA79" s="107"/>
      <c r="BB79" s="107"/>
      <c r="BC79" s="107"/>
      <c r="BD79" s="107"/>
      <c r="BE79" s="107"/>
      <c r="BF79" s="107"/>
      <c r="BG79" s="107"/>
      <c r="BH79" s="107"/>
      <c r="BI79" s="107"/>
      <c r="BJ79" s="107"/>
      <c r="BK79" s="107"/>
      <c r="BL79" s="107"/>
      <c r="BM79" s="107"/>
      <c r="BN79" s="107"/>
      <c r="BO79" s="107"/>
      <c r="BP79" s="107"/>
      <c r="BQ79" s="107"/>
      <c r="BR79" s="107"/>
      <c r="BS79" s="107"/>
      <c r="BT79" s="107"/>
      <c r="BU79" s="107"/>
      <c r="BV79" s="107"/>
      <c r="BW79" s="107"/>
      <c r="BX79" s="107"/>
      <c r="BY79" s="107"/>
      <c r="BZ79" s="107"/>
      <c r="CA79" s="107"/>
      <c r="CB79" s="107"/>
      <c r="CC79" s="107"/>
      <c r="CD79" s="107"/>
      <c r="CE79" s="107"/>
      <c r="CF79" s="107"/>
      <c r="CG79" s="107"/>
      <c r="CH79" s="107"/>
      <c r="CI79" s="107"/>
      <c r="CJ79" s="107"/>
      <c r="CK79" s="107"/>
      <c r="CL79" s="107"/>
      <c r="CM79" s="107"/>
      <c r="CN79" s="107"/>
      <c r="CO79" s="107"/>
      <c r="CP79" s="107"/>
      <c r="CQ79" s="107"/>
      <c r="CR79" s="107"/>
      <c r="CS79" s="107"/>
      <c r="CT79" s="107"/>
      <c r="CU79" s="107"/>
      <c r="CV79" s="107"/>
      <c r="CW79" s="107"/>
      <c r="CX79" s="107"/>
      <c r="CY79" s="107"/>
      <c r="CZ79" s="107"/>
      <c r="DA79" s="107"/>
      <c r="DB79" s="107"/>
      <c r="DC79" s="107"/>
      <c r="DD79" s="107"/>
      <c r="DE79" s="107"/>
      <c r="DF79" s="107"/>
      <c r="DG79" s="107"/>
      <c r="DH79" s="107"/>
      <c r="DI79" s="107"/>
      <c r="DJ79" s="107"/>
      <c r="DK79" s="107"/>
      <c r="DL79" s="107"/>
      <c r="DM79" s="107"/>
      <c r="DN79" s="107"/>
      <c r="DO79" s="107"/>
      <c r="DP79" s="107"/>
      <c r="DQ79" s="107"/>
      <c r="DR79" s="107"/>
      <c r="DS79" s="107"/>
      <c r="DT79" s="107"/>
      <c r="DU79" s="107"/>
      <c r="DV79" s="107"/>
      <c r="DW79" s="107"/>
      <c r="DX79" s="107"/>
      <c r="DY79" s="107"/>
      <c r="DZ79" s="107"/>
      <c r="EA79" s="107"/>
      <c r="EB79" s="107"/>
      <c r="EC79" s="107"/>
      <c r="ED79" s="107"/>
      <c r="EE79" s="107"/>
      <c r="EF79" s="107"/>
      <c r="EG79" s="107"/>
      <c r="EH79" s="107"/>
      <c r="EI79" s="107"/>
      <c r="EJ79" s="107"/>
      <c r="EK79" s="107"/>
      <c r="EL79" s="107"/>
      <c r="EM79" s="107"/>
      <c r="EN79" s="107"/>
      <c r="EO79" s="107"/>
      <c r="EP79" s="107"/>
      <c r="EQ79" s="107"/>
      <c r="ER79" s="107"/>
      <c r="ES79" s="107"/>
      <c r="ET79" s="107"/>
      <c r="EU79" s="107"/>
      <c r="EV79" s="107"/>
      <c r="EW79" s="107"/>
      <c r="EX79" s="107"/>
      <c r="EY79" s="107"/>
      <c r="EZ79" s="107"/>
      <c r="FA79" s="107"/>
      <c r="FB79" s="107"/>
      <c r="FC79" s="107"/>
      <c r="FD79" s="107"/>
      <c r="FE79" s="107"/>
      <c r="FF79" s="107"/>
      <c r="FG79" s="107"/>
      <c r="FH79" s="107"/>
      <c r="FI79" s="107"/>
      <c r="FJ79" s="107"/>
      <c r="FK79" s="107"/>
      <c r="FL79" s="107"/>
      <c r="FM79" s="107"/>
      <c r="FN79" s="107"/>
      <c r="FO79" s="107"/>
      <c r="FP79" s="107"/>
      <c r="FQ79" s="107"/>
      <c r="FR79" s="107"/>
      <c r="FS79" s="107"/>
      <c r="FT79" s="107"/>
      <c r="FU79" s="107"/>
    </row>
    <row r="80" spans="1:177" ht="16.5">
      <c r="A80" s="100"/>
      <c r="B80" s="175" t="str">
        <f>+Configuración!B7</f>
        <v>D-MobilPiso</v>
      </c>
      <c r="C80" s="176">
        <v>12925.8</v>
      </c>
      <c r="D80" s="177">
        <f>+C80/$C$2</f>
        <v>1.6672356866127246E-2</v>
      </c>
      <c r="E80" s="178">
        <f>+C80</f>
        <v>12925.8</v>
      </c>
      <c r="F80" s="177">
        <f>+E80/$E$2</f>
        <v>2.9485222613111373E-2</v>
      </c>
      <c r="G80" s="178" t="s">
        <v>785</v>
      </c>
      <c r="H80" s="174" t="s">
        <v>785</v>
      </c>
      <c r="I80" s="106"/>
      <c r="J80" s="24"/>
      <c r="K80" s="24"/>
      <c r="L80" s="24"/>
      <c r="M80" s="24"/>
      <c r="N80" s="24"/>
      <c r="O80" s="24"/>
      <c r="P80" s="107"/>
      <c r="Q80" s="107"/>
      <c r="R80" s="107"/>
      <c r="S80" s="107"/>
      <c r="T80" s="107"/>
      <c r="U80" s="107"/>
      <c r="V80" s="107"/>
      <c r="W80" s="107"/>
      <c r="X80" s="107"/>
      <c r="Y80" s="107"/>
      <c r="Z80" s="107"/>
      <c r="AA80" s="107"/>
      <c r="AB80" s="107"/>
      <c r="AC80" s="107"/>
      <c r="AD80" s="107"/>
      <c r="AE80" s="107"/>
      <c r="AF80" s="107"/>
      <c r="AG80" s="107"/>
      <c r="AH80" s="107"/>
      <c r="AI80" s="107"/>
      <c r="AJ80" s="107"/>
      <c r="AK80" s="107"/>
      <c r="AL80" s="107"/>
      <c r="AM80" s="107"/>
      <c r="AN80" s="107"/>
      <c r="AO80" s="107"/>
      <c r="AP80" s="107"/>
      <c r="AQ80" s="107"/>
      <c r="AR80" s="107"/>
      <c r="AS80" s="107"/>
      <c r="AT80" s="107"/>
      <c r="AU80" s="107"/>
      <c r="AV80" s="107"/>
      <c r="AW80" s="107"/>
      <c r="AX80" s="107"/>
      <c r="AY80" s="107"/>
      <c r="AZ80" s="107"/>
      <c r="BA80" s="107"/>
      <c r="BB80" s="107"/>
      <c r="BC80" s="107"/>
      <c r="BD80" s="107"/>
      <c r="BE80" s="107"/>
      <c r="BF80" s="107"/>
      <c r="BG80" s="107"/>
      <c r="BH80" s="107"/>
      <c r="BI80" s="107"/>
      <c r="BJ80" s="107"/>
      <c r="BK80" s="107"/>
      <c r="BL80" s="107"/>
      <c r="BM80" s="107"/>
      <c r="BN80" s="107"/>
      <c r="BO80" s="107"/>
      <c r="BP80" s="107"/>
      <c r="BQ80" s="107"/>
      <c r="BR80" s="107"/>
      <c r="BS80" s="107"/>
      <c r="BT80" s="107"/>
      <c r="BU80" s="107"/>
      <c r="BV80" s="107"/>
      <c r="BW80" s="107"/>
      <c r="BX80" s="107"/>
      <c r="BY80" s="107"/>
      <c r="BZ80" s="107"/>
      <c r="CA80" s="107"/>
      <c r="CB80" s="107"/>
      <c r="CC80" s="107"/>
      <c r="CD80" s="107"/>
      <c r="CE80" s="107"/>
      <c r="CF80" s="107"/>
      <c r="CG80" s="107"/>
      <c r="CH80" s="107"/>
      <c r="CI80" s="107"/>
      <c r="CJ80" s="107"/>
      <c r="CK80" s="107"/>
      <c r="CL80" s="107"/>
      <c r="CM80" s="107"/>
      <c r="CN80" s="107"/>
      <c r="CO80" s="107"/>
      <c r="CP80" s="107"/>
      <c r="CQ80" s="107"/>
      <c r="CR80" s="107"/>
      <c r="CS80" s="107"/>
      <c r="CT80" s="107"/>
      <c r="CU80" s="107"/>
      <c r="CV80" s="107"/>
      <c r="CW80" s="107"/>
      <c r="CX80" s="107"/>
      <c r="CY80" s="107"/>
      <c r="CZ80" s="107"/>
      <c r="DA80" s="107"/>
      <c r="DB80" s="107"/>
      <c r="DC80" s="107"/>
      <c r="DD80" s="107"/>
      <c r="DE80" s="107"/>
      <c r="DF80" s="107"/>
      <c r="DG80" s="107"/>
      <c r="DH80" s="107"/>
      <c r="DI80" s="107"/>
      <c r="DJ80" s="107"/>
      <c r="DK80" s="107"/>
      <c r="DL80" s="107"/>
      <c r="DM80" s="107"/>
      <c r="DN80" s="107"/>
      <c r="DO80" s="107"/>
      <c r="DP80" s="107"/>
      <c r="DQ80" s="107"/>
      <c r="DR80" s="107"/>
      <c r="DS80" s="107"/>
      <c r="DT80" s="107"/>
      <c r="DU80" s="107"/>
      <c r="DV80" s="107"/>
      <c r="DW80" s="107"/>
      <c r="DX80" s="107"/>
      <c r="DY80" s="107"/>
      <c r="DZ80" s="107"/>
      <c r="EA80" s="107"/>
      <c r="EB80" s="107"/>
      <c r="EC80" s="107"/>
      <c r="ED80" s="107"/>
      <c r="EE80" s="107"/>
      <c r="EF80" s="107"/>
      <c r="EG80" s="107"/>
      <c r="EH80" s="107"/>
      <c r="EI80" s="107"/>
      <c r="EJ80" s="107"/>
      <c r="EK80" s="107"/>
      <c r="EL80" s="107"/>
      <c r="EM80" s="107"/>
      <c r="EN80" s="107"/>
      <c r="EO80" s="107"/>
      <c r="EP80" s="107"/>
      <c r="EQ80" s="107"/>
      <c r="ER80" s="107"/>
      <c r="ES80" s="107"/>
      <c r="ET80" s="107"/>
      <c r="EU80" s="107"/>
      <c r="EV80" s="107"/>
      <c r="EW80" s="107"/>
      <c r="EX80" s="107"/>
      <c r="EY80" s="107"/>
      <c r="EZ80" s="107"/>
      <c r="FA80" s="107"/>
      <c r="FB80" s="107"/>
      <c r="FC80" s="107"/>
      <c r="FD80" s="107"/>
      <c r="FE80" s="107"/>
      <c r="FF80" s="107"/>
      <c r="FG80" s="107"/>
      <c r="FH80" s="107"/>
      <c r="FI80" s="107"/>
      <c r="FJ80" s="107"/>
      <c r="FK80" s="107"/>
      <c r="FL80" s="107"/>
      <c r="FM80" s="107"/>
      <c r="FN80" s="107"/>
      <c r="FO80" s="107"/>
      <c r="FP80" s="107"/>
      <c r="FQ80" s="107"/>
      <c r="FR80" s="107"/>
      <c r="FS80" s="107"/>
      <c r="FT80" s="107"/>
      <c r="FU80" s="107"/>
    </row>
    <row r="81" spans="1:177" ht="16.5">
      <c r="A81" s="100"/>
      <c r="B81" s="175" t="str">
        <f>+Configuración!B8</f>
        <v>D-Piso</v>
      </c>
      <c r="C81" s="176">
        <v>67716.63</v>
      </c>
      <c r="D81" s="177">
        <f>+C81/$C$2</f>
        <v>8.7344367167331877E-2</v>
      </c>
      <c r="E81" s="178">
        <f>+C81</f>
        <v>67716.63</v>
      </c>
      <c r="F81" s="177">
        <f>+E81/$E$2</f>
        <v>0.15446934891145586</v>
      </c>
      <c r="G81" s="178" t="s">
        <v>785</v>
      </c>
      <c r="H81" s="174" t="s">
        <v>785</v>
      </c>
      <c r="I81" s="106"/>
      <c r="J81" s="24"/>
      <c r="K81" s="24"/>
      <c r="L81" s="24"/>
      <c r="M81" s="24"/>
      <c r="N81" s="24"/>
      <c r="O81" s="24"/>
      <c r="P81" s="107"/>
      <c r="Q81" s="107"/>
      <c r="R81" s="107"/>
      <c r="S81" s="107"/>
      <c r="T81" s="107"/>
      <c r="U81" s="107"/>
      <c r="V81" s="107"/>
      <c r="W81" s="107"/>
      <c r="X81" s="107"/>
      <c r="Y81" s="107"/>
      <c r="Z81" s="107"/>
      <c r="AA81" s="107"/>
      <c r="AB81" s="107"/>
      <c r="AC81" s="107"/>
      <c r="AD81" s="107"/>
      <c r="AE81" s="107"/>
      <c r="AF81" s="107"/>
      <c r="AG81" s="107"/>
      <c r="AH81" s="107"/>
      <c r="AI81" s="107"/>
      <c r="AJ81" s="107"/>
      <c r="AK81" s="107"/>
      <c r="AL81" s="107"/>
      <c r="AM81" s="107"/>
      <c r="AN81" s="107"/>
      <c r="AO81" s="107"/>
      <c r="AP81" s="107"/>
      <c r="AQ81" s="107"/>
      <c r="AR81" s="107"/>
      <c r="AS81" s="107"/>
      <c r="AT81" s="107"/>
      <c r="AU81" s="107"/>
      <c r="AV81" s="107"/>
      <c r="AW81" s="107"/>
      <c r="AX81" s="107"/>
      <c r="AY81" s="107"/>
      <c r="AZ81" s="107"/>
      <c r="BA81" s="107"/>
      <c r="BB81" s="107"/>
      <c r="BC81" s="107"/>
      <c r="BD81" s="107"/>
      <c r="BE81" s="107"/>
      <c r="BF81" s="107"/>
      <c r="BG81" s="107"/>
      <c r="BH81" s="107"/>
      <c r="BI81" s="107"/>
      <c r="BJ81" s="107"/>
      <c r="BK81" s="107"/>
      <c r="BL81" s="107"/>
      <c r="BM81" s="107"/>
      <c r="BN81" s="107"/>
      <c r="BO81" s="107"/>
      <c r="BP81" s="107"/>
      <c r="BQ81" s="107"/>
      <c r="BR81" s="107"/>
      <c r="BS81" s="107"/>
      <c r="BT81" s="107"/>
      <c r="BU81" s="107"/>
      <c r="BV81" s="107"/>
      <c r="BW81" s="107"/>
      <c r="BX81" s="107"/>
      <c r="BY81" s="107"/>
      <c r="BZ81" s="107"/>
      <c r="CA81" s="107"/>
      <c r="CB81" s="107"/>
      <c r="CC81" s="107"/>
      <c r="CD81" s="107"/>
      <c r="CE81" s="107"/>
      <c r="CF81" s="107"/>
      <c r="CG81" s="107"/>
      <c r="CH81" s="107"/>
      <c r="CI81" s="107"/>
      <c r="CJ81" s="107"/>
      <c r="CK81" s="107"/>
      <c r="CL81" s="107"/>
      <c r="CM81" s="107"/>
      <c r="CN81" s="107"/>
      <c r="CO81" s="107"/>
      <c r="CP81" s="107"/>
      <c r="CQ81" s="107"/>
      <c r="CR81" s="107"/>
      <c r="CS81" s="107"/>
      <c r="CT81" s="107"/>
      <c r="CU81" s="107"/>
      <c r="CV81" s="107"/>
      <c r="CW81" s="107"/>
      <c r="CX81" s="107"/>
      <c r="CY81" s="107"/>
      <c r="CZ81" s="107"/>
      <c r="DA81" s="107"/>
      <c r="DB81" s="107"/>
      <c r="DC81" s="107"/>
      <c r="DD81" s="107"/>
      <c r="DE81" s="107"/>
      <c r="DF81" s="107"/>
      <c r="DG81" s="107"/>
      <c r="DH81" s="107"/>
      <c r="DI81" s="107"/>
      <c r="DJ81" s="107"/>
      <c r="DK81" s="107"/>
      <c r="DL81" s="107"/>
      <c r="DM81" s="107"/>
      <c r="DN81" s="107"/>
      <c r="DO81" s="107"/>
      <c r="DP81" s="107"/>
      <c r="DQ81" s="107"/>
      <c r="DR81" s="107"/>
      <c r="DS81" s="107"/>
      <c r="DT81" s="107"/>
      <c r="DU81" s="107"/>
      <c r="DV81" s="107"/>
      <c r="DW81" s="107"/>
      <c r="DX81" s="107"/>
      <c r="DY81" s="107"/>
      <c r="DZ81" s="107"/>
      <c r="EA81" s="107"/>
      <c r="EB81" s="107"/>
      <c r="EC81" s="107"/>
      <c r="ED81" s="107"/>
      <c r="EE81" s="107"/>
      <c r="EF81" s="107"/>
      <c r="EG81" s="107"/>
      <c r="EH81" s="107"/>
      <c r="EI81" s="107"/>
      <c r="EJ81" s="107"/>
      <c r="EK81" s="107"/>
      <c r="EL81" s="107"/>
      <c r="EM81" s="107"/>
      <c r="EN81" s="107"/>
      <c r="EO81" s="107"/>
      <c r="EP81" s="107"/>
      <c r="EQ81" s="107"/>
      <c r="ER81" s="107"/>
      <c r="ES81" s="107"/>
      <c r="ET81" s="107"/>
      <c r="EU81" s="107"/>
      <c r="EV81" s="107"/>
      <c r="EW81" s="107"/>
      <c r="EX81" s="107"/>
      <c r="EY81" s="107"/>
      <c r="EZ81" s="107"/>
      <c r="FA81" s="107"/>
      <c r="FB81" s="107"/>
      <c r="FC81" s="107"/>
      <c r="FD81" s="107"/>
      <c r="FE81" s="107"/>
      <c r="FF81" s="107"/>
      <c r="FG81" s="107"/>
      <c r="FH81" s="107"/>
      <c r="FI81" s="107"/>
      <c r="FJ81" s="107"/>
      <c r="FK81" s="107"/>
      <c r="FL81" s="107"/>
      <c r="FM81" s="107"/>
      <c r="FN81" s="107"/>
      <c r="FO81" s="107"/>
      <c r="FP81" s="107"/>
      <c r="FQ81" s="107"/>
      <c r="FR81" s="107"/>
      <c r="FS81" s="107"/>
      <c r="FT81" s="107"/>
      <c r="FU81" s="107"/>
    </row>
    <row r="82" spans="1:177" ht="16.5">
      <c r="A82" s="100"/>
      <c r="B82" s="175" t="str">
        <f>+Configuración!B9</f>
        <v>N-Casa</v>
      </c>
      <c r="C82" s="176">
        <v>82889.539999999994</v>
      </c>
      <c r="D82" s="177">
        <f>+C82/$C$2</f>
        <v>0.10691516125494198</v>
      </c>
      <c r="E82" s="178" t="s">
        <v>785</v>
      </c>
      <c r="F82" s="177" t="s">
        <v>785</v>
      </c>
      <c r="G82" s="178">
        <f>+C82</f>
        <v>82889.539999999994</v>
      </c>
      <c r="H82" s="174">
        <f>+G82/$G$2</f>
        <v>0.24603530487008146</v>
      </c>
      <c r="I82" s="106"/>
      <c r="J82" s="24"/>
      <c r="K82" s="24"/>
      <c r="L82" s="24"/>
      <c r="M82" s="24"/>
      <c r="N82" s="24"/>
      <c r="O82" s="24"/>
      <c r="P82" s="107"/>
      <c r="Q82" s="107"/>
      <c r="R82" s="107"/>
      <c r="S82" s="107"/>
      <c r="T82" s="107"/>
      <c r="U82" s="107"/>
      <c r="V82" s="107"/>
      <c r="W82" s="107"/>
      <c r="X82" s="107"/>
      <c r="Y82" s="107"/>
      <c r="Z82" s="107"/>
      <c r="AA82" s="107"/>
      <c r="AB82" s="107"/>
      <c r="AC82" s="107"/>
      <c r="AD82" s="107"/>
      <c r="AE82" s="107"/>
      <c r="AF82" s="107"/>
      <c r="AG82" s="107"/>
      <c r="AH82" s="107"/>
      <c r="AI82" s="107"/>
      <c r="AJ82" s="107"/>
      <c r="AK82" s="107"/>
      <c r="AL82" s="107"/>
      <c r="AM82" s="107"/>
      <c r="AN82" s="107"/>
      <c r="AO82" s="107"/>
      <c r="AP82" s="107"/>
      <c r="AQ82" s="107"/>
      <c r="AR82" s="107"/>
      <c r="AS82" s="107"/>
      <c r="AT82" s="107"/>
      <c r="AU82" s="107"/>
      <c r="AV82" s="107"/>
      <c r="AW82" s="107"/>
      <c r="AX82" s="107"/>
      <c r="AY82" s="107"/>
      <c r="AZ82" s="107"/>
      <c r="BA82" s="107"/>
      <c r="BB82" s="107"/>
      <c r="BC82" s="107"/>
      <c r="BD82" s="107"/>
      <c r="BE82" s="107"/>
      <c r="BF82" s="107"/>
      <c r="BG82" s="107"/>
      <c r="BH82" s="107"/>
      <c r="BI82" s="107"/>
      <c r="BJ82" s="107"/>
      <c r="BK82" s="107"/>
      <c r="BL82" s="107"/>
      <c r="BM82" s="107"/>
      <c r="BN82" s="107"/>
      <c r="BO82" s="107"/>
      <c r="BP82" s="107"/>
      <c r="BQ82" s="107"/>
      <c r="BR82" s="107"/>
      <c r="BS82" s="107"/>
      <c r="BT82" s="107"/>
      <c r="BU82" s="107"/>
      <c r="BV82" s="107"/>
      <c r="BW82" s="107"/>
      <c r="BX82" s="107"/>
      <c r="BY82" s="107"/>
      <c r="BZ82" s="107"/>
      <c r="CA82" s="107"/>
      <c r="CB82" s="107"/>
      <c r="CC82" s="107"/>
      <c r="CD82" s="107"/>
      <c r="CE82" s="107"/>
      <c r="CF82" s="107"/>
      <c r="CG82" s="107"/>
      <c r="CH82" s="107"/>
      <c r="CI82" s="107"/>
      <c r="CJ82" s="107"/>
      <c r="CK82" s="107"/>
      <c r="CL82" s="107"/>
      <c r="CM82" s="107"/>
      <c r="CN82" s="107"/>
      <c r="CO82" s="107"/>
      <c r="CP82" s="107"/>
      <c r="CQ82" s="107"/>
      <c r="CR82" s="107"/>
      <c r="CS82" s="107"/>
      <c r="CT82" s="107"/>
      <c r="CU82" s="107"/>
      <c r="CV82" s="107"/>
      <c r="CW82" s="107"/>
      <c r="CX82" s="107"/>
      <c r="CY82" s="107"/>
      <c r="CZ82" s="107"/>
      <c r="DA82" s="107"/>
      <c r="DB82" s="107"/>
      <c r="DC82" s="107"/>
      <c r="DD82" s="107"/>
      <c r="DE82" s="107"/>
      <c r="DF82" s="107"/>
      <c r="DG82" s="107"/>
      <c r="DH82" s="107"/>
      <c r="DI82" s="107"/>
      <c r="DJ82" s="107"/>
      <c r="DK82" s="107"/>
      <c r="DL82" s="107"/>
      <c r="DM82" s="107"/>
      <c r="DN82" s="107"/>
      <c r="DO82" s="107"/>
      <c r="DP82" s="107"/>
      <c r="DQ82" s="107"/>
      <c r="DR82" s="107"/>
      <c r="DS82" s="107"/>
      <c r="DT82" s="107"/>
      <c r="DU82" s="107"/>
      <c r="DV82" s="107"/>
      <c r="DW82" s="107"/>
      <c r="DX82" s="107"/>
      <c r="DY82" s="107"/>
      <c r="DZ82" s="107"/>
      <c r="EA82" s="107"/>
      <c r="EB82" s="107"/>
      <c r="EC82" s="107"/>
      <c r="ED82" s="107"/>
      <c r="EE82" s="107"/>
      <c r="EF82" s="107"/>
      <c r="EG82" s="107"/>
      <c r="EH82" s="107"/>
      <c r="EI82" s="107"/>
      <c r="EJ82" s="107"/>
      <c r="EK82" s="107"/>
      <c r="EL82" s="107"/>
      <c r="EM82" s="107"/>
      <c r="EN82" s="107"/>
      <c r="EO82" s="107"/>
      <c r="EP82" s="107"/>
      <c r="EQ82" s="107"/>
      <c r="ER82" s="107"/>
      <c r="ES82" s="107"/>
      <c r="ET82" s="107"/>
      <c r="EU82" s="107"/>
      <c r="EV82" s="107"/>
      <c r="EW82" s="107"/>
      <c r="EX82" s="107"/>
      <c r="EY82" s="107"/>
      <c r="EZ82" s="107"/>
      <c r="FA82" s="107"/>
      <c r="FB82" s="107"/>
      <c r="FC82" s="107"/>
      <c r="FD82" s="107"/>
      <c r="FE82" s="107"/>
      <c r="FF82" s="107"/>
      <c r="FG82" s="107"/>
      <c r="FH82" s="107"/>
      <c r="FI82" s="107"/>
      <c r="FJ82" s="107"/>
      <c r="FK82" s="107"/>
      <c r="FL82" s="107"/>
      <c r="FM82" s="107"/>
      <c r="FN82" s="107"/>
      <c r="FO82" s="107"/>
      <c r="FP82" s="107"/>
      <c r="FQ82" s="107"/>
      <c r="FR82" s="107"/>
      <c r="FS82" s="107"/>
      <c r="FT82" s="107"/>
      <c r="FU82" s="107"/>
    </row>
    <row r="83" spans="1:177" ht="16.5">
      <c r="A83" s="100"/>
      <c r="B83" s="175" t="str">
        <f>+Configuración!B10</f>
        <v>N-Coche</v>
      </c>
      <c r="C83" s="176">
        <v>17654.07</v>
      </c>
      <c r="D83" s="177">
        <f>+C83/$C$2</f>
        <v>2.2771120950315728E-2</v>
      </c>
      <c r="E83" s="178" t="s">
        <v>785</v>
      </c>
      <c r="F83" s="177" t="s">
        <v>785</v>
      </c>
      <c r="G83" s="178">
        <f>+C83</f>
        <v>17654.07</v>
      </c>
      <c r="H83" s="174">
        <f>+G83/$G$2</f>
        <v>5.2401358418055634E-2</v>
      </c>
      <c r="I83" s="106"/>
      <c r="J83" s="24"/>
      <c r="K83" s="24"/>
      <c r="L83" s="24"/>
      <c r="M83" s="24"/>
      <c r="N83" s="24"/>
      <c r="O83" s="24"/>
      <c r="P83" s="107"/>
      <c r="Q83" s="107"/>
      <c r="R83" s="107"/>
      <c r="S83" s="107"/>
      <c r="T83" s="107"/>
      <c r="U83" s="107"/>
      <c r="V83" s="107"/>
      <c r="W83" s="107"/>
      <c r="X83" s="107"/>
      <c r="Y83" s="107"/>
      <c r="Z83" s="107"/>
      <c r="AA83" s="107"/>
      <c r="AB83" s="107"/>
      <c r="AC83" s="107"/>
      <c r="AD83" s="107"/>
      <c r="AE83" s="107"/>
      <c r="AF83" s="107"/>
      <c r="AG83" s="107"/>
      <c r="AH83" s="107"/>
      <c r="AI83" s="107"/>
      <c r="AJ83" s="107"/>
      <c r="AK83" s="107"/>
      <c r="AL83" s="107"/>
      <c r="AM83" s="107"/>
      <c r="AN83" s="107"/>
      <c r="AO83" s="107"/>
      <c r="AP83" s="107"/>
      <c r="AQ83" s="107"/>
      <c r="AR83" s="107"/>
      <c r="AS83" s="107"/>
      <c r="AT83" s="107"/>
      <c r="AU83" s="107"/>
      <c r="AV83" s="107"/>
      <c r="AW83" s="107"/>
      <c r="AX83" s="107"/>
      <c r="AY83" s="107"/>
      <c r="AZ83" s="107"/>
      <c r="BA83" s="107"/>
      <c r="BB83" s="107"/>
      <c r="BC83" s="107"/>
      <c r="BD83" s="107"/>
      <c r="BE83" s="107"/>
      <c r="BF83" s="107"/>
      <c r="BG83" s="107"/>
      <c r="BH83" s="107"/>
      <c r="BI83" s="107"/>
      <c r="BJ83" s="107"/>
      <c r="BK83" s="107"/>
      <c r="BL83" s="107"/>
      <c r="BM83" s="107"/>
      <c r="BN83" s="107"/>
      <c r="BO83" s="107"/>
      <c r="BP83" s="107"/>
      <c r="BQ83" s="107"/>
      <c r="BR83" s="107"/>
      <c r="BS83" s="107"/>
      <c r="BT83" s="107"/>
      <c r="BU83" s="107"/>
      <c r="BV83" s="107"/>
      <c r="BW83" s="107"/>
      <c r="BX83" s="107"/>
      <c r="BY83" s="107"/>
      <c r="BZ83" s="107"/>
      <c r="CA83" s="107"/>
      <c r="CB83" s="107"/>
      <c r="CC83" s="107"/>
      <c r="CD83" s="107"/>
      <c r="CE83" s="107"/>
      <c r="CF83" s="107"/>
      <c r="CG83" s="107"/>
      <c r="CH83" s="107"/>
      <c r="CI83" s="107"/>
      <c r="CJ83" s="107"/>
      <c r="CK83" s="107"/>
      <c r="CL83" s="107"/>
      <c r="CM83" s="107"/>
      <c r="CN83" s="107"/>
      <c r="CO83" s="107"/>
      <c r="CP83" s="107"/>
      <c r="CQ83" s="107"/>
      <c r="CR83" s="107"/>
      <c r="CS83" s="107"/>
      <c r="CT83" s="107"/>
      <c r="CU83" s="107"/>
      <c r="CV83" s="107"/>
      <c r="CW83" s="107"/>
      <c r="CX83" s="107"/>
      <c r="CY83" s="107"/>
      <c r="CZ83" s="107"/>
      <c r="DA83" s="107"/>
      <c r="DB83" s="107"/>
      <c r="DC83" s="107"/>
      <c r="DD83" s="107"/>
      <c r="DE83" s="107"/>
      <c r="DF83" s="107"/>
      <c r="DG83" s="107"/>
      <c r="DH83" s="107"/>
      <c r="DI83" s="107"/>
      <c r="DJ83" s="107"/>
      <c r="DK83" s="107"/>
      <c r="DL83" s="107"/>
      <c r="DM83" s="107"/>
      <c r="DN83" s="107"/>
      <c r="DO83" s="107"/>
      <c r="DP83" s="107"/>
      <c r="DQ83" s="107"/>
      <c r="DR83" s="107"/>
      <c r="DS83" s="107"/>
      <c r="DT83" s="107"/>
      <c r="DU83" s="107"/>
      <c r="DV83" s="107"/>
      <c r="DW83" s="107"/>
      <c r="DX83" s="107"/>
      <c r="DY83" s="107"/>
      <c r="DZ83" s="107"/>
      <c r="EA83" s="107"/>
      <c r="EB83" s="107"/>
      <c r="EC83" s="107"/>
      <c r="ED83" s="107"/>
      <c r="EE83" s="107"/>
      <c r="EF83" s="107"/>
      <c r="EG83" s="107"/>
      <c r="EH83" s="107"/>
      <c r="EI83" s="107"/>
      <c r="EJ83" s="107"/>
      <c r="EK83" s="107"/>
      <c r="EL83" s="107"/>
      <c r="EM83" s="107"/>
      <c r="EN83" s="107"/>
      <c r="EO83" s="107"/>
      <c r="EP83" s="107"/>
      <c r="EQ83" s="107"/>
      <c r="ER83" s="107"/>
      <c r="ES83" s="107"/>
      <c r="ET83" s="107"/>
      <c r="EU83" s="107"/>
      <c r="EV83" s="107"/>
      <c r="EW83" s="107"/>
      <c r="EX83" s="107"/>
      <c r="EY83" s="107"/>
      <c r="EZ83" s="107"/>
      <c r="FA83" s="107"/>
      <c r="FB83" s="107"/>
      <c r="FC83" s="107"/>
      <c r="FD83" s="107"/>
      <c r="FE83" s="107"/>
      <c r="FF83" s="107"/>
      <c r="FG83" s="107"/>
      <c r="FH83" s="107"/>
      <c r="FI83" s="107"/>
      <c r="FJ83" s="107"/>
      <c r="FK83" s="107"/>
      <c r="FL83" s="107"/>
      <c r="FM83" s="107"/>
      <c r="FN83" s="107"/>
      <c r="FO83" s="107"/>
      <c r="FP83" s="107"/>
      <c r="FQ83" s="107"/>
      <c r="FR83" s="107"/>
      <c r="FS83" s="107"/>
      <c r="FT83" s="107"/>
      <c r="FU83" s="107"/>
    </row>
    <row r="84" spans="1:177" ht="16.5">
      <c r="A84" s="100"/>
      <c r="B84" s="175" t="str">
        <f>+Configuración!B11</f>
        <v>N-Garaje&amp;Trastero</v>
      </c>
      <c r="C84" s="176">
        <v>12629.86</v>
      </c>
      <c r="D84" s="177">
        <f>+C84/$C$2</f>
        <v>1.6290638342634566E-2</v>
      </c>
      <c r="E84" s="178" t="s">
        <v>785</v>
      </c>
      <c r="F84" s="177" t="s">
        <v>785</v>
      </c>
      <c r="G84" s="178">
        <f>+C84</f>
        <v>12629.86</v>
      </c>
      <c r="H84" s="174">
        <f>+G84/$G$2</f>
        <v>3.7488342383929833E-2</v>
      </c>
      <c r="I84" s="106"/>
      <c r="J84" s="24"/>
      <c r="K84" s="24"/>
      <c r="L84" s="24"/>
      <c r="M84" s="24"/>
      <c r="N84" s="24"/>
      <c r="O84" s="24"/>
      <c r="P84" s="107"/>
      <c r="Q84" s="107"/>
      <c r="R84" s="107"/>
      <c r="S84" s="107"/>
      <c r="T84" s="107"/>
      <c r="U84" s="107"/>
      <c r="V84" s="107"/>
      <c r="W84" s="107"/>
      <c r="X84" s="107"/>
      <c r="Y84" s="107"/>
      <c r="Z84" s="107"/>
      <c r="AA84" s="107"/>
      <c r="AB84" s="107"/>
      <c r="AC84" s="107"/>
      <c r="AD84" s="107"/>
      <c r="AE84" s="107"/>
      <c r="AF84" s="107"/>
      <c r="AG84" s="107"/>
      <c r="AH84" s="107"/>
      <c r="AI84" s="107"/>
      <c r="AJ84" s="107"/>
      <c r="AK84" s="107"/>
      <c r="AL84" s="107"/>
      <c r="AM84" s="107"/>
      <c r="AN84" s="107"/>
      <c r="AO84" s="107"/>
      <c r="AP84" s="107"/>
      <c r="AQ84" s="107"/>
      <c r="AR84" s="107"/>
      <c r="AS84" s="107"/>
      <c r="AT84" s="107"/>
      <c r="AU84" s="107"/>
      <c r="AV84" s="107"/>
      <c r="AW84" s="107"/>
      <c r="AX84" s="107"/>
      <c r="AY84" s="107"/>
      <c r="AZ84" s="107"/>
      <c r="BA84" s="107"/>
      <c r="BB84" s="107"/>
      <c r="BC84" s="107"/>
      <c r="BD84" s="107"/>
      <c r="BE84" s="107"/>
      <c r="BF84" s="107"/>
      <c r="BG84" s="107"/>
      <c r="BH84" s="107"/>
      <c r="BI84" s="107"/>
      <c r="BJ84" s="107"/>
      <c r="BK84" s="107"/>
      <c r="BL84" s="107"/>
      <c r="BM84" s="107"/>
      <c r="BN84" s="107"/>
      <c r="BO84" s="107"/>
      <c r="BP84" s="107"/>
      <c r="BQ84" s="107"/>
      <c r="BR84" s="107"/>
      <c r="BS84" s="107"/>
      <c r="BT84" s="107"/>
      <c r="BU84" s="107"/>
      <c r="BV84" s="107"/>
      <c r="BW84" s="107"/>
      <c r="BX84" s="107"/>
      <c r="BY84" s="107"/>
      <c r="BZ84" s="107"/>
      <c r="CA84" s="107"/>
      <c r="CB84" s="107"/>
      <c r="CC84" s="107"/>
      <c r="CD84" s="107"/>
      <c r="CE84" s="107"/>
      <c r="CF84" s="107"/>
      <c r="CG84" s="107"/>
      <c r="CH84" s="107"/>
      <c r="CI84" s="107"/>
      <c r="CJ84" s="107"/>
      <c r="CK84" s="107"/>
      <c r="CL84" s="107"/>
      <c r="CM84" s="107"/>
      <c r="CN84" s="107"/>
      <c r="CO84" s="107"/>
      <c r="CP84" s="107"/>
      <c r="CQ84" s="107"/>
      <c r="CR84" s="107"/>
      <c r="CS84" s="107"/>
      <c r="CT84" s="107"/>
      <c r="CU84" s="107"/>
      <c r="CV84" s="107"/>
      <c r="CW84" s="107"/>
      <c r="CX84" s="107"/>
      <c r="CY84" s="107"/>
      <c r="CZ84" s="107"/>
      <c r="DA84" s="107"/>
      <c r="DB84" s="107"/>
      <c r="DC84" s="107"/>
      <c r="DD84" s="107"/>
      <c r="DE84" s="107"/>
      <c r="DF84" s="107"/>
      <c r="DG84" s="107"/>
      <c r="DH84" s="107"/>
      <c r="DI84" s="107"/>
      <c r="DJ84" s="107"/>
      <c r="DK84" s="107"/>
      <c r="DL84" s="107"/>
      <c r="DM84" s="107"/>
      <c r="DN84" s="107"/>
      <c r="DO84" s="107"/>
      <c r="DP84" s="107"/>
      <c r="DQ84" s="107"/>
      <c r="DR84" s="107"/>
      <c r="DS84" s="107"/>
      <c r="DT84" s="107"/>
      <c r="DU84" s="107"/>
      <c r="DV84" s="107"/>
      <c r="DW84" s="107"/>
      <c r="DX84" s="107"/>
      <c r="DY84" s="107"/>
      <c r="DZ84" s="107"/>
      <c r="EA84" s="107"/>
      <c r="EB84" s="107"/>
      <c r="EC84" s="107"/>
      <c r="ED84" s="107"/>
      <c r="EE84" s="107"/>
      <c r="EF84" s="107"/>
      <c r="EG84" s="107"/>
      <c r="EH84" s="107"/>
      <c r="EI84" s="107"/>
      <c r="EJ84" s="107"/>
      <c r="EK84" s="107"/>
      <c r="EL84" s="107"/>
      <c r="EM84" s="107"/>
      <c r="EN84" s="107"/>
      <c r="EO84" s="107"/>
      <c r="EP84" s="107"/>
      <c r="EQ84" s="107"/>
      <c r="ER84" s="107"/>
      <c r="ES84" s="107"/>
      <c r="ET84" s="107"/>
      <c r="EU84" s="107"/>
      <c r="EV84" s="107"/>
      <c r="EW84" s="107"/>
      <c r="EX84" s="107"/>
      <c r="EY84" s="107"/>
      <c r="EZ84" s="107"/>
      <c r="FA84" s="107"/>
      <c r="FB84" s="107"/>
      <c r="FC84" s="107"/>
      <c r="FD84" s="107"/>
      <c r="FE84" s="107"/>
      <c r="FF84" s="107"/>
      <c r="FG84" s="107"/>
      <c r="FH84" s="107"/>
      <c r="FI84" s="107"/>
      <c r="FJ84" s="107"/>
      <c r="FK84" s="107"/>
      <c r="FL84" s="107"/>
      <c r="FM84" s="107"/>
      <c r="FN84" s="107"/>
      <c r="FO84" s="107"/>
      <c r="FP84" s="107"/>
      <c r="FQ84" s="107"/>
      <c r="FR84" s="107"/>
      <c r="FS84" s="107"/>
      <c r="FT84" s="107"/>
      <c r="FU84" s="107"/>
    </row>
    <row r="85" spans="1:177" ht="16.5">
      <c r="A85" s="100"/>
      <c r="B85" s="175" t="str">
        <f>+Configuración!B12</f>
        <v>N-MobilCasa</v>
      </c>
      <c r="C85" s="176">
        <v>9523.93</v>
      </c>
      <c r="D85" s="177">
        <f>+C85/$C$2</f>
        <v>1.2284451231491689E-2</v>
      </c>
      <c r="E85" s="178" t="s">
        <v>785</v>
      </c>
      <c r="F85" s="177" t="s">
        <v>785</v>
      </c>
      <c r="G85" s="178">
        <f>+C85</f>
        <v>9523.93</v>
      </c>
      <c r="H85" s="174">
        <f>+G85/$G$2</f>
        <v>2.8269224574190122E-2</v>
      </c>
      <c r="I85" s="106"/>
      <c r="J85" s="24"/>
      <c r="K85" s="24"/>
      <c r="L85" s="24"/>
      <c r="M85" s="24"/>
      <c r="N85" s="24"/>
      <c r="O85" s="24"/>
      <c r="P85" s="107"/>
      <c r="Q85" s="107"/>
      <c r="R85" s="107"/>
      <c r="S85" s="107"/>
      <c r="T85" s="107"/>
      <c r="U85" s="107"/>
      <c r="V85" s="107"/>
      <c r="W85" s="107"/>
      <c r="X85" s="107"/>
      <c r="Y85" s="107"/>
      <c r="Z85" s="107"/>
      <c r="AA85" s="107"/>
      <c r="AB85" s="107"/>
      <c r="AC85" s="107"/>
      <c r="AD85" s="107"/>
      <c r="AE85" s="107"/>
      <c r="AF85" s="107"/>
      <c r="AG85" s="107"/>
      <c r="AH85" s="107"/>
      <c r="AI85" s="107"/>
      <c r="AJ85" s="107"/>
      <c r="AK85" s="107"/>
      <c r="AL85" s="107"/>
      <c r="AM85" s="107"/>
      <c r="AN85" s="107"/>
      <c r="AO85" s="107"/>
      <c r="AP85" s="107"/>
      <c r="AQ85" s="107"/>
      <c r="AR85" s="107"/>
      <c r="AS85" s="107"/>
      <c r="AT85" s="107"/>
      <c r="AU85" s="107"/>
      <c r="AV85" s="107"/>
      <c r="AW85" s="107"/>
      <c r="AX85" s="107"/>
      <c r="AY85" s="107"/>
      <c r="AZ85" s="107"/>
      <c r="BA85" s="107"/>
      <c r="BB85" s="107"/>
      <c r="BC85" s="107"/>
      <c r="BD85" s="107"/>
      <c r="BE85" s="107"/>
      <c r="BF85" s="107"/>
      <c r="BG85" s="107"/>
      <c r="BH85" s="107"/>
      <c r="BI85" s="107"/>
      <c r="BJ85" s="107"/>
      <c r="BK85" s="107"/>
      <c r="BL85" s="107"/>
      <c r="BM85" s="107"/>
      <c r="BN85" s="107"/>
      <c r="BO85" s="107"/>
      <c r="BP85" s="107"/>
      <c r="BQ85" s="107"/>
      <c r="BR85" s="107"/>
      <c r="BS85" s="107"/>
      <c r="BT85" s="107"/>
      <c r="BU85" s="107"/>
      <c r="BV85" s="107"/>
      <c r="BW85" s="107"/>
      <c r="BX85" s="107"/>
      <c r="BY85" s="107"/>
      <c r="BZ85" s="107"/>
      <c r="CA85" s="107"/>
      <c r="CB85" s="107"/>
      <c r="CC85" s="107"/>
      <c r="CD85" s="107"/>
      <c r="CE85" s="107"/>
      <c r="CF85" s="107"/>
      <c r="CG85" s="107"/>
      <c r="CH85" s="107"/>
      <c r="CI85" s="107"/>
      <c r="CJ85" s="107"/>
      <c r="CK85" s="107"/>
      <c r="CL85" s="107"/>
      <c r="CM85" s="107"/>
      <c r="CN85" s="107"/>
      <c r="CO85" s="107"/>
      <c r="CP85" s="107"/>
      <c r="CQ85" s="107"/>
      <c r="CR85" s="107"/>
      <c r="CS85" s="107"/>
      <c r="CT85" s="107"/>
      <c r="CU85" s="107"/>
      <c r="CV85" s="107"/>
      <c r="CW85" s="107"/>
      <c r="CX85" s="107"/>
      <c r="CY85" s="107"/>
      <c r="CZ85" s="107"/>
      <c r="DA85" s="107"/>
      <c r="DB85" s="107"/>
      <c r="DC85" s="107"/>
      <c r="DD85" s="107"/>
      <c r="DE85" s="107"/>
      <c r="DF85" s="107"/>
      <c r="DG85" s="107"/>
      <c r="DH85" s="107"/>
      <c r="DI85" s="107"/>
      <c r="DJ85" s="107"/>
      <c r="DK85" s="107"/>
      <c r="DL85" s="107"/>
      <c r="DM85" s="107"/>
      <c r="DN85" s="107"/>
      <c r="DO85" s="107"/>
      <c r="DP85" s="107"/>
      <c r="DQ85" s="107"/>
      <c r="DR85" s="107"/>
      <c r="DS85" s="107"/>
      <c r="DT85" s="107"/>
      <c r="DU85" s="107"/>
      <c r="DV85" s="107"/>
      <c r="DW85" s="107"/>
      <c r="DX85" s="107"/>
      <c r="DY85" s="107"/>
      <c r="DZ85" s="107"/>
      <c r="EA85" s="107"/>
      <c r="EB85" s="107"/>
      <c r="EC85" s="107"/>
      <c r="ED85" s="107"/>
      <c r="EE85" s="107"/>
      <c r="EF85" s="107"/>
      <c r="EG85" s="107"/>
      <c r="EH85" s="107"/>
      <c r="EI85" s="107"/>
      <c r="EJ85" s="107"/>
      <c r="EK85" s="107"/>
      <c r="EL85" s="107"/>
      <c r="EM85" s="107"/>
      <c r="EN85" s="107"/>
      <c r="EO85" s="107"/>
      <c r="EP85" s="107"/>
      <c r="EQ85" s="107"/>
      <c r="ER85" s="107"/>
      <c r="ES85" s="107"/>
      <c r="ET85" s="107"/>
      <c r="EU85" s="107"/>
      <c r="EV85" s="107"/>
      <c r="EW85" s="107"/>
      <c r="EX85" s="107"/>
      <c r="EY85" s="107"/>
      <c r="EZ85" s="107"/>
      <c r="FA85" s="107"/>
      <c r="FB85" s="107"/>
      <c r="FC85" s="107"/>
      <c r="FD85" s="107"/>
      <c r="FE85" s="107"/>
      <c r="FF85" s="107"/>
      <c r="FG85" s="107"/>
      <c r="FH85" s="107"/>
      <c r="FI85" s="107"/>
      <c r="FJ85" s="107"/>
      <c r="FK85" s="107"/>
      <c r="FL85" s="107"/>
      <c r="FM85" s="107"/>
      <c r="FN85" s="107"/>
      <c r="FO85" s="107"/>
      <c r="FP85" s="107"/>
      <c r="FQ85" s="107"/>
      <c r="FR85" s="107"/>
      <c r="FS85" s="107"/>
      <c r="FT85" s="107"/>
      <c r="FU85" s="107"/>
    </row>
    <row r="86" spans="1:177" ht="16.5">
      <c r="A86" s="100"/>
      <c r="B86" s="175" t="str">
        <f>+Configuración!B13</f>
        <v>N-MobilPiso</v>
      </c>
      <c r="C86" s="176">
        <v>3075</v>
      </c>
      <c r="D86" s="177">
        <f>+C86/$C$2</f>
        <v>3.9662920177738542E-3</v>
      </c>
      <c r="E86" s="178" t="s">
        <v>785</v>
      </c>
      <c r="F86" s="177" t="s">
        <v>785</v>
      </c>
      <c r="G86" s="178">
        <f>+C86</f>
        <v>3075</v>
      </c>
      <c r="H86" s="174">
        <f>+G86/$G$2</f>
        <v>9.1273104239147727E-3</v>
      </c>
      <c r="I86" s="106"/>
      <c r="J86" s="24"/>
      <c r="K86" s="24"/>
      <c r="L86" s="24"/>
      <c r="M86" s="24"/>
      <c r="N86" s="24"/>
      <c r="O86" s="24"/>
      <c r="P86" s="107"/>
      <c r="Q86" s="107"/>
      <c r="R86" s="107"/>
      <c r="S86" s="107"/>
      <c r="T86" s="107"/>
      <c r="U86" s="107"/>
      <c r="V86" s="107"/>
      <c r="W86" s="107"/>
      <c r="X86" s="107"/>
      <c r="Y86" s="107"/>
      <c r="Z86" s="107"/>
      <c r="AA86" s="107"/>
      <c r="AB86" s="107"/>
      <c r="AC86" s="107"/>
      <c r="AD86" s="107"/>
      <c r="AE86" s="107"/>
      <c r="AF86" s="107"/>
      <c r="AG86" s="107"/>
      <c r="AH86" s="107"/>
      <c r="AI86" s="107"/>
      <c r="AJ86" s="107"/>
      <c r="AK86" s="107"/>
      <c r="AL86" s="107"/>
      <c r="AM86" s="107"/>
      <c r="AN86" s="107"/>
      <c r="AO86" s="107"/>
      <c r="AP86" s="107"/>
      <c r="AQ86" s="107"/>
      <c r="AR86" s="107"/>
      <c r="AS86" s="107"/>
      <c r="AT86" s="107"/>
      <c r="AU86" s="107"/>
      <c r="AV86" s="107"/>
      <c r="AW86" s="107"/>
      <c r="AX86" s="107"/>
      <c r="AY86" s="107"/>
      <c r="AZ86" s="107"/>
      <c r="BA86" s="107"/>
      <c r="BB86" s="107"/>
      <c r="BC86" s="107"/>
      <c r="BD86" s="107"/>
      <c r="BE86" s="107"/>
      <c r="BF86" s="107"/>
      <c r="BG86" s="107"/>
      <c r="BH86" s="107"/>
      <c r="BI86" s="107"/>
      <c r="BJ86" s="107"/>
      <c r="BK86" s="107"/>
      <c r="BL86" s="107"/>
      <c r="BM86" s="107"/>
      <c r="BN86" s="107"/>
      <c r="BO86" s="107"/>
      <c r="BP86" s="107"/>
      <c r="BQ86" s="107"/>
      <c r="BR86" s="107"/>
      <c r="BS86" s="107"/>
      <c r="BT86" s="107"/>
      <c r="BU86" s="107"/>
      <c r="BV86" s="107"/>
      <c r="BW86" s="107"/>
      <c r="BX86" s="107"/>
      <c r="BY86" s="107"/>
      <c r="BZ86" s="107"/>
      <c r="CA86" s="107"/>
      <c r="CB86" s="107"/>
      <c r="CC86" s="107"/>
      <c r="CD86" s="107"/>
      <c r="CE86" s="107"/>
      <c r="CF86" s="107"/>
      <c r="CG86" s="107"/>
      <c r="CH86" s="107"/>
      <c r="CI86" s="107"/>
      <c r="CJ86" s="107"/>
      <c r="CK86" s="107"/>
      <c r="CL86" s="107"/>
      <c r="CM86" s="107"/>
      <c r="CN86" s="107"/>
      <c r="CO86" s="107"/>
      <c r="CP86" s="107"/>
      <c r="CQ86" s="107"/>
      <c r="CR86" s="107"/>
      <c r="CS86" s="107"/>
      <c r="CT86" s="107"/>
      <c r="CU86" s="107"/>
      <c r="CV86" s="107"/>
      <c r="CW86" s="107"/>
      <c r="CX86" s="107"/>
      <c r="CY86" s="107"/>
      <c r="CZ86" s="107"/>
      <c r="DA86" s="107"/>
      <c r="DB86" s="107"/>
      <c r="DC86" s="107"/>
      <c r="DD86" s="107"/>
      <c r="DE86" s="107"/>
      <c r="DF86" s="107"/>
      <c r="DG86" s="107"/>
      <c r="DH86" s="107"/>
      <c r="DI86" s="107"/>
      <c r="DJ86" s="107"/>
      <c r="DK86" s="107"/>
      <c r="DL86" s="107"/>
      <c r="DM86" s="107"/>
      <c r="DN86" s="107"/>
      <c r="DO86" s="107"/>
      <c r="DP86" s="107"/>
      <c r="DQ86" s="107"/>
      <c r="DR86" s="107"/>
      <c r="DS86" s="107"/>
      <c r="DT86" s="107"/>
      <c r="DU86" s="107"/>
      <c r="DV86" s="107"/>
      <c r="DW86" s="107"/>
      <c r="DX86" s="107"/>
      <c r="DY86" s="107"/>
      <c r="DZ86" s="107"/>
      <c r="EA86" s="107"/>
      <c r="EB86" s="107"/>
      <c r="EC86" s="107"/>
      <c r="ED86" s="107"/>
      <c r="EE86" s="107"/>
      <c r="EF86" s="107"/>
      <c r="EG86" s="107"/>
      <c r="EH86" s="107"/>
      <c r="EI86" s="107"/>
      <c r="EJ86" s="107"/>
      <c r="EK86" s="107"/>
      <c r="EL86" s="107"/>
      <c r="EM86" s="107"/>
      <c r="EN86" s="107"/>
      <c r="EO86" s="107"/>
      <c r="EP86" s="107"/>
      <c r="EQ86" s="107"/>
      <c r="ER86" s="107"/>
      <c r="ES86" s="107"/>
      <c r="ET86" s="107"/>
      <c r="EU86" s="107"/>
      <c r="EV86" s="107"/>
      <c r="EW86" s="107"/>
      <c r="EX86" s="107"/>
      <c r="EY86" s="107"/>
      <c r="EZ86" s="107"/>
      <c r="FA86" s="107"/>
      <c r="FB86" s="107"/>
      <c r="FC86" s="107"/>
      <c r="FD86" s="107"/>
      <c r="FE86" s="107"/>
      <c r="FF86" s="107"/>
      <c r="FG86" s="107"/>
      <c r="FH86" s="107"/>
      <c r="FI86" s="107"/>
      <c r="FJ86" s="107"/>
      <c r="FK86" s="107"/>
      <c r="FL86" s="107"/>
      <c r="FM86" s="107"/>
      <c r="FN86" s="107"/>
      <c r="FO86" s="107"/>
      <c r="FP86" s="107"/>
      <c r="FQ86" s="107"/>
      <c r="FR86" s="107"/>
      <c r="FS86" s="107"/>
      <c r="FT86" s="107"/>
      <c r="FU86" s="107"/>
    </row>
    <row r="87" spans="1:177" ht="16.5">
      <c r="A87" s="100"/>
      <c r="B87" s="179" t="s">
        <v>793</v>
      </c>
      <c r="C87" s="180">
        <f>SUM(C75:C86)</f>
        <v>420040.33999999997</v>
      </c>
      <c r="D87" s="181">
        <f>SUM(D75:D86)</f>
        <v>0.54178947892195628</v>
      </c>
      <c r="E87" s="180">
        <f>SUM(E75:E86)</f>
        <v>294267.94</v>
      </c>
      <c r="F87" s="181">
        <f>SUM(F75:F86)</f>
        <v>0.67125870110954078</v>
      </c>
      <c r="G87" s="180">
        <f>SUM(G75:G86)</f>
        <v>125772.4</v>
      </c>
      <c r="H87" s="182">
        <f>SUM(H75:H86)</f>
        <v>0.37332154067017187</v>
      </c>
      <c r="I87" s="106"/>
      <c r="J87" s="24"/>
      <c r="K87" s="24"/>
      <c r="L87" s="24"/>
      <c r="M87" s="24"/>
      <c r="N87" s="24"/>
      <c r="O87" s="24"/>
      <c r="P87" s="107"/>
      <c r="Q87" s="107"/>
      <c r="R87" s="107"/>
      <c r="S87" s="107"/>
      <c r="T87" s="107"/>
      <c r="U87" s="107"/>
      <c r="V87" s="107"/>
      <c r="W87" s="107"/>
      <c r="X87" s="107"/>
      <c r="Y87" s="107"/>
      <c r="Z87" s="107"/>
      <c r="AA87" s="107"/>
      <c r="AB87" s="107"/>
      <c r="AC87" s="107"/>
      <c r="AD87" s="107"/>
      <c r="AE87" s="107"/>
      <c r="AF87" s="107"/>
      <c r="AG87" s="107"/>
      <c r="AH87" s="107"/>
      <c r="AI87" s="107"/>
      <c r="AJ87" s="107"/>
      <c r="AK87" s="107"/>
      <c r="AL87" s="107"/>
      <c r="AM87" s="107"/>
      <c r="AN87" s="107"/>
      <c r="AO87" s="107"/>
      <c r="AP87" s="107"/>
      <c r="AQ87" s="107"/>
      <c r="AR87" s="107"/>
      <c r="AS87" s="107"/>
      <c r="AT87" s="107"/>
      <c r="AU87" s="107"/>
      <c r="AV87" s="107"/>
      <c r="AW87" s="107"/>
      <c r="AX87" s="107"/>
      <c r="AY87" s="107"/>
      <c r="AZ87" s="107"/>
      <c r="BA87" s="107"/>
      <c r="BB87" s="107"/>
      <c r="BC87" s="107"/>
      <c r="BD87" s="107"/>
      <c r="BE87" s="107"/>
      <c r="BF87" s="107"/>
      <c r="BG87" s="107"/>
      <c r="BH87" s="107"/>
      <c r="BI87" s="107"/>
      <c r="BJ87" s="107"/>
      <c r="BK87" s="107"/>
      <c r="BL87" s="107"/>
      <c r="BM87" s="107"/>
      <c r="BN87" s="107"/>
      <c r="BO87" s="107"/>
      <c r="BP87" s="107"/>
      <c r="BQ87" s="107"/>
      <c r="BR87" s="107"/>
      <c r="BS87" s="107"/>
      <c r="BT87" s="107"/>
      <c r="BU87" s="107"/>
      <c r="BV87" s="107"/>
      <c r="BW87" s="107"/>
      <c r="BX87" s="107"/>
      <c r="BY87" s="107"/>
      <c r="BZ87" s="107"/>
      <c r="CA87" s="107"/>
      <c r="CB87" s="107"/>
      <c r="CC87" s="107"/>
      <c r="CD87" s="107"/>
      <c r="CE87" s="107"/>
      <c r="CF87" s="107"/>
      <c r="CG87" s="107"/>
      <c r="CH87" s="107"/>
      <c r="CI87" s="107"/>
      <c r="CJ87" s="107"/>
      <c r="CK87" s="107"/>
      <c r="CL87" s="107"/>
      <c r="CM87" s="107"/>
      <c r="CN87" s="107"/>
      <c r="CO87" s="107"/>
      <c r="CP87" s="107"/>
      <c r="CQ87" s="107"/>
      <c r="CR87" s="107"/>
      <c r="CS87" s="107"/>
      <c r="CT87" s="107"/>
      <c r="CU87" s="107"/>
      <c r="CV87" s="107"/>
      <c r="CW87" s="107"/>
      <c r="CX87" s="107"/>
      <c r="CY87" s="107"/>
      <c r="CZ87" s="107"/>
      <c r="DA87" s="107"/>
      <c r="DB87" s="107"/>
      <c r="DC87" s="107"/>
      <c r="DD87" s="107"/>
      <c r="DE87" s="107"/>
      <c r="DF87" s="107"/>
      <c r="DG87" s="107"/>
      <c r="DH87" s="107"/>
      <c r="DI87" s="107"/>
      <c r="DJ87" s="107"/>
      <c r="DK87" s="107"/>
      <c r="DL87" s="107"/>
      <c r="DM87" s="107"/>
      <c r="DN87" s="107"/>
      <c r="DO87" s="107"/>
      <c r="DP87" s="107"/>
      <c r="DQ87" s="107"/>
      <c r="DR87" s="107"/>
      <c r="DS87" s="107"/>
      <c r="DT87" s="107"/>
      <c r="DU87" s="107"/>
      <c r="DV87" s="107"/>
      <c r="DW87" s="107"/>
      <c r="DX87" s="107"/>
      <c r="DY87" s="107"/>
      <c r="DZ87" s="107"/>
      <c r="EA87" s="107"/>
      <c r="EB87" s="107"/>
      <c r="EC87" s="107"/>
      <c r="ED87" s="107"/>
      <c r="EE87" s="107"/>
      <c r="EF87" s="107"/>
      <c r="EG87" s="107"/>
      <c r="EH87" s="107"/>
      <c r="EI87" s="107"/>
      <c r="EJ87" s="107"/>
      <c r="EK87" s="107"/>
      <c r="EL87" s="107"/>
      <c r="EM87" s="107"/>
      <c r="EN87" s="107"/>
      <c r="EO87" s="107"/>
      <c r="EP87" s="107"/>
      <c r="EQ87" s="107"/>
      <c r="ER87" s="107"/>
      <c r="ES87" s="107"/>
      <c r="ET87" s="107"/>
      <c r="EU87" s="107"/>
      <c r="EV87" s="107"/>
      <c r="EW87" s="107"/>
      <c r="EX87" s="107"/>
      <c r="EY87" s="107"/>
      <c r="EZ87" s="107"/>
      <c r="FA87" s="107"/>
      <c r="FB87" s="107"/>
      <c r="FC87" s="107"/>
      <c r="FD87" s="107"/>
      <c r="FE87" s="107"/>
      <c r="FF87" s="107"/>
      <c r="FG87" s="107"/>
      <c r="FH87" s="107"/>
      <c r="FI87" s="107"/>
      <c r="FJ87" s="107"/>
      <c r="FK87" s="107"/>
      <c r="FL87" s="107"/>
      <c r="FM87" s="107"/>
      <c r="FN87" s="107"/>
      <c r="FO87" s="107"/>
      <c r="FP87" s="107"/>
      <c r="FQ87" s="107"/>
      <c r="FR87" s="107"/>
      <c r="FS87" s="107"/>
      <c r="FT87" s="107"/>
      <c r="FU87" s="107"/>
    </row>
    <row r="88" spans="1:177">
      <c r="A88" s="183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  <c r="AA88" s="184"/>
      <c r="AB88" s="184"/>
      <c r="AC88" s="184"/>
      <c r="AD88" s="184"/>
      <c r="AE88" s="184"/>
      <c r="AF88" s="184"/>
      <c r="AG88" s="184"/>
      <c r="AH88" s="184"/>
      <c r="AI88" s="184"/>
      <c r="AJ88" s="184"/>
      <c r="AK88" s="184"/>
      <c r="AL88" s="184"/>
      <c r="AM88" s="184"/>
      <c r="AN88" s="184"/>
      <c r="AO88" s="184"/>
      <c r="AP88" s="184"/>
      <c r="AQ88" s="184"/>
      <c r="AR88" s="184"/>
      <c r="AS88" s="184"/>
      <c r="AT88" s="184"/>
      <c r="AU88" s="184"/>
      <c r="AV88" s="184"/>
      <c r="AW88" s="184"/>
      <c r="AX88" s="184"/>
      <c r="AY88" s="184"/>
      <c r="AZ88" s="184"/>
      <c r="BA88" s="184"/>
      <c r="BB88" s="184"/>
      <c r="BC88" s="184"/>
      <c r="BD88" s="184"/>
      <c r="BE88" s="184"/>
      <c r="BF88" s="184"/>
      <c r="BG88" s="184"/>
      <c r="BH88" s="184"/>
      <c r="BI88" s="184"/>
      <c r="BJ88" s="184"/>
      <c r="BK88" s="184"/>
      <c r="BL88" s="184"/>
      <c r="BM88" s="184"/>
      <c r="BN88" s="184"/>
      <c r="BO88" s="184"/>
      <c r="BP88" s="184"/>
      <c r="BQ88" s="184"/>
      <c r="BR88" s="184"/>
      <c r="BS88" s="184"/>
      <c r="BT88" s="184"/>
      <c r="BU88" s="184"/>
      <c r="BV88" s="184"/>
      <c r="BW88" s="184"/>
      <c r="BX88" s="184"/>
      <c r="BY88" s="184"/>
      <c r="BZ88" s="184"/>
      <c r="CA88" s="184"/>
      <c r="CB88" s="184"/>
      <c r="CC88" s="184"/>
      <c r="CD88" s="184"/>
      <c r="CE88" s="184"/>
      <c r="CF88" s="184"/>
      <c r="CG88" s="184"/>
      <c r="CH88" s="184"/>
      <c r="CI88" s="184"/>
      <c r="CJ88" s="184"/>
      <c r="CK88" s="184"/>
      <c r="CL88" s="184"/>
      <c r="CM88" s="184"/>
      <c r="CN88" s="184"/>
      <c r="CO88" s="184"/>
      <c r="CP88" s="184"/>
      <c r="CQ88" s="184"/>
      <c r="CR88" s="184"/>
      <c r="CS88" s="184"/>
      <c r="CT88" s="184"/>
      <c r="CU88" s="184"/>
      <c r="CV88" s="184"/>
      <c r="CW88" s="184"/>
      <c r="CX88" s="184"/>
      <c r="CY88" s="184"/>
      <c r="CZ88" s="184"/>
      <c r="DA88" s="184"/>
      <c r="DB88" s="184"/>
      <c r="DC88" s="184"/>
      <c r="DD88" s="184"/>
      <c r="DE88" s="184"/>
      <c r="DF88" s="184"/>
      <c r="DG88" s="184"/>
      <c r="DH88" s="184"/>
      <c r="DI88" s="184"/>
      <c r="DJ88" s="184"/>
      <c r="DK88" s="184"/>
      <c r="DL88" s="184"/>
      <c r="DM88" s="184"/>
      <c r="DN88" s="184"/>
      <c r="DO88" s="184"/>
      <c r="DP88" s="184"/>
      <c r="DQ88" s="184"/>
      <c r="DR88" s="184"/>
      <c r="DS88" s="184"/>
      <c r="DT88" s="184"/>
      <c r="DU88" s="184"/>
      <c r="DV88" s="184"/>
      <c r="DW88" s="184"/>
      <c r="DX88" s="184"/>
      <c r="DY88" s="184"/>
      <c r="DZ88" s="184"/>
      <c r="EA88" s="184"/>
      <c r="EB88" s="184"/>
      <c r="EC88" s="184"/>
      <c r="ED88" s="184"/>
      <c r="EE88" s="184"/>
      <c r="EF88" s="184"/>
      <c r="EG88" s="184"/>
      <c r="EH88" s="184"/>
      <c r="EI88" s="184"/>
      <c r="EJ88" s="184"/>
      <c r="EK88" s="184"/>
      <c r="EL88" s="184"/>
      <c r="EM88" s="184"/>
      <c r="EN88" s="184"/>
      <c r="EO88" s="184"/>
      <c r="EP88" s="184"/>
      <c r="EQ88" s="184"/>
      <c r="ER88" s="184"/>
      <c r="ES88" s="184"/>
      <c r="ET88" s="184"/>
      <c r="EU88" s="184"/>
      <c r="EV88" s="184"/>
      <c r="EW88" s="184"/>
      <c r="EX88" s="184"/>
      <c r="EY88" s="184"/>
      <c r="EZ88" s="184"/>
      <c r="FA88" s="184"/>
      <c r="FB88" s="184"/>
      <c r="FC88" s="184"/>
      <c r="FD88" s="184"/>
      <c r="FE88" s="184"/>
      <c r="FF88" s="184"/>
      <c r="FG88" s="184"/>
      <c r="FH88" s="184"/>
      <c r="FI88" s="184"/>
      <c r="FJ88" s="184"/>
      <c r="FK88" s="184"/>
      <c r="FL88" s="184"/>
      <c r="FM88" s="184"/>
      <c r="FN88" s="184"/>
      <c r="FO88" s="184"/>
      <c r="FP88" s="184"/>
      <c r="FQ88" s="184"/>
      <c r="FR88" s="184"/>
      <c r="FS88" s="184"/>
      <c r="FT88" s="184"/>
      <c r="FU88" s="184"/>
    </row>
    <row r="89" spans="1:177">
      <c r="A89" s="183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  <c r="AA89" s="184"/>
      <c r="AB89" s="184"/>
      <c r="AC89" s="184"/>
      <c r="AD89" s="184"/>
      <c r="AE89" s="184"/>
      <c r="AF89" s="184"/>
      <c r="AG89" s="184"/>
      <c r="AH89" s="184"/>
      <c r="AI89" s="184"/>
      <c r="AJ89" s="184"/>
      <c r="AK89" s="184"/>
      <c r="AL89" s="184"/>
      <c r="AM89" s="184"/>
      <c r="AN89" s="184"/>
      <c r="AO89" s="184"/>
      <c r="AP89" s="184"/>
      <c r="AQ89" s="184"/>
      <c r="AR89" s="184"/>
      <c r="AS89" s="184"/>
      <c r="AT89" s="184"/>
      <c r="AU89" s="184"/>
      <c r="AV89" s="184"/>
      <c r="AW89" s="184"/>
      <c r="AX89" s="184"/>
      <c r="AY89" s="184"/>
      <c r="AZ89" s="184"/>
      <c r="BA89" s="184"/>
      <c r="BB89" s="184"/>
      <c r="BC89" s="184"/>
      <c r="BD89" s="184"/>
      <c r="BE89" s="184"/>
      <c r="BF89" s="184"/>
      <c r="BG89" s="184"/>
      <c r="BH89" s="184"/>
      <c r="BI89" s="184"/>
      <c r="BJ89" s="184"/>
      <c r="BK89" s="184"/>
      <c r="BL89" s="184"/>
      <c r="BM89" s="184"/>
      <c r="BN89" s="184"/>
      <c r="BO89" s="184"/>
      <c r="BP89" s="184"/>
      <c r="BQ89" s="184"/>
      <c r="BR89" s="184"/>
      <c r="BS89" s="184"/>
      <c r="BT89" s="184"/>
      <c r="BU89" s="184"/>
      <c r="BV89" s="184"/>
      <c r="BW89" s="184"/>
      <c r="BX89" s="184"/>
      <c r="BY89" s="184"/>
      <c r="BZ89" s="184"/>
      <c r="CA89" s="184"/>
      <c r="CB89" s="184"/>
      <c r="CC89" s="184"/>
      <c r="CD89" s="184"/>
      <c r="CE89" s="184"/>
      <c r="CF89" s="184"/>
      <c r="CG89" s="184"/>
      <c r="CH89" s="184"/>
      <c r="CI89" s="184"/>
      <c r="CJ89" s="184"/>
      <c r="CK89" s="184"/>
      <c r="CL89" s="184"/>
      <c r="CM89" s="184"/>
      <c r="CN89" s="184"/>
      <c r="CO89" s="184"/>
      <c r="CP89" s="184"/>
      <c r="CQ89" s="184"/>
      <c r="CR89" s="184"/>
      <c r="CS89" s="184"/>
      <c r="CT89" s="184"/>
      <c r="CU89" s="184"/>
      <c r="CV89" s="184"/>
      <c r="CW89" s="184"/>
      <c r="CX89" s="184"/>
      <c r="CY89" s="184"/>
      <c r="CZ89" s="184"/>
      <c r="DA89" s="184"/>
      <c r="DB89" s="184"/>
      <c r="DC89" s="184"/>
      <c r="DD89" s="184"/>
      <c r="DE89" s="184"/>
      <c r="DF89" s="184"/>
      <c r="DG89" s="184"/>
      <c r="DH89" s="184"/>
      <c r="DI89" s="184"/>
      <c r="DJ89" s="184"/>
      <c r="DK89" s="184"/>
      <c r="DL89" s="184"/>
      <c r="DM89" s="184"/>
      <c r="DN89" s="184"/>
      <c r="DO89" s="184"/>
      <c r="DP89" s="184"/>
      <c r="DQ89" s="184"/>
      <c r="DR89" s="184"/>
      <c r="DS89" s="184"/>
      <c r="DT89" s="184"/>
      <c r="DU89" s="184"/>
      <c r="DV89" s="184"/>
      <c r="DW89" s="184"/>
      <c r="DX89" s="184"/>
      <c r="DY89" s="184"/>
      <c r="DZ89" s="184"/>
      <c r="EA89" s="184"/>
      <c r="EB89" s="184"/>
      <c r="EC89" s="184"/>
      <c r="ED89" s="184"/>
      <c r="EE89" s="184"/>
      <c r="EF89" s="184"/>
      <c r="EG89" s="184"/>
      <c r="EH89" s="184"/>
      <c r="EI89" s="184"/>
      <c r="EJ89" s="184"/>
      <c r="EK89" s="184"/>
      <c r="EL89" s="184"/>
      <c r="EM89" s="184"/>
      <c r="EN89" s="184"/>
      <c r="EO89" s="184"/>
      <c r="EP89" s="184"/>
      <c r="EQ89" s="184"/>
      <c r="ER89" s="184"/>
      <c r="ES89" s="184"/>
      <c r="ET89" s="184"/>
      <c r="EU89" s="184"/>
      <c r="EV89" s="184"/>
      <c r="EW89" s="184"/>
      <c r="EX89" s="184"/>
      <c r="EY89" s="184"/>
      <c r="EZ89" s="184"/>
      <c r="FA89" s="184"/>
      <c r="FB89" s="184"/>
      <c r="FC89" s="184"/>
      <c r="FD89" s="184"/>
      <c r="FE89" s="184"/>
      <c r="FF89" s="184"/>
      <c r="FG89" s="184"/>
      <c r="FH89" s="184"/>
      <c r="FI89" s="184"/>
      <c r="FJ89" s="184"/>
      <c r="FK89" s="184"/>
      <c r="FL89" s="184"/>
      <c r="FM89" s="184"/>
      <c r="FN89" s="184"/>
      <c r="FO89" s="184"/>
      <c r="FP89" s="184"/>
      <c r="FQ89" s="184"/>
      <c r="FR89" s="184"/>
      <c r="FS89" s="184"/>
      <c r="FT89" s="184"/>
      <c r="FU89" s="184"/>
    </row>
    <row r="90" spans="1:177">
      <c r="A90" s="183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  <c r="AA90" s="184"/>
      <c r="AB90" s="184"/>
      <c r="AC90" s="184"/>
      <c r="AD90" s="184"/>
      <c r="AE90" s="184"/>
      <c r="AF90" s="184"/>
      <c r="AG90" s="184"/>
      <c r="AH90" s="184"/>
      <c r="AI90" s="184"/>
      <c r="AJ90" s="184"/>
      <c r="AK90" s="184"/>
      <c r="AL90" s="184"/>
      <c r="AM90" s="184"/>
      <c r="AN90" s="184"/>
      <c r="AO90" s="184"/>
      <c r="AP90" s="184"/>
      <c r="AQ90" s="184"/>
      <c r="AR90" s="184"/>
      <c r="AS90" s="184"/>
      <c r="AT90" s="184"/>
      <c r="AU90" s="184"/>
      <c r="AV90" s="184"/>
      <c r="AW90" s="184"/>
      <c r="AX90" s="184"/>
      <c r="AY90" s="184"/>
      <c r="AZ90" s="184"/>
      <c r="BA90" s="184"/>
      <c r="BB90" s="184"/>
      <c r="BC90" s="184"/>
      <c r="BD90" s="184"/>
      <c r="BE90" s="184"/>
      <c r="BF90" s="184"/>
      <c r="BG90" s="184"/>
      <c r="BH90" s="184"/>
      <c r="BI90" s="184"/>
      <c r="BJ90" s="184"/>
      <c r="BK90" s="184"/>
      <c r="BL90" s="184"/>
      <c r="BM90" s="184"/>
      <c r="BN90" s="184"/>
      <c r="BO90" s="184"/>
      <c r="BP90" s="184"/>
      <c r="BQ90" s="184"/>
      <c r="BR90" s="184"/>
      <c r="BS90" s="184"/>
      <c r="BT90" s="184"/>
      <c r="BU90" s="184"/>
      <c r="BV90" s="184"/>
      <c r="BW90" s="184"/>
      <c r="BX90" s="184"/>
      <c r="BY90" s="184"/>
      <c r="BZ90" s="184"/>
      <c r="CA90" s="184"/>
      <c r="CB90" s="184"/>
      <c r="CC90" s="184"/>
      <c r="CD90" s="184"/>
      <c r="CE90" s="184"/>
      <c r="CF90" s="184"/>
      <c r="CG90" s="184"/>
      <c r="CH90" s="184"/>
      <c r="CI90" s="184"/>
      <c r="CJ90" s="184"/>
      <c r="CK90" s="184"/>
      <c r="CL90" s="184"/>
      <c r="CM90" s="184"/>
      <c r="CN90" s="184"/>
      <c r="CO90" s="184"/>
      <c r="CP90" s="184"/>
      <c r="CQ90" s="184"/>
      <c r="CR90" s="184"/>
      <c r="CS90" s="184"/>
      <c r="CT90" s="184"/>
      <c r="CU90" s="184"/>
      <c r="CV90" s="184"/>
      <c r="CW90" s="184"/>
      <c r="CX90" s="184"/>
      <c r="CY90" s="184"/>
      <c r="CZ90" s="184"/>
      <c r="DA90" s="184"/>
      <c r="DB90" s="184"/>
      <c r="DC90" s="184"/>
      <c r="DD90" s="184"/>
      <c r="DE90" s="184"/>
      <c r="DF90" s="184"/>
      <c r="DG90" s="184"/>
      <c r="DH90" s="184"/>
      <c r="DI90" s="184"/>
      <c r="DJ90" s="184"/>
      <c r="DK90" s="184"/>
      <c r="DL90" s="184"/>
      <c r="DM90" s="184"/>
      <c r="DN90" s="184"/>
      <c r="DO90" s="184"/>
      <c r="DP90" s="184"/>
      <c r="DQ90" s="184"/>
      <c r="DR90" s="184"/>
      <c r="DS90" s="184"/>
      <c r="DT90" s="184"/>
      <c r="DU90" s="184"/>
      <c r="DV90" s="184"/>
      <c r="DW90" s="184"/>
      <c r="DX90" s="184"/>
      <c r="DY90" s="184"/>
      <c r="DZ90" s="184"/>
      <c r="EA90" s="184"/>
      <c r="EB90" s="184"/>
      <c r="EC90" s="184"/>
      <c r="ED90" s="184"/>
      <c r="EE90" s="184"/>
      <c r="EF90" s="184"/>
      <c r="EG90" s="184"/>
      <c r="EH90" s="184"/>
      <c r="EI90" s="184"/>
      <c r="EJ90" s="184"/>
      <c r="EK90" s="184"/>
      <c r="EL90" s="184"/>
      <c r="EM90" s="184"/>
      <c r="EN90" s="184"/>
      <c r="EO90" s="184"/>
      <c r="EP90" s="184"/>
      <c r="EQ90" s="184"/>
      <c r="ER90" s="184"/>
      <c r="ES90" s="184"/>
      <c r="ET90" s="184"/>
      <c r="EU90" s="184"/>
      <c r="EV90" s="184"/>
      <c r="EW90" s="184"/>
      <c r="EX90" s="184"/>
      <c r="EY90" s="184"/>
      <c r="EZ90" s="184"/>
      <c r="FA90" s="184"/>
      <c r="FB90" s="184"/>
      <c r="FC90" s="184"/>
      <c r="FD90" s="184"/>
      <c r="FE90" s="184"/>
      <c r="FF90" s="184"/>
      <c r="FG90" s="184"/>
      <c r="FH90" s="184"/>
      <c r="FI90" s="184"/>
      <c r="FJ90" s="184"/>
      <c r="FK90" s="184"/>
      <c r="FL90" s="184"/>
      <c r="FM90" s="184"/>
      <c r="FN90" s="184"/>
      <c r="FO90" s="184"/>
      <c r="FP90" s="184"/>
      <c r="FQ90" s="184"/>
      <c r="FR90" s="184"/>
      <c r="FS90" s="184"/>
      <c r="FT90" s="184"/>
      <c r="FU90" s="184"/>
    </row>
    <row r="91" spans="1:177">
      <c r="A91" s="183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  <c r="AA91" s="184"/>
      <c r="AB91" s="184"/>
      <c r="AC91" s="184"/>
      <c r="AD91" s="184"/>
      <c r="AE91" s="184"/>
      <c r="AF91" s="184"/>
      <c r="AG91" s="184"/>
      <c r="AH91" s="184"/>
      <c r="AI91" s="184"/>
      <c r="AJ91" s="184"/>
      <c r="AK91" s="184"/>
      <c r="AL91" s="184"/>
      <c r="AM91" s="184"/>
      <c r="AN91" s="184"/>
      <c r="AO91" s="184"/>
      <c r="AP91" s="184"/>
      <c r="AQ91" s="184"/>
      <c r="AR91" s="184"/>
      <c r="AS91" s="184"/>
      <c r="AT91" s="184"/>
      <c r="AU91" s="184"/>
      <c r="AV91" s="184"/>
      <c r="AW91" s="184"/>
      <c r="AX91" s="184"/>
      <c r="AY91" s="184"/>
      <c r="AZ91" s="184"/>
      <c r="BA91" s="184"/>
      <c r="BB91" s="184"/>
      <c r="BC91" s="184"/>
      <c r="BD91" s="184"/>
      <c r="BE91" s="184"/>
      <c r="BF91" s="184"/>
      <c r="BG91" s="184"/>
      <c r="BH91" s="184"/>
      <c r="BI91" s="184"/>
      <c r="BJ91" s="184"/>
      <c r="BK91" s="184"/>
      <c r="BL91" s="184"/>
      <c r="BM91" s="184"/>
      <c r="BN91" s="184"/>
      <c r="BO91" s="184"/>
      <c r="BP91" s="184"/>
      <c r="BQ91" s="184"/>
      <c r="BR91" s="184"/>
      <c r="BS91" s="184"/>
      <c r="BT91" s="184"/>
      <c r="BU91" s="184"/>
      <c r="BV91" s="184"/>
      <c r="BW91" s="184"/>
      <c r="BX91" s="184"/>
      <c r="BY91" s="184"/>
      <c r="BZ91" s="184"/>
      <c r="CA91" s="184"/>
      <c r="CB91" s="184"/>
      <c r="CC91" s="184"/>
      <c r="CD91" s="184"/>
      <c r="CE91" s="184"/>
      <c r="CF91" s="184"/>
      <c r="CG91" s="184"/>
      <c r="CH91" s="184"/>
      <c r="CI91" s="184"/>
      <c r="CJ91" s="184"/>
      <c r="CK91" s="184"/>
      <c r="CL91" s="184"/>
      <c r="CM91" s="184"/>
      <c r="CN91" s="184"/>
      <c r="CO91" s="184"/>
      <c r="CP91" s="184"/>
      <c r="CQ91" s="184"/>
      <c r="CR91" s="184"/>
      <c r="CS91" s="184"/>
      <c r="CT91" s="184"/>
      <c r="CU91" s="184"/>
      <c r="CV91" s="184"/>
      <c r="CW91" s="184"/>
      <c r="CX91" s="184"/>
      <c r="CY91" s="184"/>
      <c r="CZ91" s="184"/>
      <c r="DA91" s="184"/>
      <c r="DB91" s="184"/>
      <c r="DC91" s="184"/>
      <c r="DD91" s="184"/>
      <c r="DE91" s="184"/>
      <c r="DF91" s="184"/>
      <c r="DG91" s="184"/>
      <c r="DH91" s="184"/>
      <c r="DI91" s="184"/>
      <c r="DJ91" s="184"/>
      <c r="DK91" s="184"/>
      <c r="DL91" s="184"/>
      <c r="DM91" s="184"/>
      <c r="DN91" s="184"/>
      <c r="DO91" s="184"/>
      <c r="DP91" s="184"/>
      <c r="DQ91" s="184"/>
      <c r="DR91" s="184"/>
      <c r="DS91" s="184"/>
      <c r="DT91" s="184"/>
      <c r="DU91" s="184"/>
      <c r="DV91" s="184"/>
      <c r="DW91" s="184"/>
      <c r="DX91" s="184"/>
      <c r="DY91" s="184"/>
      <c r="DZ91" s="184"/>
      <c r="EA91" s="184"/>
      <c r="EB91" s="184"/>
      <c r="EC91" s="184"/>
      <c r="ED91" s="184"/>
      <c r="EE91" s="184"/>
      <c r="EF91" s="184"/>
      <c r="EG91" s="184"/>
      <c r="EH91" s="184"/>
      <c r="EI91" s="184"/>
      <c r="EJ91" s="184"/>
      <c r="EK91" s="184"/>
      <c r="EL91" s="184"/>
      <c r="EM91" s="184"/>
      <c r="EN91" s="184"/>
      <c r="EO91" s="184"/>
      <c r="EP91" s="184"/>
      <c r="EQ91" s="184"/>
      <c r="ER91" s="184"/>
      <c r="ES91" s="184"/>
      <c r="ET91" s="184"/>
      <c r="EU91" s="184"/>
      <c r="EV91" s="184"/>
      <c r="EW91" s="184"/>
      <c r="EX91" s="184"/>
      <c r="EY91" s="184"/>
      <c r="EZ91" s="184"/>
      <c r="FA91" s="184"/>
      <c r="FB91" s="184"/>
      <c r="FC91" s="184"/>
      <c r="FD91" s="184"/>
      <c r="FE91" s="184"/>
      <c r="FF91" s="184"/>
      <c r="FG91" s="184"/>
      <c r="FH91" s="184"/>
      <c r="FI91" s="184"/>
      <c r="FJ91" s="184"/>
      <c r="FK91" s="184"/>
      <c r="FL91" s="184"/>
      <c r="FM91" s="184"/>
      <c r="FN91" s="184"/>
      <c r="FO91" s="184"/>
      <c r="FP91" s="184"/>
      <c r="FQ91" s="184"/>
      <c r="FR91" s="184"/>
      <c r="FS91" s="184"/>
      <c r="FT91" s="184"/>
      <c r="FU91" s="184"/>
    </row>
    <row r="92" spans="1:177">
      <c r="A92" s="183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  <c r="AA92" s="184"/>
      <c r="AB92" s="184"/>
      <c r="AC92" s="184"/>
      <c r="AD92" s="184"/>
      <c r="AE92" s="184"/>
      <c r="AF92" s="184"/>
      <c r="AG92" s="184"/>
      <c r="AH92" s="184"/>
      <c r="AI92" s="184"/>
      <c r="AJ92" s="184"/>
      <c r="AK92" s="184"/>
      <c r="AL92" s="184"/>
      <c r="AM92" s="184"/>
      <c r="AN92" s="184"/>
      <c r="AO92" s="184"/>
      <c r="AP92" s="184"/>
      <c r="AQ92" s="184"/>
      <c r="AR92" s="184"/>
      <c r="AS92" s="184"/>
      <c r="AT92" s="184"/>
      <c r="AU92" s="184"/>
      <c r="AV92" s="184"/>
      <c r="AW92" s="184"/>
      <c r="AX92" s="184"/>
      <c r="AY92" s="184"/>
      <c r="AZ92" s="184"/>
      <c r="BA92" s="184"/>
      <c r="BB92" s="184"/>
      <c r="BC92" s="184"/>
      <c r="BD92" s="184"/>
      <c r="BE92" s="184"/>
      <c r="BF92" s="184"/>
      <c r="BG92" s="184"/>
      <c r="BH92" s="184"/>
      <c r="BI92" s="184"/>
      <c r="BJ92" s="184"/>
      <c r="BK92" s="184"/>
      <c r="BL92" s="184"/>
      <c r="BM92" s="184"/>
      <c r="BN92" s="184"/>
      <c r="BO92" s="184"/>
      <c r="BP92" s="184"/>
      <c r="BQ92" s="184"/>
      <c r="BR92" s="184"/>
      <c r="BS92" s="184"/>
      <c r="BT92" s="184"/>
      <c r="BU92" s="184"/>
      <c r="BV92" s="184"/>
      <c r="BW92" s="184"/>
      <c r="BX92" s="184"/>
      <c r="BY92" s="184"/>
      <c r="BZ92" s="184"/>
      <c r="CA92" s="184"/>
      <c r="CB92" s="184"/>
      <c r="CC92" s="184"/>
      <c r="CD92" s="184"/>
      <c r="CE92" s="184"/>
      <c r="CF92" s="184"/>
      <c r="CG92" s="184"/>
      <c r="CH92" s="184"/>
      <c r="CI92" s="184"/>
      <c r="CJ92" s="184"/>
      <c r="CK92" s="184"/>
      <c r="CL92" s="184"/>
      <c r="CM92" s="184"/>
      <c r="CN92" s="184"/>
      <c r="CO92" s="184"/>
      <c r="CP92" s="184"/>
      <c r="CQ92" s="184"/>
      <c r="CR92" s="184"/>
      <c r="CS92" s="184"/>
      <c r="CT92" s="184"/>
      <c r="CU92" s="184"/>
      <c r="CV92" s="184"/>
      <c r="CW92" s="184"/>
      <c r="CX92" s="184"/>
      <c r="CY92" s="184"/>
      <c r="CZ92" s="184"/>
      <c r="DA92" s="184"/>
      <c r="DB92" s="184"/>
      <c r="DC92" s="184"/>
      <c r="DD92" s="184"/>
      <c r="DE92" s="184"/>
      <c r="DF92" s="184"/>
      <c r="DG92" s="184"/>
      <c r="DH92" s="184"/>
      <c r="DI92" s="184"/>
      <c r="DJ92" s="184"/>
      <c r="DK92" s="184"/>
      <c r="DL92" s="184"/>
      <c r="DM92" s="184"/>
      <c r="DN92" s="184"/>
      <c r="DO92" s="184"/>
      <c r="DP92" s="184"/>
      <c r="DQ92" s="184"/>
      <c r="DR92" s="184"/>
      <c r="DS92" s="184"/>
      <c r="DT92" s="184"/>
      <c r="DU92" s="184"/>
      <c r="DV92" s="184"/>
      <c r="DW92" s="184"/>
      <c r="DX92" s="184"/>
      <c r="DY92" s="184"/>
      <c r="DZ92" s="184"/>
      <c r="EA92" s="184"/>
      <c r="EB92" s="184"/>
      <c r="EC92" s="184"/>
      <c r="ED92" s="184"/>
      <c r="EE92" s="184"/>
      <c r="EF92" s="184"/>
      <c r="EG92" s="184"/>
      <c r="EH92" s="184"/>
      <c r="EI92" s="184"/>
      <c r="EJ92" s="184"/>
      <c r="EK92" s="184"/>
      <c r="EL92" s="184"/>
      <c r="EM92" s="184"/>
      <c r="EN92" s="184"/>
      <c r="EO92" s="184"/>
      <c r="EP92" s="184"/>
      <c r="EQ92" s="184"/>
      <c r="ER92" s="184"/>
      <c r="ES92" s="184"/>
      <c r="ET92" s="184"/>
      <c r="EU92" s="184"/>
      <c r="EV92" s="184"/>
      <c r="EW92" s="184"/>
      <c r="EX92" s="184"/>
      <c r="EY92" s="184"/>
      <c r="EZ92" s="184"/>
      <c r="FA92" s="184"/>
      <c r="FB92" s="184"/>
      <c r="FC92" s="184"/>
      <c r="FD92" s="184"/>
      <c r="FE92" s="184"/>
      <c r="FF92" s="184"/>
      <c r="FG92" s="184"/>
      <c r="FH92" s="184"/>
      <c r="FI92" s="184"/>
      <c r="FJ92" s="184"/>
      <c r="FK92" s="184"/>
      <c r="FL92" s="184"/>
      <c r="FM92" s="184"/>
      <c r="FN92" s="184"/>
      <c r="FO92" s="184"/>
      <c r="FP92" s="184"/>
      <c r="FQ92" s="184"/>
      <c r="FR92" s="184"/>
      <c r="FS92" s="184"/>
      <c r="FT92" s="184"/>
      <c r="FU92" s="184"/>
    </row>
    <row r="93" spans="1:177">
      <c r="A93" s="183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  <c r="AA93" s="184"/>
      <c r="AB93" s="184"/>
      <c r="AC93" s="184"/>
      <c r="AD93" s="184"/>
      <c r="AE93" s="184"/>
      <c r="AF93" s="184"/>
      <c r="AG93" s="184"/>
      <c r="AH93" s="184"/>
      <c r="AI93" s="184"/>
      <c r="AJ93" s="184"/>
      <c r="AK93" s="184"/>
      <c r="AL93" s="184"/>
      <c r="AM93" s="184"/>
      <c r="AN93" s="184"/>
      <c r="AO93" s="184"/>
      <c r="AP93" s="184"/>
      <c r="AQ93" s="184"/>
      <c r="AR93" s="184"/>
      <c r="AS93" s="184"/>
      <c r="AT93" s="184"/>
      <c r="AU93" s="184"/>
      <c r="AV93" s="184"/>
      <c r="AW93" s="184"/>
      <c r="AX93" s="184"/>
      <c r="AY93" s="184"/>
      <c r="AZ93" s="184"/>
      <c r="BA93" s="184"/>
      <c r="BB93" s="184"/>
      <c r="BC93" s="184"/>
      <c r="BD93" s="184"/>
      <c r="BE93" s="184"/>
      <c r="BF93" s="184"/>
      <c r="BG93" s="184"/>
      <c r="BH93" s="184"/>
      <c r="BI93" s="184"/>
      <c r="BJ93" s="184"/>
      <c r="BK93" s="184"/>
      <c r="BL93" s="184"/>
      <c r="BM93" s="184"/>
      <c r="BN93" s="184"/>
      <c r="BO93" s="184"/>
      <c r="BP93" s="184"/>
      <c r="BQ93" s="184"/>
      <c r="BR93" s="184"/>
      <c r="BS93" s="184"/>
      <c r="BT93" s="184"/>
      <c r="BU93" s="184"/>
      <c r="BV93" s="184"/>
      <c r="BW93" s="184"/>
      <c r="BX93" s="184"/>
      <c r="BY93" s="184"/>
      <c r="BZ93" s="184"/>
      <c r="CA93" s="184"/>
      <c r="CB93" s="184"/>
      <c r="CC93" s="184"/>
      <c r="CD93" s="184"/>
      <c r="CE93" s="184"/>
      <c r="CF93" s="184"/>
      <c r="CG93" s="184"/>
      <c r="CH93" s="184"/>
      <c r="CI93" s="184"/>
      <c r="CJ93" s="184"/>
      <c r="CK93" s="184"/>
      <c r="CL93" s="184"/>
      <c r="CM93" s="184"/>
      <c r="CN93" s="184"/>
      <c r="CO93" s="184"/>
      <c r="CP93" s="184"/>
      <c r="CQ93" s="184"/>
      <c r="CR93" s="184"/>
      <c r="CS93" s="184"/>
      <c r="CT93" s="184"/>
      <c r="CU93" s="184"/>
      <c r="CV93" s="184"/>
      <c r="CW93" s="184"/>
      <c r="CX93" s="184"/>
      <c r="CY93" s="184"/>
      <c r="CZ93" s="184"/>
      <c r="DA93" s="184"/>
      <c r="DB93" s="184"/>
      <c r="DC93" s="184"/>
      <c r="DD93" s="184"/>
      <c r="DE93" s="184"/>
      <c r="DF93" s="184"/>
      <c r="DG93" s="184"/>
      <c r="DH93" s="184"/>
      <c r="DI93" s="184"/>
      <c r="DJ93" s="184"/>
      <c r="DK93" s="184"/>
      <c r="DL93" s="184"/>
      <c r="DM93" s="184"/>
      <c r="DN93" s="184"/>
      <c r="DO93" s="184"/>
      <c r="DP93" s="184"/>
      <c r="DQ93" s="184"/>
      <c r="DR93" s="184"/>
      <c r="DS93" s="184"/>
      <c r="DT93" s="184"/>
      <c r="DU93" s="184"/>
      <c r="DV93" s="184"/>
      <c r="DW93" s="184"/>
      <c r="DX93" s="184"/>
      <c r="DY93" s="184"/>
      <c r="DZ93" s="184"/>
      <c r="EA93" s="184"/>
      <c r="EB93" s="184"/>
      <c r="EC93" s="184"/>
      <c r="ED93" s="184"/>
      <c r="EE93" s="184"/>
      <c r="EF93" s="184"/>
      <c r="EG93" s="184"/>
      <c r="EH93" s="184"/>
      <c r="EI93" s="184"/>
      <c r="EJ93" s="184"/>
      <c r="EK93" s="184"/>
      <c r="EL93" s="184"/>
      <c r="EM93" s="184"/>
      <c r="EN93" s="184"/>
      <c r="EO93" s="184"/>
      <c r="EP93" s="184"/>
      <c r="EQ93" s="184"/>
      <c r="ER93" s="184"/>
      <c r="ES93" s="184"/>
      <c r="ET93" s="184"/>
      <c r="EU93" s="184"/>
      <c r="EV93" s="184"/>
      <c r="EW93" s="184"/>
      <c r="EX93" s="184"/>
      <c r="EY93" s="184"/>
      <c r="EZ93" s="184"/>
      <c r="FA93" s="184"/>
      <c r="FB93" s="184"/>
      <c r="FC93" s="184"/>
      <c r="FD93" s="184"/>
      <c r="FE93" s="184"/>
      <c r="FF93" s="184"/>
      <c r="FG93" s="184"/>
      <c r="FH93" s="184"/>
      <c r="FI93" s="184"/>
      <c r="FJ93" s="184"/>
      <c r="FK93" s="184"/>
      <c r="FL93" s="184"/>
      <c r="FM93" s="184"/>
      <c r="FN93" s="184"/>
      <c r="FO93" s="184"/>
      <c r="FP93" s="184"/>
      <c r="FQ93" s="184"/>
      <c r="FR93" s="184"/>
      <c r="FS93" s="184"/>
      <c r="FT93" s="184"/>
      <c r="FU93" s="184"/>
    </row>
    <row r="94" spans="1:177">
      <c r="A94" s="183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  <c r="AA94" s="184"/>
      <c r="AB94" s="184"/>
      <c r="AC94" s="184"/>
      <c r="AD94" s="184"/>
      <c r="AE94" s="184"/>
      <c r="AF94" s="184"/>
      <c r="AG94" s="184"/>
      <c r="AH94" s="184"/>
      <c r="AI94" s="184"/>
      <c r="AJ94" s="184"/>
      <c r="AK94" s="184"/>
      <c r="AL94" s="184"/>
      <c r="AM94" s="184"/>
      <c r="AN94" s="184"/>
      <c r="AO94" s="184"/>
      <c r="AP94" s="184"/>
      <c r="AQ94" s="184"/>
      <c r="AR94" s="184"/>
      <c r="AS94" s="184"/>
      <c r="AT94" s="184"/>
      <c r="AU94" s="184"/>
      <c r="AV94" s="184"/>
      <c r="AW94" s="184"/>
      <c r="AX94" s="184"/>
      <c r="AY94" s="184"/>
      <c r="AZ94" s="184"/>
      <c r="BA94" s="184"/>
      <c r="BB94" s="184"/>
      <c r="BC94" s="184"/>
      <c r="BD94" s="184"/>
      <c r="BE94" s="184"/>
      <c r="BF94" s="184"/>
      <c r="BG94" s="184"/>
      <c r="BH94" s="184"/>
      <c r="BI94" s="184"/>
      <c r="BJ94" s="184"/>
      <c r="BK94" s="184"/>
      <c r="BL94" s="184"/>
      <c r="BM94" s="184"/>
      <c r="BN94" s="184"/>
      <c r="BO94" s="184"/>
      <c r="BP94" s="184"/>
      <c r="BQ94" s="184"/>
      <c r="BR94" s="184"/>
      <c r="BS94" s="184"/>
      <c r="BT94" s="184"/>
      <c r="BU94" s="184"/>
      <c r="BV94" s="184"/>
      <c r="BW94" s="184"/>
      <c r="BX94" s="184"/>
      <c r="BY94" s="184"/>
      <c r="BZ94" s="184"/>
      <c r="CA94" s="184"/>
      <c r="CB94" s="184"/>
      <c r="CC94" s="184"/>
      <c r="CD94" s="184"/>
      <c r="CE94" s="184"/>
      <c r="CF94" s="184"/>
      <c r="CG94" s="184"/>
      <c r="CH94" s="184"/>
      <c r="CI94" s="184"/>
      <c r="CJ94" s="184"/>
      <c r="CK94" s="184"/>
      <c r="CL94" s="184"/>
      <c r="CM94" s="184"/>
      <c r="CN94" s="184"/>
      <c r="CO94" s="184"/>
      <c r="CP94" s="184"/>
      <c r="CQ94" s="184"/>
      <c r="CR94" s="184"/>
      <c r="CS94" s="184"/>
      <c r="CT94" s="184"/>
      <c r="CU94" s="184"/>
      <c r="CV94" s="184"/>
      <c r="CW94" s="184"/>
      <c r="CX94" s="184"/>
      <c r="CY94" s="184"/>
      <c r="CZ94" s="184"/>
      <c r="DA94" s="184"/>
      <c r="DB94" s="184"/>
      <c r="DC94" s="184"/>
      <c r="DD94" s="184"/>
      <c r="DE94" s="184"/>
      <c r="DF94" s="184"/>
      <c r="DG94" s="184"/>
      <c r="DH94" s="184"/>
      <c r="DI94" s="184"/>
      <c r="DJ94" s="184"/>
      <c r="DK94" s="184"/>
      <c r="DL94" s="184"/>
      <c r="DM94" s="184"/>
      <c r="DN94" s="184"/>
      <c r="DO94" s="184"/>
      <c r="DP94" s="184"/>
      <c r="DQ94" s="184"/>
      <c r="DR94" s="184"/>
      <c r="DS94" s="184"/>
      <c r="DT94" s="184"/>
      <c r="DU94" s="184"/>
      <c r="DV94" s="184"/>
      <c r="DW94" s="184"/>
      <c r="DX94" s="184"/>
      <c r="DY94" s="184"/>
      <c r="DZ94" s="184"/>
      <c r="EA94" s="184"/>
      <c r="EB94" s="184"/>
      <c r="EC94" s="184"/>
      <c r="ED94" s="184"/>
      <c r="EE94" s="184"/>
      <c r="EF94" s="184"/>
      <c r="EG94" s="184"/>
      <c r="EH94" s="184"/>
      <c r="EI94" s="184"/>
      <c r="EJ94" s="184"/>
      <c r="EK94" s="184"/>
      <c r="EL94" s="184"/>
      <c r="EM94" s="184"/>
      <c r="EN94" s="184"/>
      <c r="EO94" s="184"/>
      <c r="EP94" s="184"/>
      <c r="EQ94" s="184"/>
      <c r="ER94" s="184"/>
      <c r="ES94" s="184"/>
      <c r="ET94" s="184"/>
      <c r="EU94" s="184"/>
      <c r="EV94" s="184"/>
      <c r="EW94" s="184"/>
      <c r="EX94" s="184"/>
      <c r="EY94" s="184"/>
      <c r="EZ94" s="184"/>
      <c r="FA94" s="184"/>
      <c r="FB94" s="184"/>
      <c r="FC94" s="184"/>
      <c r="FD94" s="184"/>
      <c r="FE94" s="184"/>
      <c r="FF94" s="184"/>
      <c r="FG94" s="184"/>
      <c r="FH94" s="184"/>
      <c r="FI94" s="184"/>
      <c r="FJ94" s="184"/>
      <c r="FK94" s="184"/>
      <c r="FL94" s="184"/>
      <c r="FM94" s="184"/>
      <c r="FN94" s="184"/>
      <c r="FO94" s="184"/>
      <c r="FP94" s="184"/>
      <c r="FQ94" s="184"/>
      <c r="FR94" s="184"/>
      <c r="FS94" s="184"/>
      <c r="FT94" s="184"/>
      <c r="FU94" s="184"/>
    </row>
    <row r="95" spans="1:177">
      <c r="A95" s="183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  <c r="AA95" s="184"/>
      <c r="AB95" s="184"/>
      <c r="AC95" s="184"/>
      <c r="AD95" s="184"/>
      <c r="AE95" s="184"/>
      <c r="AF95" s="184"/>
      <c r="AG95" s="184"/>
      <c r="AH95" s="184"/>
      <c r="AI95" s="184"/>
      <c r="AJ95" s="184"/>
      <c r="AK95" s="184"/>
      <c r="AL95" s="184"/>
      <c r="AM95" s="184"/>
      <c r="AN95" s="184"/>
      <c r="AO95" s="184"/>
      <c r="AP95" s="184"/>
      <c r="AQ95" s="184"/>
      <c r="AR95" s="184"/>
      <c r="AS95" s="184"/>
      <c r="AT95" s="184"/>
      <c r="AU95" s="184"/>
      <c r="AV95" s="184"/>
      <c r="AW95" s="184"/>
      <c r="AX95" s="184"/>
      <c r="AY95" s="184"/>
      <c r="AZ95" s="184"/>
      <c r="BA95" s="184"/>
      <c r="BB95" s="184"/>
      <c r="BC95" s="184"/>
      <c r="BD95" s="184"/>
      <c r="BE95" s="184"/>
      <c r="BF95" s="184"/>
      <c r="BG95" s="184"/>
      <c r="BH95" s="184"/>
      <c r="BI95" s="184"/>
      <c r="BJ95" s="184"/>
      <c r="BK95" s="184"/>
      <c r="BL95" s="184"/>
      <c r="BM95" s="184"/>
      <c r="BN95" s="184"/>
      <c r="BO95" s="184"/>
      <c r="BP95" s="184"/>
      <c r="BQ95" s="184"/>
      <c r="BR95" s="184"/>
      <c r="BS95" s="184"/>
      <c r="BT95" s="184"/>
      <c r="BU95" s="184"/>
      <c r="BV95" s="184"/>
      <c r="BW95" s="184"/>
      <c r="BX95" s="184"/>
      <c r="BY95" s="184"/>
      <c r="BZ95" s="184"/>
      <c r="CA95" s="184"/>
      <c r="CB95" s="184"/>
      <c r="CC95" s="184"/>
      <c r="CD95" s="184"/>
      <c r="CE95" s="184"/>
      <c r="CF95" s="184"/>
      <c r="CG95" s="184"/>
      <c r="CH95" s="184"/>
      <c r="CI95" s="184"/>
      <c r="CJ95" s="184"/>
      <c r="CK95" s="184"/>
      <c r="CL95" s="184"/>
      <c r="CM95" s="184"/>
      <c r="CN95" s="184"/>
      <c r="CO95" s="184"/>
      <c r="CP95" s="184"/>
      <c r="CQ95" s="184"/>
      <c r="CR95" s="184"/>
      <c r="CS95" s="184"/>
      <c r="CT95" s="184"/>
      <c r="CU95" s="184"/>
      <c r="CV95" s="184"/>
      <c r="CW95" s="184"/>
      <c r="CX95" s="184"/>
      <c r="CY95" s="184"/>
      <c r="CZ95" s="184"/>
      <c r="DA95" s="184"/>
      <c r="DB95" s="184"/>
      <c r="DC95" s="184"/>
      <c r="DD95" s="184"/>
      <c r="DE95" s="184"/>
      <c r="DF95" s="184"/>
      <c r="DG95" s="184"/>
      <c r="DH95" s="184"/>
      <c r="DI95" s="184"/>
      <c r="DJ95" s="184"/>
      <c r="DK95" s="184"/>
      <c r="DL95" s="184"/>
      <c r="DM95" s="184"/>
      <c r="DN95" s="184"/>
      <c r="DO95" s="184"/>
      <c r="DP95" s="184"/>
      <c r="DQ95" s="184"/>
      <c r="DR95" s="184"/>
      <c r="DS95" s="184"/>
      <c r="DT95" s="184"/>
      <c r="DU95" s="184"/>
      <c r="DV95" s="184"/>
      <c r="DW95" s="184"/>
      <c r="DX95" s="184"/>
      <c r="DY95" s="184"/>
      <c r="DZ95" s="184"/>
      <c r="EA95" s="184"/>
      <c r="EB95" s="184"/>
      <c r="EC95" s="184"/>
      <c r="ED95" s="184"/>
      <c r="EE95" s="184"/>
      <c r="EF95" s="184"/>
      <c r="EG95" s="184"/>
      <c r="EH95" s="184"/>
      <c r="EI95" s="184"/>
      <c r="EJ95" s="184"/>
      <c r="EK95" s="184"/>
      <c r="EL95" s="184"/>
      <c r="EM95" s="184"/>
      <c r="EN95" s="184"/>
      <c r="EO95" s="184"/>
      <c r="EP95" s="184"/>
      <c r="EQ95" s="184"/>
      <c r="ER95" s="184"/>
      <c r="ES95" s="184"/>
      <c r="ET95" s="184"/>
      <c r="EU95" s="184"/>
      <c r="EV95" s="184"/>
      <c r="EW95" s="184"/>
      <c r="EX95" s="184"/>
      <c r="EY95" s="184"/>
      <c r="EZ95" s="184"/>
      <c r="FA95" s="184"/>
      <c r="FB95" s="184"/>
      <c r="FC95" s="184"/>
      <c r="FD95" s="184"/>
      <c r="FE95" s="184"/>
      <c r="FF95" s="184"/>
      <c r="FG95" s="184"/>
      <c r="FH95" s="184"/>
      <c r="FI95" s="184"/>
      <c r="FJ95" s="184"/>
      <c r="FK95" s="184"/>
      <c r="FL95" s="184"/>
      <c r="FM95" s="184"/>
      <c r="FN95" s="184"/>
      <c r="FO95" s="184"/>
      <c r="FP95" s="184"/>
      <c r="FQ95" s="184"/>
      <c r="FR95" s="184"/>
      <c r="FS95" s="184"/>
      <c r="FT95" s="184"/>
      <c r="FU95" s="184"/>
    </row>
    <row r="96" spans="1:177">
      <c r="A96" s="183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  <c r="AA96" s="184"/>
      <c r="AB96" s="184"/>
      <c r="AC96" s="184"/>
      <c r="AD96" s="184"/>
      <c r="AE96" s="184"/>
      <c r="AF96" s="184"/>
      <c r="AG96" s="184"/>
      <c r="AH96" s="184"/>
      <c r="AI96" s="184"/>
      <c r="AJ96" s="184"/>
      <c r="AK96" s="184"/>
      <c r="AL96" s="184"/>
      <c r="AM96" s="184"/>
      <c r="AN96" s="184"/>
      <c r="AO96" s="184"/>
      <c r="AP96" s="184"/>
      <c r="AQ96" s="184"/>
      <c r="AR96" s="184"/>
      <c r="AS96" s="184"/>
      <c r="AT96" s="184"/>
      <c r="AU96" s="184"/>
      <c r="AV96" s="184"/>
      <c r="AW96" s="184"/>
      <c r="AX96" s="184"/>
      <c r="AY96" s="184"/>
      <c r="AZ96" s="184"/>
      <c r="BA96" s="184"/>
      <c r="BB96" s="184"/>
      <c r="BC96" s="184"/>
      <c r="BD96" s="184"/>
      <c r="BE96" s="184"/>
      <c r="BF96" s="184"/>
      <c r="BG96" s="184"/>
      <c r="BH96" s="184"/>
      <c r="BI96" s="184"/>
      <c r="BJ96" s="184"/>
      <c r="BK96" s="184"/>
      <c r="BL96" s="184"/>
      <c r="BM96" s="184"/>
      <c r="BN96" s="184"/>
      <c r="BO96" s="184"/>
      <c r="BP96" s="184"/>
      <c r="BQ96" s="184"/>
      <c r="BR96" s="184"/>
      <c r="BS96" s="184"/>
      <c r="BT96" s="184"/>
      <c r="BU96" s="184"/>
      <c r="BV96" s="184"/>
      <c r="BW96" s="184"/>
      <c r="BX96" s="184"/>
      <c r="BY96" s="184"/>
      <c r="BZ96" s="184"/>
      <c r="CA96" s="184"/>
      <c r="CB96" s="184"/>
      <c r="CC96" s="184"/>
      <c r="CD96" s="184"/>
      <c r="CE96" s="184"/>
      <c r="CF96" s="184"/>
      <c r="CG96" s="184"/>
      <c r="CH96" s="184"/>
      <c r="CI96" s="184"/>
      <c r="CJ96" s="184"/>
      <c r="CK96" s="184"/>
      <c r="CL96" s="184"/>
      <c r="CM96" s="184"/>
      <c r="CN96" s="184"/>
      <c r="CO96" s="184"/>
      <c r="CP96" s="184"/>
      <c r="CQ96" s="184"/>
      <c r="CR96" s="184"/>
      <c r="CS96" s="184"/>
      <c r="CT96" s="184"/>
      <c r="CU96" s="184"/>
      <c r="CV96" s="184"/>
      <c r="CW96" s="184"/>
      <c r="CX96" s="184"/>
      <c r="CY96" s="184"/>
      <c r="CZ96" s="184"/>
      <c r="DA96" s="184"/>
      <c r="DB96" s="184"/>
      <c r="DC96" s="184"/>
      <c r="DD96" s="184"/>
      <c r="DE96" s="184"/>
      <c r="DF96" s="184"/>
      <c r="DG96" s="184"/>
      <c r="DH96" s="184"/>
      <c r="DI96" s="184"/>
      <c r="DJ96" s="184"/>
      <c r="DK96" s="184"/>
      <c r="DL96" s="184"/>
      <c r="DM96" s="184"/>
      <c r="DN96" s="184"/>
      <c r="DO96" s="184"/>
      <c r="DP96" s="184"/>
      <c r="DQ96" s="184"/>
      <c r="DR96" s="184"/>
      <c r="DS96" s="184"/>
      <c r="DT96" s="184"/>
      <c r="DU96" s="184"/>
      <c r="DV96" s="184"/>
      <c r="DW96" s="184"/>
      <c r="DX96" s="184"/>
      <c r="DY96" s="184"/>
      <c r="DZ96" s="184"/>
      <c r="EA96" s="184"/>
      <c r="EB96" s="184"/>
      <c r="EC96" s="184"/>
      <c r="ED96" s="184"/>
      <c r="EE96" s="184"/>
      <c r="EF96" s="184"/>
      <c r="EG96" s="184"/>
      <c r="EH96" s="184"/>
      <c r="EI96" s="184"/>
      <c r="EJ96" s="184"/>
      <c r="EK96" s="184"/>
      <c r="EL96" s="184"/>
      <c r="EM96" s="184"/>
      <c r="EN96" s="184"/>
      <c r="EO96" s="184"/>
      <c r="EP96" s="184"/>
      <c r="EQ96" s="184"/>
      <c r="ER96" s="184"/>
      <c r="ES96" s="184"/>
      <c r="ET96" s="184"/>
      <c r="EU96" s="184"/>
      <c r="EV96" s="184"/>
      <c r="EW96" s="184"/>
      <c r="EX96" s="184"/>
      <c r="EY96" s="184"/>
      <c r="EZ96" s="184"/>
      <c r="FA96" s="184"/>
      <c r="FB96" s="184"/>
      <c r="FC96" s="184"/>
      <c r="FD96" s="184"/>
      <c r="FE96" s="184"/>
      <c r="FF96" s="184"/>
      <c r="FG96" s="184"/>
      <c r="FH96" s="184"/>
      <c r="FI96" s="184"/>
      <c r="FJ96" s="184"/>
      <c r="FK96" s="184"/>
      <c r="FL96" s="184"/>
      <c r="FM96" s="184"/>
      <c r="FN96" s="184"/>
      <c r="FO96" s="184"/>
      <c r="FP96" s="184"/>
      <c r="FQ96" s="184"/>
      <c r="FR96" s="184"/>
      <c r="FS96" s="184"/>
      <c r="FT96" s="184"/>
      <c r="FU96" s="184"/>
    </row>
    <row r="97" spans="1:177">
      <c r="A97" s="183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  <c r="AA97" s="184"/>
      <c r="AB97" s="184"/>
      <c r="AC97" s="184"/>
      <c r="AD97" s="184"/>
      <c r="AE97" s="184"/>
      <c r="AF97" s="184"/>
      <c r="AG97" s="184"/>
      <c r="AH97" s="184"/>
      <c r="AI97" s="184"/>
      <c r="AJ97" s="184"/>
      <c r="AK97" s="184"/>
      <c r="AL97" s="184"/>
      <c r="AM97" s="184"/>
      <c r="AN97" s="184"/>
      <c r="AO97" s="184"/>
      <c r="AP97" s="184"/>
      <c r="AQ97" s="184"/>
      <c r="AR97" s="184"/>
      <c r="AS97" s="184"/>
      <c r="AT97" s="184"/>
      <c r="AU97" s="184"/>
      <c r="AV97" s="184"/>
      <c r="AW97" s="184"/>
      <c r="AX97" s="184"/>
      <c r="AY97" s="184"/>
      <c r="AZ97" s="184"/>
      <c r="BA97" s="184"/>
      <c r="BB97" s="184"/>
      <c r="BC97" s="184"/>
      <c r="BD97" s="184"/>
      <c r="BE97" s="184"/>
      <c r="BF97" s="184"/>
      <c r="BG97" s="184"/>
      <c r="BH97" s="184"/>
      <c r="BI97" s="184"/>
      <c r="BJ97" s="184"/>
      <c r="BK97" s="184"/>
      <c r="BL97" s="184"/>
      <c r="BM97" s="184"/>
      <c r="BN97" s="184"/>
      <c r="BO97" s="184"/>
      <c r="BP97" s="184"/>
      <c r="BQ97" s="184"/>
      <c r="BR97" s="184"/>
      <c r="BS97" s="184"/>
      <c r="BT97" s="184"/>
      <c r="BU97" s="184"/>
      <c r="BV97" s="184"/>
      <c r="BW97" s="184"/>
      <c r="BX97" s="184"/>
      <c r="BY97" s="184"/>
      <c r="BZ97" s="184"/>
      <c r="CA97" s="184"/>
      <c r="CB97" s="184"/>
      <c r="CC97" s="184"/>
      <c r="CD97" s="184"/>
      <c r="CE97" s="184"/>
      <c r="CF97" s="184"/>
      <c r="CG97" s="184"/>
      <c r="CH97" s="184"/>
      <c r="CI97" s="184"/>
      <c r="CJ97" s="184"/>
      <c r="CK97" s="184"/>
      <c r="CL97" s="184"/>
      <c r="CM97" s="184"/>
      <c r="CN97" s="184"/>
      <c r="CO97" s="184"/>
      <c r="CP97" s="184"/>
      <c r="CQ97" s="184"/>
      <c r="CR97" s="184"/>
      <c r="CS97" s="184"/>
      <c r="CT97" s="184"/>
      <c r="CU97" s="184"/>
      <c r="CV97" s="184"/>
      <c r="CW97" s="184"/>
      <c r="CX97" s="184"/>
      <c r="CY97" s="184"/>
      <c r="CZ97" s="184"/>
      <c r="DA97" s="184"/>
      <c r="DB97" s="184"/>
      <c r="DC97" s="184"/>
      <c r="DD97" s="184"/>
      <c r="DE97" s="184"/>
      <c r="DF97" s="184"/>
      <c r="DG97" s="184"/>
      <c r="DH97" s="184"/>
      <c r="DI97" s="184"/>
      <c r="DJ97" s="184"/>
      <c r="DK97" s="184"/>
      <c r="DL97" s="184"/>
      <c r="DM97" s="184"/>
      <c r="DN97" s="184"/>
      <c r="DO97" s="184"/>
      <c r="DP97" s="184"/>
      <c r="DQ97" s="184"/>
      <c r="DR97" s="184"/>
      <c r="DS97" s="184"/>
      <c r="DT97" s="184"/>
      <c r="DU97" s="184"/>
      <c r="DV97" s="184"/>
      <c r="DW97" s="184"/>
      <c r="DX97" s="184"/>
      <c r="DY97" s="184"/>
      <c r="DZ97" s="184"/>
      <c r="EA97" s="184"/>
      <c r="EB97" s="184"/>
      <c r="EC97" s="184"/>
      <c r="ED97" s="184"/>
      <c r="EE97" s="184"/>
      <c r="EF97" s="184"/>
      <c r="EG97" s="184"/>
      <c r="EH97" s="184"/>
      <c r="EI97" s="184"/>
      <c r="EJ97" s="184"/>
      <c r="EK97" s="184"/>
      <c r="EL97" s="184"/>
      <c r="EM97" s="184"/>
      <c r="EN97" s="184"/>
      <c r="EO97" s="184"/>
      <c r="EP97" s="184"/>
      <c r="EQ97" s="184"/>
      <c r="ER97" s="184"/>
      <c r="ES97" s="184"/>
      <c r="ET97" s="184"/>
      <c r="EU97" s="184"/>
      <c r="EV97" s="184"/>
      <c r="EW97" s="184"/>
      <c r="EX97" s="184"/>
      <c r="EY97" s="184"/>
      <c r="EZ97" s="184"/>
      <c r="FA97" s="184"/>
      <c r="FB97" s="184"/>
      <c r="FC97" s="184"/>
      <c r="FD97" s="184"/>
      <c r="FE97" s="184"/>
      <c r="FF97" s="184"/>
      <c r="FG97" s="184"/>
      <c r="FH97" s="184"/>
      <c r="FI97" s="184"/>
      <c r="FJ97" s="184"/>
      <c r="FK97" s="184"/>
      <c r="FL97" s="184"/>
      <c r="FM97" s="184"/>
      <c r="FN97" s="184"/>
      <c r="FO97" s="184"/>
      <c r="FP97" s="184"/>
      <c r="FQ97" s="184"/>
      <c r="FR97" s="184"/>
      <c r="FS97" s="184"/>
      <c r="FT97" s="184"/>
      <c r="FU97" s="184"/>
    </row>
    <row r="98" spans="1:177">
      <c r="A98" s="183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  <c r="AA98" s="184"/>
      <c r="AB98" s="184"/>
      <c r="AC98" s="184"/>
      <c r="AD98" s="184"/>
      <c r="AE98" s="184"/>
      <c r="AF98" s="184"/>
      <c r="AG98" s="184"/>
      <c r="AH98" s="184"/>
      <c r="AI98" s="184"/>
      <c r="AJ98" s="184"/>
      <c r="AK98" s="184"/>
      <c r="AL98" s="184"/>
      <c r="AM98" s="184"/>
      <c r="AN98" s="184"/>
      <c r="AO98" s="184"/>
      <c r="AP98" s="184"/>
      <c r="AQ98" s="184"/>
      <c r="AR98" s="184"/>
      <c r="AS98" s="184"/>
      <c r="AT98" s="184"/>
      <c r="AU98" s="184"/>
      <c r="AV98" s="184"/>
      <c r="AW98" s="184"/>
      <c r="AX98" s="184"/>
      <c r="AY98" s="184"/>
      <c r="AZ98" s="184"/>
      <c r="BA98" s="184"/>
      <c r="BB98" s="184"/>
      <c r="BC98" s="184"/>
      <c r="BD98" s="184"/>
      <c r="BE98" s="184"/>
      <c r="BF98" s="184"/>
      <c r="BG98" s="184"/>
      <c r="BH98" s="184"/>
      <c r="BI98" s="184"/>
      <c r="BJ98" s="184"/>
      <c r="BK98" s="184"/>
      <c r="BL98" s="184"/>
      <c r="BM98" s="184"/>
      <c r="BN98" s="184"/>
      <c r="BO98" s="184"/>
      <c r="BP98" s="184"/>
      <c r="BQ98" s="184"/>
      <c r="BR98" s="184"/>
      <c r="BS98" s="184"/>
      <c r="BT98" s="184"/>
      <c r="BU98" s="184"/>
      <c r="BV98" s="184"/>
      <c r="BW98" s="184"/>
      <c r="BX98" s="184"/>
      <c r="BY98" s="184"/>
      <c r="BZ98" s="184"/>
      <c r="CA98" s="184"/>
      <c r="CB98" s="184"/>
      <c r="CC98" s="184"/>
      <c r="CD98" s="184"/>
      <c r="CE98" s="184"/>
      <c r="CF98" s="184"/>
      <c r="CG98" s="184"/>
      <c r="CH98" s="184"/>
      <c r="CI98" s="184"/>
      <c r="CJ98" s="184"/>
      <c r="CK98" s="184"/>
      <c r="CL98" s="184"/>
      <c r="CM98" s="184"/>
      <c r="CN98" s="184"/>
      <c r="CO98" s="184"/>
      <c r="CP98" s="184"/>
      <c r="CQ98" s="184"/>
      <c r="CR98" s="184"/>
      <c r="CS98" s="184"/>
      <c r="CT98" s="184"/>
      <c r="CU98" s="184"/>
      <c r="CV98" s="184"/>
      <c r="CW98" s="184"/>
      <c r="CX98" s="184"/>
      <c r="CY98" s="184"/>
      <c r="CZ98" s="184"/>
      <c r="DA98" s="184"/>
      <c r="DB98" s="184"/>
      <c r="DC98" s="184"/>
      <c r="DD98" s="184"/>
      <c r="DE98" s="184"/>
      <c r="DF98" s="184"/>
      <c r="DG98" s="184"/>
      <c r="DH98" s="184"/>
      <c r="DI98" s="184"/>
      <c r="DJ98" s="184"/>
      <c r="DK98" s="184"/>
      <c r="DL98" s="184"/>
      <c r="DM98" s="184"/>
      <c r="DN98" s="184"/>
      <c r="DO98" s="184"/>
      <c r="DP98" s="184"/>
      <c r="DQ98" s="184"/>
      <c r="DR98" s="184"/>
      <c r="DS98" s="184"/>
      <c r="DT98" s="184"/>
      <c r="DU98" s="184"/>
      <c r="DV98" s="184"/>
      <c r="DW98" s="184"/>
      <c r="DX98" s="184"/>
      <c r="DY98" s="184"/>
      <c r="DZ98" s="184"/>
      <c r="EA98" s="184"/>
      <c r="EB98" s="184"/>
      <c r="EC98" s="184"/>
      <c r="ED98" s="184"/>
      <c r="EE98" s="184"/>
      <c r="EF98" s="184"/>
      <c r="EG98" s="184"/>
      <c r="EH98" s="184"/>
      <c r="EI98" s="184"/>
      <c r="EJ98" s="184"/>
      <c r="EK98" s="184"/>
      <c r="EL98" s="184"/>
      <c r="EM98" s="184"/>
      <c r="EN98" s="184"/>
      <c r="EO98" s="184"/>
      <c r="EP98" s="184"/>
      <c r="EQ98" s="184"/>
      <c r="ER98" s="184"/>
      <c r="ES98" s="184"/>
      <c r="ET98" s="184"/>
      <c r="EU98" s="184"/>
      <c r="EV98" s="184"/>
      <c r="EW98" s="184"/>
      <c r="EX98" s="184"/>
      <c r="EY98" s="184"/>
      <c r="EZ98" s="184"/>
      <c r="FA98" s="184"/>
      <c r="FB98" s="184"/>
      <c r="FC98" s="184"/>
      <c r="FD98" s="184"/>
      <c r="FE98" s="184"/>
      <c r="FF98" s="184"/>
      <c r="FG98" s="184"/>
      <c r="FH98" s="184"/>
      <c r="FI98" s="184"/>
      <c r="FJ98" s="184"/>
      <c r="FK98" s="184"/>
      <c r="FL98" s="184"/>
      <c r="FM98" s="184"/>
      <c r="FN98" s="184"/>
      <c r="FO98" s="184"/>
      <c r="FP98" s="184"/>
      <c r="FQ98" s="184"/>
      <c r="FR98" s="184"/>
      <c r="FS98" s="184"/>
      <c r="FT98" s="184"/>
      <c r="FU98" s="184"/>
    </row>
    <row r="99" spans="1:177">
      <c r="A99" s="183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  <c r="AA99" s="184"/>
      <c r="AB99" s="184"/>
      <c r="AC99" s="184"/>
      <c r="AD99" s="184"/>
      <c r="AE99" s="184"/>
      <c r="AF99" s="184"/>
      <c r="AG99" s="184"/>
      <c r="AH99" s="184"/>
      <c r="AI99" s="184"/>
      <c r="AJ99" s="184"/>
      <c r="AK99" s="184"/>
      <c r="AL99" s="184"/>
      <c r="AM99" s="184"/>
      <c r="AN99" s="184"/>
      <c r="AO99" s="184"/>
      <c r="AP99" s="184"/>
      <c r="AQ99" s="184"/>
      <c r="AR99" s="184"/>
      <c r="AS99" s="184"/>
      <c r="AT99" s="184"/>
      <c r="AU99" s="184"/>
      <c r="AV99" s="184"/>
      <c r="AW99" s="184"/>
      <c r="AX99" s="184"/>
      <c r="AY99" s="184"/>
      <c r="AZ99" s="184"/>
      <c r="BA99" s="184"/>
      <c r="BB99" s="184"/>
      <c r="BC99" s="184"/>
      <c r="BD99" s="184"/>
      <c r="BE99" s="184"/>
      <c r="BF99" s="184"/>
      <c r="BG99" s="184"/>
      <c r="BH99" s="184"/>
      <c r="BI99" s="184"/>
      <c r="BJ99" s="184"/>
      <c r="BK99" s="184"/>
      <c r="BL99" s="184"/>
      <c r="BM99" s="184"/>
      <c r="BN99" s="184"/>
      <c r="BO99" s="184"/>
      <c r="BP99" s="184"/>
      <c r="BQ99" s="184"/>
      <c r="BR99" s="184"/>
      <c r="BS99" s="184"/>
      <c r="BT99" s="184"/>
      <c r="BU99" s="184"/>
      <c r="BV99" s="184"/>
      <c r="BW99" s="184"/>
      <c r="BX99" s="184"/>
      <c r="BY99" s="184"/>
      <c r="BZ99" s="184"/>
      <c r="CA99" s="184"/>
      <c r="CB99" s="184"/>
      <c r="CC99" s="184"/>
      <c r="CD99" s="184"/>
      <c r="CE99" s="184"/>
      <c r="CF99" s="184"/>
      <c r="CG99" s="184"/>
      <c r="CH99" s="184"/>
      <c r="CI99" s="184"/>
      <c r="CJ99" s="184"/>
      <c r="CK99" s="184"/>
      <c r="CL99" s="184"/>
      <c r="CM99" s="184"/>
      <c r="CN99" s="184"/>
      <c r="CO99" s="184"/>
      <c r="CP99" s="184"/>
      <c r="CQ99" s="184"/>
      <c r="CR99" s="184"/>
      <c r="CS99" s="184"/>
      <c r="CT99" s="184"/>
      <c r="CU99" s="184"/>
      <c r="CV99" s="184"/>
      <c r="CW99" s="184"/>
      <c r="CX99" s="184"/>
      <c r="CY99" s="184"/>
      <c r="CZ99" s="184"/>
      <c r="DA99" s="184"/>
      <c r="DB99" s="184"/>
      <c r="DC99" s="184"/>
      <c r="DD99" s="184"/>
      <c r="DE99" s="184"/>
      <c r="DF99" s="184"/>
      <c r="DG99" s="184"/>
      <c r="DH99" s="184"/>
      <c r="DI99" s="184"/>
      <c r="DJ99" s="184"/>
      <c r="DK99" s="184"/>
      <c r="DL99" s="184"/>
      <c r="DM99" s="184"/>
      <c r="DN99" s="184"/>
      <c r="DO99" s="184"/>
      <c r="DP99" s="184"/>
      <c r="DQ99" s="184"/>
      <c r="DR99" s="184"/>
      <c r="DS99" s="184"/>
      <c r="DT99" s="184"/>
      <c r="DU99" s="184"/>
      <c r="DV99" s="184"/>
      <c r="DW99" s="184"/>
      <c r="DX99" s="184"/>
      <c r="DY99" s="184"/>
      <c r="DZ99" s="184"/>
      <c r="EA99" s="184"/>
      <c r="EB99" s="184"/>
      <c r="EC99" s="184"/>
      <c r="ED99" s="184"/>
      <c r="EE99" s="184"/>
      <c r="EF99" s="184"/>
      <c r="EG99" s="184"/>
      <c r="EH99" s="184"/>
      <c r="EI99" s="184"/>
      <c r="EJ99" s="184"/>
      <c r="EK99" s="184"/>
      <c r="EL99" s="184"/>
      <c r="EM99" s="184"/>
      <c r="EN99" s="184"/>
      <c r="EO99" s="184"/>
      <c r="EP99" s="184"/>
      <c r="EQ99" s="184"/>
      <c r="ER99" s="184"/>
      <c r="ES99" s="184"/>
      <c r="ET99" s="184"/>
      <c r="EU99" s="184"/>
      <c r="EV99" s="184"/>
      <c r="EW99" s="184"/>
      <c r="EX99" s="184"/>
      <c r="EY99" s="184"/>
      <c r="EZ99" s="184"/>
      <c r="FA99" s="184"/>
      <c r="FB99" s="184"/>
      <c r="FC99" s="184"/>
      <c r="FD99" s="184"/>
      <c r="FE99" s="184"/>
      <c r="FF99" s="184"/>
      <c r="FG99" s="184"/>
      <c r="FH99" s="184"/>
      <c r="FI99" s="184"/>
      <c r="FJ99" s="184"/>
      <c r="FK99" s="184"/>
      <c r="FL99" s="184"/>
      <c r="FM99" s="184"/>
      <c r="FN99" s="184"/>
      <c r="FO99" s="184"/>
      <c r="FP99" s="184"/>
      <c r="FQ99" s="184"/>
      <c r="FR99" s="184"/>
      <c r="FS99" s="184"/>
      <c r="FT99" s="184"/>
      <c r="FU99" s="184"/>
    </row>
    <row r="100" spans="1:177">
      <c r="A100" s="183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  <c r="AA100" s="184"/>
      <c r="AB100" s="184"/>
      <c r="AC100" s="184"/>
      <c r="AD100" s="184"/>
      <c r="AE100" s="184"/>
      <c r="AF100" s="184"/>
      <c r="AG100" s="184"/>
      <c r="AH100" s="184"/>
      <c r="AI100" s="184"/>
      <c r="AJ100" s="184"/>
      <c r="AK100" s="184"/>
      <c r="AL100" s="184"/>
      <c r="AM100" s="184"/>
      <c r="AN100" s="184"/>
      <c r="AO100" s="184"/>
      <c r="AP100" s="184"/>
      <c r="AQ100" s="184"/>
      <c r="AR100" s="184"/>
      <c r="AS100" s="184"/>
      <c r="AT100" s="184"/>
      <c r="AU100" s="184"/>
      <c r="AV100" s="184"/>
      <c r="AW100" s="184"/>
      <c r="AX100" s="184"/>
      <c r="AY100" s="184"/>
      <c r="AZ100" s="184"/>
      <c r="BA100" s="184"/>
      <c r="BB100" s="184"/>
      <c r="BC100" s="184"/>
      <c r="BD100" s="184"/>
      <c r="BE100" s="184"/>
      <c r="BF100" s="184"/>
      <c r="BG100" s="184"/>
      <c r="BH100" s="184"/>
      <c r="BI100" s="184"/>
      <c r="BJ100" s="184"/>
      <c r="BK100" s="184"/>
      <c r="BL100" s="184"/>
      <c r="BM100" s="184"/>
      <c r="BN100" s="184"/>
      <c r="BO100" s="184"/>
      <c r="BP100" s="184"/>
      <c r="BQ100" s="184"/>
      <c r="BR100" s="184"/>
      <c r="BS100" s="184"/>
      <c r="BT100" s="184"/>
      <c r="BU100" s="184"/>
      <c r="BV100" s="184"/>
      <c r="BW100" s="184"/>
      <c r="BX100" s="184"/>
      <c r="BY100" s="184"/>
      <c r="BZ100" s="184"/>
      <c r="CA100" s="184"/>
      <c r="CB100" s="184"/>
      <c r="CC100" s="184"/>
      <c r="CD100" s="184"/>
      <c r="CE100" s="184"/>
      <c r="CF100" s="184"/>
      <c r="CG100" s="184"/>
      <c r="CH100" s="184"/>
      <c r="CI100" s="184"/>
      <c r="CJ100" s="184"/>
      <c r="CK100" s="184"/>
      <c r="CL100" s="184"/>
      <c r="CM100" s="184"/>
      <c r="CN100" s="184"/>
      <c r="CO100" s="184"/>
      <c r="CP100" s="184"/>
      <c r="CQ100" s="184"/>
      <c r="CR100" s="184"/>
      <c r="CS100" s="184"/>
      <c r="CT100" s="184"/>
      <c r="CU100" s="184"/>
      <c r="CV100" s="184"/>
      <c r="CW100" s="184"/>
      <c r="CX100" s="184"/>
      <c r="CY100" s="184"/>
      <c r="CZ100" s="184"/>
      <c r="DA100" s="184"/>
      <c r="DB100" s="184"/>
      <c r="DC100" s="184"/>
      <c r="DD100" s="184"/>
      <c r="DE100" s="184"/>
      <c r="DF100" s="184"/>
      <c r="DG100" s="184"/>
      <c r="DH100" s="184"/>
      <c r="DI100" s="184"/>
      <c r="DJ100" s="184"/>
      <c r="DK100" s="184"/>
      <c r="DL100" s="184"/>
      <c r="DM100" s="184"/>
      <c r="DN100" s="184"/>
      <c r="DO100" s="184"/>
      <c r="DP100" s="184"/>
      <c r="DQ100" s="184"/>
      <c r="DR100" s="184"/>
      <c r="DS100" s="184"/>
      <c r="DT100" s="184"/>
      <c r="DU100" s="184"/>
      <c r="DV100" s="184"/>
      <c r="DW100" s="184"/>
      <c r="DX100" s="184"/>
      <c r="DY100" s="184"/>
      <c r="DZ100" s="184"/>
      <c r="EA100" s="184"/>
      <c r="EB100" s="184"/>
      <c r="EC100" s="184"/>
      <c r="ED100" s="184"/>
      <c r="EE100" s="184"/>
      <c r="EF100" s="184"/>
      <c r="EG100" s="184"/>
      <c r="EH100" s="184"/>
      <c r="EI100" s="184"/>
      <c r="EJ100" s="184"/>
      <c r="EK100" s="184"/>
      <c r="EL100" s="184"/>
      <c r="EM100" s="184"/>
      <c r="EN100" s="184"/>
      <c r="EO100" s="184"/>
      <c r="EP100" s="184"/>
      <c r="EQ100" s="184"/>
      <c r="ER100" s="184"/>
      <c r="ES100" s="184"/>
      <c r="ET100" s="184"/>
      <c r="EU100" s="184"/>
      <c r="EV100" s="184"/>
      <c r="EW100" s="184"/>
      <c r="EX100" s="184"/>
      <c r="EY100" s="184"/>
      <c r="EZ100" s="184"/>
      <c r="FA100" s="184"/>
      <c r="FB100" s="184"/>
      <c r="FC100" s="184"/>
      <c r="FD100" s="184"/>
      <c r="FE100" s="184"/>
      <c r="FF100" s="184"/>
      <c r="FG100" s="184"/>
      <c r="FH100" s="184"/>
      <c r="FI100" s="184"/>
      <c r="FJ100" s="184"/>
      <c r="FK100" s="184"/>
      <c r="FL100" s="184"/>
      <c r="FM100" s="184"/>
      <c r="FN100" s="184"/>
      <c r="FO100" s="184"/>
      <c r="FP100" s="184"/>
      <c r="FQ100" s="184"/>
      <c r="FR100" s="184"/>
      <c r="FS100" s="184"/>
      <c r="FT100" s="184"/>
      <c r="FU100" s="184"/>
    </row>
    <row r="101" spans="1:177">
      <c r="A101" s="183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  <c r="AA101" s="184"/>
      <c r="AB101" s="184"/>
      <c r="AC101" s="184"/>
      <c r="AD101" s="184"/>
      <c r="AE101" s="184"/>
      <c r="AF101" s="184"/>
      <c r="AG101" s="184"/>
      <c r="AH101" s="184"/>
      <c r="AI101" s="184"/>
      <c r="AJ101" s="184"/>
      <c r="AK101" s="184"/>
      <c r="AL101" s="184"/>
      <c r="AM101" s="184"/>
      <c r="AN101" s="184"/>
      <c r="AO101" s="184"/>
      <c r="AP101" s="184"/>
      <c r="AQ101" s="184"/>
      <c r="AR101" s="184"/>
      <c r="AS101" s="184"/>
      <c r="AT101" s="184"/>
      <c r="AU101" s="184"/>
      <c r="AV101" s="184"/>
      <c r="AW101" s="184"/>
      <c r="AX101" s="184"/>
      <c r="AY101" s="184"/>
      <c r="AZ101" s="184"/>
      <c r="BA101" s="184"/>
      <c r="BB101" s="184"/>
      <c r="BC101" s="184"/>
      <c r="BD101" s="184"/>
      <c r="BE101" s="184"/>
      <c r="BF101" s="184"/>
      <c r="BG101" s="184"/>
      <c r="BH101" s="184"/>
      <c r="BI101" s="184"/>
      <c r="BJ101" s="184"/>
      <c r="BK101" s="184"/>
      <c r="BL101" s="184"/>
      <c r="BM101" s="184"/>
      <c r="BN101" s="184"/>
      <c r="BO101" s="184"/>
      <c r="BP101" s="184"/>
      <c r="BQ101" s="184"/>
      <c r="BR101" s="184"/>
      <c r="BS101" s="184"/>
      <c r="BT101" s="184"/>
      <c r="BU101" s="184"/>
      <c r="BV101" s="184"/>
      <c r="BW101" s="184"/>
      <c r="BX101" s="184"/>
      <c r="BY101" s="184"/>
      <c r="BZ101" s="184"/>
      <c r="CA101" s="184"/>
      <c r="CB101" s="184"/>
      <c r="CC101" s="184"/>
      <c r="CD101" s="184"/>
      <c r="CE101" s="184"/>
      <c r="CF101" s="184"/>
      <c r="CG101" s="184"/>
      <c r="CH101" s="184"/>
      <c r="CI101" s="184"/>
      <c r="CJ101" s="184"/>
      <c r="CK101" s="184"/>
      <c r="CL101" s="184"/>
      <c r="CM101" s="184"/>
      <c r="CN101" s="184"/>
      <c r="CO101" s="184"/>
      <c r="CP101" s="184"/>
      <c r="CQ101" s="184"/>
      <c r="CR101" s="184"/>
      <c r="CS101" s="184"/>
      <c r="CT101" s="184"/>
      <c r="CU101" s="184"/>
      <c r="CV101" s="184"/>
      <c r="CW101" s="184"/>
      <c r="CX101" s="184"/>
      <c r="CY101" s="184"/>
      <c r="CZ101" s="184"/>
      <c r="DA101" s="184"/>
      <c r="DB101" s="184"/>
      <c r="DC101" s="184"/>
      <c r="DD101" s="184"/>
      <c r="DE101" s="184"/>
      <c r="DF101" s="184"/>
      <c r="DG101" s="184"/>
      <c r="DH101" s="184"/>
      <c r="DI101" s="184"/>
      <c r="DJ101" s="184"/>
      <c r="DK101" s="184"/>
      <c r="DL101" s="184"/>
      <c r="DM101" s="184"/>
      <c r="DN101" s="184"/>
      <c r="DO101" s="184"/>
      <c r="DP101" s="184"/>
      <c r="DQ101" s="184"/>
      <c r="DR101" s="184"/>
      <c r="DS101" s="184"/>
      <c r="DT101" s="184"/>
      <c r="DU101" s="184"/>
      <c r="DV101" s="184"/>
      <c r="DW101" s="184"/>
      <c r="DX101" s="184"/>
      <c r="DY101" s="184"/>
      <c r="DZ101" s="184"/>
      <c r="EA101" s="184"/>
      <c r="EB101" s="184"/>
      <c r="EC101" s="184"/>
      <c r="ED101" s="184"/>
      <c r="EE101" s="184"/>
      <c r="EF101" s="184"/>
      <c r="EG101" s="184"/>
      <c r="EH101" s="184"/>
      <c r="EI101" s="184"/>
      <c r="EJ101" s="184"/>
      <c r="EK101" s="184"/>
      <c r="EL101" s="184"/>
      <c r="EM101" s="184"/>
      <c r="EN101" s="184"/>
      <c r="EO101" s="184"/>
      <c r="EP101" s="184"/>
      <c r="EQ101" s="184"/>
      <c r="ER101" s="184"/>
      <c r="ES101" s="184"/>
      <c r="ET101" s="184"/>
      <c r="EU101" s="184"/>
      <c r="EV101" s="184"/>
      <c r="EW101" s="184"/>
      <c r="EX101" s="184"/>
      <c r="EY101" s="184"/>
      <c r="EZ101" s="184"/>
      <c r="FA101" s="184"/>
      <c r="FB101" s="184"/>
      <c r="FC101" s="184"/>
      <c r="FD101" s="184"/>
      <c r="FE101" s="184"/>
      <c r="FF101" s="184"/>
      <c r="FG101" s="184"/>
      <c r="FH101" s="184"/>
      <c r="FI101" s="184"/>
      <c r="FJ101" s="184"/>
      <c r="FK101" s="184"/>
      <c r="FL101" s="184"/>
      <c r="FM101" s="184"/>
      <c r="FN101" s="184"/>
      <c r="FO101" s="184"/>
      <c r="FP101" s="184"/>
      <c r="FQ101" s="184"/>
      <c r="FR101" s="184"/>
      <c r="FS101" s="184"/>
      <c r="FT101" s="184"/>
      <c r="FU101" s="184"/>
    </row>
    <row r="102" spans="1:177">
      <c r="A102" s="183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  <c r="AA102" s="184"/>
      <c r="AB102" s="184"/>
      <c r="AC102" s="184"/>
      <c r="AD102" s="184"/>
      <c r="AE102" s="184"/>
      <c r="AF102" s="184"/>
      <c r="AG102" s="184"/>
      <c r="AH102" s="184"/>
      <c r="AI102" s="184"/>
      <c r="AJ102" s="184"/>
      <c r="AK102" s="184"/>
      <c r="AL102" s="184"/>
      <c r="AM102" s="184"/>
      <c r="AN102" s="184"/>
      <c r="AO102" s="184"/>
      <c r="AP102" s="184"/>
      <c r="AQ102" s="184"/>
      <c r="AR102" s="184"/>
      <c r="AS102" s="184"/>
      <c r="AT102" s="184"/>
      <c r="AU102" s="184"/>
      <c r="AV102" s="184"/>
      <c r="AW102" s="184"/>
      <c r="AX102" s="184"/>
      <c r="AY102" s="184"/>
      <c r="AZ102" s="184"/>
      <c r="BA102" s="184"/>
      <c r="BB102" s="184"/>
      <c r="BC102" s="184"/>
      <c r="BD102" s="184"/>
      <c r="BE102" s="184"/>
      <c r="BF102" s="184"/>
      <c r="BG102" s="184"/>
      <c r="BH102" s="184"/>
      <c r="BI102" s="184"/>
      <c r="BJ102" s="184"/>
      <c r="BK102" s="184"/>
      <c r="BL102" s="184"/>
      <c r="BM102" s="184"/>
      <c r="BN102" s="184"/>
      <c r="BO102" s="184"/>
      <c r="BP102" s="184"/>
      <c r="BQ102" s="184"/>
      <c r="BR102" s="184"/>
      <c r="BS102" s="184"/>
      <c r="BT102" s="184"/>
      <c r="BU102" s="184"/>
      <c r="BV102" s="184"/>
      <c r="BW102" s="184"/>
      <c r="BX102" s="184"/>
      <c r="BY102" s="184"/>
      <c r="BZ102" s="184"/>
      <c r="CA102" s="184"/>
      <c r="CB102" s="184"/>
      <c r="CC102" s="184"/>
      <c r="CD102" s="184"/>
      <c r="CE102" s="184"/>
      <c r="CF102" s="184"/>
      <c r="CG102" s="184"/>
      <c r="CH102" s="184"/>
      <c r="CI102" s="184"/>
      <c r="CJ102" s="184"/>
      <c r="CK102" s="184"/>
      <c r="CL102" s="184"/>
      <c r="CM102" s="184"/>
      <c r="CN102" s="184"/>
      <c r="CO102" s="184"/>
      <c r="CP102" s="184"/>
      <c r="CQ102" s="184"/>
      <c r="CR102" s="184"/>
      <c r="CS102" s="184"/>
      <c r="CT102" s="184"/>
      <c r="CU102" s="184"/>
      <c r="CV102" s="184"/>
      <c r="CW102" s="184"/>
      <c r="CX102" s="184"/>
      <c r="CY102" s="184"/>
      <c r="CZ102" s="184"/>
      <c r="DA102" s="184"/>
      <c r="DB102" s="184"/>
      <c r="DC102" s="184"/>
      <c r="DD102" s="184"/>
      <c r="DE102" s="184"/>
      <c r="DF102" s="184"/>
      <c r="DG102" s="184"/>
      <c r="DH102" s="184"/>
      <c r="DI102" s="184"/>
      <c r="DJ102" s="184"/>
      <c r="DK102" s="184"/>
      <c r="DL102" s="184"/>
      <c r="DM102" s="184"/>
      <c r="DN102" s="184"/>
      <c r="DO102" s="184"/>
      <c r="DP102" s="184"/>
      <c r="DQ102" s="184"/>
      <c r="DR102" s="184"/>
      <c r="DS102" s="184"/>
      <c r="DT102" s="184"/>
      <c r="DU102" s="184"/>
      <c r="DV102" s="184"/>
      <c r="DW102" s="184"/>
      <c r="DX102" s="184"/>
      <c r="DY102" s="184"/>
      <c r="DZ102" s="184"/>
      <c r="EA102" s="184"/>
      <c r="EB102" s="184"/>
      <c r="EC102" s="184"/>
      <c r="ED102" s="184"/>
      <c r="EE102" s="184"/>
      <c r="EF102" s="184"/>
      <c r="EG102" s="184"/>
      <c r="EH102" s="184"/>
      <c r="EI102" s="184"/>
      <c r="EJ102" s="184"/>
      <c r="EK102" s="184"/>
      <c r="EL102" s="184"/>
      <c r="EM102" s="184"/>
      <c r="EN102" s="184"/>
      <c r="EO102" s="184"/>
      <c r="EP102" s="184"/>
      <c r="EQ102" s="184"/>
      <c r="ER102" s="184"/>
      <c r="ES102" s="184"/>
      <c r="ET102" s="184"/>
      <c r="EU102" s="184"/>
      <c r="EV102" s="184"/>
      <c r="EW102" s="184"/>
      <c r="EX102" s="184"/>
      <c r="EY102" s="184"/>
      <c r="EZ102" s="184"/>
      <c r="FA102" s="184"/>
      <c r="FB102" s="184"/>
      <c r="FC102" s="184"/>
      <c r="FD102" s="184"/>
      <c r="FE102" s="184"/>
      <c r="FF102" s="184"/>
      <c r="FG102" s="184"/>
      <c r="FH102" s="184"/>
      <c r="FI102" s="184"/>
      <c r="FJ102" s="184"/>
      <c r="FK102" s="184"/>
      <c r="FL102" s="184"/>
      <c r="FM102" s="184"/>
      <c r="FN102" s="184"/>
      <c r="FO102" s="184"/>
      <c r="FP102" s="184"/>
      <c r="FQ102" s="184"/>
      <c r="FR102" s="184"/>
      <c r="FS102" s="184"/>
      <c r="FT102" s="184"/>
      <c r="FU102" s="184"/>
    </row>
    <row r="103" spans="1:177">
      <c r="A103" s="183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  <c r="AA103" s="184"/>
      <c r="AB103" s="184"/>
      <c r="AC103" s="184"/>
      <c r="AD103" s="184"/>
      <c r="AE103" s="184"/>
      <c r="AF103" s="184"/>
      <c r="AG103" s="184"/>
      <c r="AH103" s="184"/>
      <c r="AI103" s="184"/>
      <c r="AJ103" s="184"/>
      <c r="AK103" s="184"/>
      <c r="AL103" s="184"/>
      <c r="AM103" s="184"/>
      <c r="AN103" s="184"/>
      <c r="AO103" s="184"/>
      <c r="AP103" s="184"/>
      <c r="AQ103" s="184"/>
      <c r="AR103" s="184"/>
      <c r="AS103" s="184"/>
      <c r="AT103" s="184"/>
      <c r="AU103" s="184"/>
      <c r="AV103" s="184"/>
      <c r="AW103" s="184"/>
      <c r="AX103" s="184"/>
      <c r="AY103" s="184"/>
      <c r="AZ103" s="184"/>
      <c r="BA103" s="184"/>
      <c r="BB103" s="184"/>
      <c r="BC103" s="184"/>
      <c r="BD103" s="184"/>
      <c r="BE103" s="184"/>
      <c r="BF103" s="184"/>
      <c r="BG103" s="184"/>
      <c r="BH103" s="184"/>
      <c r="BI103" s="184"/>
      <c r="BJ103" s="184"/>
      <c r="BK103" s="184"/>
      <c r="BL103" s="184"/>
      <c r="BM103" s="184"/>
      <c r="BN103" s="184"/>
      <c r="BO103" s="184"/>
      <c r="BP103" s="184"/>
      <c r="BQ103" s="184"/>
      <c r="BR103" s="184"/>
      <c r="BS103" s="184"/>
      <c r="BT103" s="184"/>
      <c r="BU103" s="184"/>
      <c r="BV103" s="184"/>
      <c r="BW103" s="184"/>
      <c r="BX103" s="184"/>
      <c r="BY103" s="184"/>
      <c r="BZ103" s="184"/>
      <c r="CA103" s="184"/>
      <c r="CB103" s="184"/>
      <c r="CC103" s="184"/>
      <c r="CD103" s="184"/>
      <c r="CE103" s="184"/>
      <c r="CF103" s="184"/>
      <c r="CG103" s="184"/>
      <c r="CH103" s="184"/>
      <c r="CI103" s="184"/>
      <c r="CJ103" s="184"/>
      <c r="CK103" s="184"/>
      <c r="CL103" s="184"/>
      <c r="CM103" s="184"/>
      <c r="CN103" s="184"/>
      <c r="CO103" s="184"/>
      <c r="CP103" s="184"/>
      <c r="CQ103" s="184"/>
      <c r="CR103" s="184"/>
      <c r="CS103" s="184"/>
      <c r="CT103" s="184"/>
      <c r="CU103" s="184"/>
      <c r="CV103" s="184"/>
      <c r="CW103" s="184"/>
      <c r="CX103" s="184"/>
      <c r="CY103" s="184"/>
      <c r="CZ103" s="184"/>
      <c r="DA103" s="184"/>
      <c r="DB103" s="184"/>
      <c r="DC103" s="184"/>
      <c r="DD103" s="184"/>
      <c r="DE103" s="184"/>
      <c r="DF103" s="184"/>
      <c r="DG103" s="184"/>
      <c r="DH103" s="184"/>
      <c r="DI103" s="184"/>
      <c r="DJ103" s="184"/>
      <c r="DK103" s="184"/>
      <c r="DL103" s="184"/>
      <c r="DM103" s="184"/>
      <c r="DN103" s="184"/>
      <c r="DO103" s="184"/>
      <c r="DP103" s="184"/>
      <c r="DQ103" s="184"/>
      <c r="DR103" s="184"/>
      <c r="DS103" s="184"/>
      <c r="DT103" s="184"/>
      <c r="DU103" s="184"/>
      <c r="DV103" s="184"/>
      <c r="DW103" s="184"/>
      <c r="DX103" s="184"/>
      <c r="DY103" s="184"/>
      <c r="DZ103" s="184"/>
      <c r="EA103" s="184"/>
      <c r="EB103" s="184"/>
      <c r="EC103" s="184"/>
      <c r="ED103" s="184"/>
      <c r="EE103" s="184"/>
      <c r="EF103" s="184"/>
      <c r="EG103" s="184"/>
      <c r="EH103" s="184"/>
      <c r="EI103" s="184"/>
      <c r="EJ103" s="184"/>
      <c r="EK103" s="184"/>
      <c r="EL103" s="184"/>
      <c r="EM103" s="184"/>
      <c r="EN103" s="184"/>
      <c r="EO103" s="184"/>
      <c r="EP103" s="184"/>
      <c r="EQ103" s="184"/>
      <c r="ER103" s="184"/>
      <c r="ES103" s="184"/>
      <c r="ET103" s="184"/>
      <c r="EU103" s="184"/>
      <c r="EV103" s="184"/>
      <c r="EW103" s="184"/>
      <c r="EX103" s="184"/>
      <c r="EY103" s="184"/>
      <c r="EZ103" s="184"/>
      <c r="FA103" s="184"/>
      <c r="FB103" s="184"/>
      <c r="FC103" s="184"/>
      <c r="FD103" s="184"/>
      <c r="FE103" s="184"/>
      <c r="FF103" s="184"/>
      <c r="FG103" s="184"/>
      <c r="FH103" s="184"/>
      <c r="FI103" s="184"/>
      <c r="FJ103" s="184"/>
      <c r="FK103" s="184"/>
      <c r="FL103" s="184"/>
      <c r="FM103" s="184"/>
      <c r="FN103" s="184"/>
      <c r="FO103" s="184"/>
      <c r="FP103" s="184"/>
      <c r="FQ103" s="184"/>
      <c r="FR103" s="184"/>
      <c r="FS103" s="184"/>
      <c r="FT103" s="184"/>
      <c r="FU103" s="184"/>
    </row>
    <row r="104" spans="1:177">
      <c r="A104" s="183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  <c r="AA104" s="184"/>
      <c r="AB104" s="184"/>
      <c r="AC104" s="184"/>
      <c r="AD104" s="184"/>
      <c r="AE104" s="184"/>
      <c r="AF104" s="184"/>
      <c r="AG104" s="184"/>
      <c r="AH104" s="184"/>
      <c r="AI104" s="184"/>
      <c r="AJ104" s="184"/>
      <c r="AK104" s="184"/>
      <c r="AL104" s="184"/>
      <c r="AM104" s="184"/>
      <c r="AN104" s="184"/>
      <c r="AO104" s="184"/>
      <c r="AP104" s="184"/>
      <c r="AQ104" s="184"/>
      <c r="AR104" s="184"/>
      <c r="AS104" s="184"/>
      <c r="AT104" s="184"/>
      <c r="AU104" s="184"/>
      <c r="AV104" s="184"/>
      <c r="AW104" s="184"/>
      <c r="AX104" s="184"/>
      <c r="AY104" s="184"/>
      <c r="AZ104" s="184"/>
      <c r="BA104" s="184"/>
      <c r="BB104" s="184"/>
      <c r="BC104" s="184"/>
      <c r="BD104" s="184"/>
      <c r="BE104" s="184"/>
      <c r="BF104" s="184"/>
      <c r="BG104" s="184"/>
      <c r="BH104" s="184"/>
      <c r="BI104" s="184"/>
      <c r="BJ104" s="184"/>
      <c r="BK104" s="184"/>
      <c r="BL104" s="184"/>
      <c r="BM104" s="184"/>
      <c r="BN104" s="184"/>
      <c r="BO104" s="184"/>
      <c r="BP104" s="184"/>
      <c r="BQ104" s="184"/>
      <c r="BR104" s="184"/>
      <c r="BS104" s="184"/>
      <c r="BT104" s="184"/>
      <c r="BU104" s="184"/>
      <c r="BV104" s="184"/>
      <c r="BW104" s="184"/>
      <c r="BX104" s="184"/>
      <c r="BY104" s="184"/>
      <c r="BZ104" s="184"/>
      <c r="CA104" s="184"/>
      <c r="CB104" s="184"/>
      <c r="CC104" s="184"/>
      <c r="CD104" s="184"/>
      <c r="CE104" s="184"/>
      <c r="CF104" s="184"/>
      <c r="CG104" s="184"/>
      <c r="CH104" s="184"/>
      <c r="CI104" s="184"/>
      <c r="CJ104" s="184"/>
      <c r="CK104" s="184"/>
      <c r="CL104" s="184"/>
      <c r="CM104" s="184"/>
      <c r="CN104" s="184"/>
      <c r="CO104" s="184"/>
      <c r="CP104" s="184"/>
      <c r="CQ104" s="184"/>
      <c r="CR104" s="184"/>
      <c r="CS104" s="184"/>
      <c r="CT104" s="184"/>
      <c r="CU104" s="184"/>
      <c r="CV104" s="184"/>
      <c r="CW104" s="184"/>
      <c r="CX104" s="184"/>
      <c r="CY104" s="184"/>
      <c r="CZ104" s="184"/>
      <c r="DA104" s="184"/>
      <c r="DB104" s="184"/>
      <c r="DC104" s="184"/>
      <c r="DD104" s="184"/>
      <c r="DE104" s="184"/>
      <c r="DF104" s="184"/>
      <c r="DG104" s="184"/>
      <c r="DH104" s="184"/>
      <c r="DI104" s="184"/>
      <c r="DJ104" s="184"/>
      <c r="DK104" s="184"/>
      <c r="DL104" s="184"/>
      <c r="DM104" s="184"/>
      <c r="DN104" s="184"/>
      <c r="DO104" s="184"/>
      <c r="DP104" s="184"/>
      <c r="DQ104" s="184"/>
      <c r="DR104" s="184"/>
      <c r="DS104" s="184"/>
      <c r="DT104" s="184"/>
      <c r="DU104" s="184"/>
      <c r="DV104" s="184"/>
      <c r="DW104" s="184"/>
      <c r="DX104" s="184"/>
      <c r="DY104" s="184"/>
      <c r="DZ104" s="184"/>
      <c r="EA104" s="184"/>
      <c r="EB104" s="184"/>
      <c r="EC104" s="184"/>
      <c r="ED104" s="184"/>
      <c r="EE104" s="184"/>
      <c r="EF104" s="184"/>
      <c r="EG104" s="184"/>
      <c r="EH104" s="184"/>
      <c r="EI104" s="184"/>
      <c r="EJ104" s="184"/>
      <c r="EK104" s="184"/>
      <c r="EL104" s="184"/>
      <c r="EM104" s="184"/>
      <c r="EN104" s="184"/>
      <c r="EO104" s="184"/>
      <c r="EP104" s="184"/>
      <c r="EQ104" s="184"/>
      <c r="ER104" s="184"/>
      <c r="ES104" s="184"/>
      <c r="ET104" s="184"/>
      <c r="EU104" s="184"/>
      <c r="EV104" s="184"/>
      <c r="EW104" s="184"/>
      <c r="EX104" s="184"/>
      <c r="EY104" s="184"/>
      <c r="EZ104" s="184"/>
      <c r="FA104" s="184"/>
      <c r="FB104" s="184"/>
      <c r="FC104" s="184"/>
      <c r="FD104" s="184"/>
      <c r="FE104" s="184"/>
      <c r="FF104" s="184"/>
      <c r="FG104" s="184"/>
      <c r="FH104" s="184"/>
      <c r="FI104" s="184"/>
      <c r="FJ104" s="184"/>
      <c r="FK104" s="184"/>
      <c r="FL104" s="184"/>
      <c r="FM104" s="184"/>
      <c r="FN104" s="184"/>
      <c r="FO104" s="184"/>
      <c r="FP104" s="184"/>
      <c r="FQ104" s="184"/>
      <c r="FR104" s="184"/>
      <c r="FS104" s="184"/>
      <c r="FT104" s="184"/>
      <c r="FU104" s="184"/>
    </row>
    <row r="105" spans="1:177">
      <c r="A105" s="61"/>
    </row>
    <row r="106" spans="1:177">
      <c r="A106" s="61"/>
    </row>
    <row r="107" spans="1:177">
      <c r="A107" s="61"/>
    </row>
    <row r="108" spans="1:177">
      <c r="A108" s="61"/>
    </row>
    <row r="109" spans="1:177">
      <c r="A109" s="61"/>
    </row>
    <row r="110" spans="1:177">
      <c r="A110" s="61"/>
    </row>
    <row r="111" spans="1:177">
      <c r="A111" s="61"/>
    </row>
    <row r="112" spans="1:177">
      <c r="A112" s="61"/>
    </row>
    <row r="113" spans="1:1">
      <c r="A113" s="61"/>
    </row>
    <row r="114" spans="1:1">
      <c r="A114" s="61"/>
    </row>
    <row r="115" spans="1:1">
      <c r="A115" s="61"/>
    </row>
    <row r="116" spans="1:1">
      <c r="A116" s="61"/>
    </row>
    <row r="117" spans="1:1">
      <c r="A117" s="61"/>
    </row>
    <row r="118" spans="1:1">
      <c r="A118" s="61"/>
    </row>
    <row r="119" spans="1:1">
      <c r="A119" s="61"/>
    </row>
    <row r="120" spans="1:1">
      <c r="A120" s="61"/>
    </row>
    <row r="121" spans="1:1">
      <c r="A121" s="61"/>
    </row>
    <row r="122" spans="1:1">
      <c r="A122" s="61"/>
    </row>
    <row r="123" spans="1:1">
      <c r="A123" s="61"/>
    </row>
    <row r="124" spans="1:1">
      <c r="A124" s="61"/>
    </row>
    <row r="125" spans="1:1">
      <c r="A125" s="61"/>
    </row>
    <row r="126" spans="1:1">
      <c r="A126" s="61"/>
    </row>
    <row r="127" spans="1:1">
      <c r="A127" s="61"/>
    </row>
    <row r="128" spans="1:1">
      <c r="A128" s="61"/>
    </row>
    <row r="129" spans="1:1">
      <c r="A129" s="61"/>
    </row>
    <row r="130" spans="1:1">
      <c r="A130" s="61"/>
    </row>
    <row r="131" spans="1:1">
      <c r="A131" s="61"/>
    </row>
    <row r="132" spans="1:1">
      <c r="A132" s="61"/>
    </row>
    <row r="133" spans="1:1">
      <c r="A133" s="61"/>
    </row>
    <row r="134" spans="1:1">
      <c r="A134" s="61"/>
    </row>
    <row r="135" spans="1:1">
      <c r="A135" s="61"/>
    </row>
    <row r="136" spans="1:1">
      <c r="A136" s="61"/>
    </row>
    <row r="137" spans="1:1">
      <c r="A137" s="61"/>
    </row>
    <row r="138" spans="1:1">
      <c r="A138" s="61"/>
    </row>
    <row r="139" spans="1:1">
      <c r="A139" s="61"/>
    </row>
    <row r="140" spans="1:1">
      <c r="A140" s="61"/>
    </row>
    <row r="141" spans="1:1">
      <c r="A141" s="61"/>
    </row>
    <row r="142" spans="1:1">
      <c r="A142" s="61"/>
    </row>
    <row r="143" spans="1:1">
      <c r="A143" s="61"/>
    </row>
    <row r="144" spans="1:1">
      <c r="A144" s="61"/>
    </row>
  </sheetData>
  <mergeCells count="4">
    <mergeCell ref="B1:B2"/>
    <mergeCell ref="C1:D1"/>
    <mergeCell ref="E1:F1"/>
    <mergeCell ref="G1:H1"/>
  </mergeCells>
  <conditionalFormatting sqref="F7:F15 H7:H15 D1:D1048576">
    <cfRule type="cellIs" dxfId="0" priority="2" operator="lessThan">
      <formula>0</formula>
    </cfRule>
  </conditionalFormatting>
  <pageMargins left="0.78749999999999998" right="0.78749999999999998" top="1.0249999999999999" bottom="1.0249999999999999" header="0.78749999999999998" footer="0.78749999999999998"/>
  <pageSetup paperSize="9" orientation="portrait" horizontalDpi="300" verticalDpi="300"/>
  <headerFooter>
    <oddHeader>&amp;C&amp;A</oddHeader>
    <oddFooter>&amp;CPágina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4FEBB"/>
  </sheetPr>
  <dimension ref="A1:AJ22"/>
  <sheetViews>
    <sheetView zoomScaleNormal="100" workbookViewId="0">
      <selection activeCell="F14" sqref="F14"/>
    </sheetView>
  </sheetViews>
  <sheetFormatPr defaultColWidth="8.7109375" defaultRowHeight="12.75"/>
  <cols>
    <col min="1" max="1" width="12.7109375" style="185" customWidth="1"/>
    <col min="2" max="29" width="15.5703125" style="185" customWidth="1"/>
    <col min="30" max="30" width="10.7109375" style="185" customWidth="1"/>
    <col min="31" max="31" width="11.85546875" style="185" customWidth="1"/>
    <col min="32" max="32" width="11.42578125" style="185" customWidth="1"/>
    <col min="33" max="33" width="15.140625" style="185" customWidth="1"/>
    <col min="34" max="34" width="13.28515625" style="185" customWidth="1"/>
    <col min="35" max="35" width="12.28515625" style="185" customWidth="1"/>
    <col min="36" max="36" width="16.28515625" style="185" customWidth="1"/>
  </cols>
  <sheetData>
    <row r="1" spans="1:33">
      <c r="A1" s="186" t="s">
        <v>794</v>
      </c>
    </row>
    <row r="2" spans="1:33">
      <c r="A2" s="267" t="s">
        <v>9</v>
      </c>
      <c r="B2" t="s">
        <v>795</v>
      </c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</row>
    <row r="3" spans="1:33">
      <c r="A3" s="267" t="s">
        <v>5</v>
      </c>
      <c r="B3" t="s">
        <v>795</v>
      </c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</row>
    <row r="4" spans="1:33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</row>
    <row r="5" spans="1:33">
      <c r="A5" s="267" t="s">
        <v>796</v>
      </c>
      <c r="B5"/>
      <c r="C5" s="267" t="s">
        <v>6</v>
      </c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</row>
    <row r="6" spans="1:33">
      <c r="A6" s="267" t="s">
        <v>797</v>
      </c>
      <c r="B6" s="267" t="s">
        <v>4</v>
      </c>
      <c r="C6" t="s">
        <v>54</v>
      </c>
      <c r="D6" t="s">
        <v>510</v>
      </c>
      <c r="E6" t="s">
        <v>277</v>
      </c>
      <c r="F6" t="s">
        <v>73</v>
      </c>
      <c r="G6" t="s">
        <v>47</v>
      </c>
      <c r="H6" t="s">
        <v>50</v>
      </c>
      <c r="I6" t="s">
        <v>119</v>
      </c>
      <c r="J6" t="s">
        <v>39</v>
      </c>
      <c r="K6" t="s">
        <v>36</v>
      </c>
      <c r="L6" t="s">
        <v>43</v>
      </c>
      <c r="M6" t="s">
        <v>52</v>
      </c>
      <c r="N6" t="s">
        <v>166</v>
      </c>
      <c r="O6" t="s">
        <v>319</v>
      </c>
      <c r="P6" t="s">
        <v>34</v>
      </c>
      <c r="Q6" t="s">
        <v>62</v>
      </c>
      <c r="R6" t="s">
        <v>89</v>
      </c>
      <c r="S6" t="s">
        <v>81</v>
      </c>
      <c r="T6" t="s">
        <v>110</v>
      </c>
      <c r="U6" t="s">
        <v>41</v>
      </c>
      <c r="V6" t="s">
        <v>44</v>
      </c>
      <c r="W6" t="s">
        <v>92</v>
      </c>
      <c r="X6" t="s">
        <v>461</v>
      </c>
      <c r="Y6" t="s">
        <v>463</v>
      </c>
      <c r="Z6" t="s">
        <v>105</v>
      </c>
      <c r="AA6" t="s">
        <v>71</v>
      </c>
      <c r="AB6" t="s">
        <v>149</v>
      </c>
      <c r="AC6" t="s">
        <v>176</v>
      </c>
      <c r="AD6" t="s">
        <v>60</v>
      </c>
      <c r="AE6" t="s">
        <v>58</v>
      </c>
      <c r="AF6" t="s">
        <v>76</v>
      </c>
      <c r="AG6" t="s">
        <v>798</v>
      </c>
    </row>
    <row r="7" spans="1:33">
      <c r="A7" t="s">
        <v>799</v>
      </c>
      <c r="B7"/>
      <c r="C7" s="268"/>
      <c r="D7" s="268"/>
      <c r="E7" s="268"/>
      <c r="F7" s="268"/>
      <c r="G7" s="268"/>
      <c r="H7" s="268"/>
      <c r="I7" s="268"/>
      <c r="J7" s="268"/>
      <c r="K7" s="268"/>
      <c r="L7" s="268"/>
      <c r="M7" s="268"/>
      <c r="N7" s="268"/>
      <c r="O7" s="268"/>
      <c r="P7" s="268"/>
      <c r="Q7" s="268"/>
      <c r="R7" s="268"/>
      <c r="S7" s="268"/>
      <c r="T7" s="268"/>
      <c r="U7" s="268"/>
      <c r="V7" s="268"/>
      <c r="W7" s="268"/>
      <c r="X7" s="268"/>
      <c r="Y7" s="268"/>
      <c r="Z7" s="268"/>
      <c r="AA7" s="268"/>
      <c r="AB7" s="268"/>
      <c r="AC7" s="268"/>
      <c r="AD7" s="268"/>
      <c r="AE7" s="268"/>
      <c r="AF7" s="268"/>
      <c r="AG7" s="268"/>
    </row>
    <row r="8" spans="1:33">
      <c r="A8"/>
      <c r="B8" t="s">
        <v>800</v>
      </c>
      <c r="C8" s="268">
        <v>3.8999999999999915</v>
      </c>
      <c r="D8" s="268"/>
      <c r="E8" s="268"/>
      <c r="F8" s="268">
        <v>-175.66</v>
      </c>
      <c r="G8" s="268">
        <v>0</v>
      </c>
      <c r="H8" s="268">
        <v>-148.81</v>
      </c>
      <c r="I8" s="268">
        <v>-80</v>
      </c>
      <c r="J8" s="268">
        <v>800</v>
      </c>
      <c r="K8" s="268">
        <v>-484.56</v>
      </c>
      <c r="L8" s="268">
        <v>-201.74</v>
      </c>
      <c r="M8" s="268">
        <v>-183.65</v>
      </c>
      <c r="N8" s="268"/>
      <c r="O8" s="268"/>
      <c r="P8" s="268">
        <v>190.21</v>
      </c>
      <c r="Q8" s="268">
        <v>0</v>
      </c>
      <c r="R8" s="268">
        <v>-16.36</v>
      </c>
      <c r="S8" s="268">
        <v>-35.1</v>
      </c>
      <c r="T8" s="268">
        <v>3907.87</v>
      </c>
      <c r="U8" s="268">
        <v>-658.10999999999967</v>
      </c>
      <c r="V8" s="268">
        <v>-193.69</v>
      </c>
      <c r="W8" s="268">
        <v>31</v>
      </c>
      <c r="X8" s="268"/>
      <c r="Y8" s="268"/>
      <c r="Z8" s="268">
        <v>-5</v>
      </c>
      <c r="AA8" s="268">
        <v>-383.05</v>
      </c>
      <c r="AB8" s="268"/>
      <c r="AC8" s="268"/>
      <c r="AD8" s="268">
        <v>-22</v>
      </c>
      <c r="AE8" s="268">
        <v>-126.05</v>
      </c>
      <c r="AF8" s="268">
        <v>-85.8</v>
      </c>
      <c r="AG8" s="268">
        <v>2133.3999999999996</v>
      </c>
    </row>
    <row r="9" spans="1:33">
      <c r="A9"/>
      <c r="B9" t="s">
        <v>801</v>
      </c>
      <c r="C9" s="268">
        <v>-79.849999999999994</v>
      </c>
      <c r="D9" s="268"/>
      <c r="E9" s="268"/>
      <c r="F9" s="268">
        <v>-136</v>
      </c>
      <c r="G9" s="268">
        <v>0</v>
      </c>
      <c r="H9" s="268">
        <v>-304.34000000000003</v>
      </c>
      <c r="I9" s="268">
        <v>-276.39</v>
      </c>
      <c r="J9" s="268">
        <v>800</v>
      </c>
      <c r="K9" s="268">
        <v>-361.25000000000011</v>
      </c>
      <c r="L9" s="268">
        <v>-141.74</v>
      </c>
      <c r="M9" s="268">
        <v>-96</v>
      </c>
      <c r="N9" s="268">
        <v>-21.76</v>
      </c>
      <c r="O9" s="268"/>
      <c r="P9" s="268">
        <v>241.41000000000003</v>
      </c>
      <c r="Q9" s="268"/>
      <c r="R9" s="268">
        <v>-13.18</v>
      </c>
      <c r="S9" s="268">
        <v>-35.1</v>
      </c>
      <c r="T9" s="268">
        <v>3928.71</v>
      </c>
      <c r="U9" s="268">
        <v>-413.59000000000015</v>
      </c>
      <c r="V9" s="268">
        <v>-48.3</v>
      </c>
      <c r="W9" s="268">
        <v>100</v>
      </c>
      <c r="X9" s="268"/>
      <c r="Y9" s="268"/>
      <c r="Z9" s="268">
        <v>-5</v>
      </c>
      <c r="AA9" s="268"/>
      <c r="AB9" s="268">
        <v>-299.02999999999997</v>
      </c>
      <c r="AC9" s="268">
        <v>-848.98</v>
      </c>
      <c r="AD9" s="268">
        <v>-50.95</v>
      </c>
      <c r="AE9" s="268">
        <v>-25.9</v>
      </c>
      <c r="AF9" s="268">
        <v>-19.5</v>
      </c>
      <c r="AG9" s="268">
        <v>1893.2599999999991</v>
      </c>
    </row>
    <row r="10" spans="1:33">
      <c r="A10"/>
      <c r="B10" t="s">
        <v>802</v>
      </c>
      <c r="C10" s="268">
        <v>-220.57</v>
      </c>
      <c r="D10" s="268"/>
      <c r="E10" s="268"/>
      <c r="F10" s="268">
        <v>-135</v>
      </c>
      <c r="G10" s="268">
        <v>0</v>
      </c>
      <c r="H10" s="268">
        <v>500</v>
      </c>
      <c r="I10" s="268">
        <v>-38.71</v>
      </c>
      <c r="J10" s="268">
        <v>800</v>
      </c>
      <c r="K10" s="268">
        <v>-613.52</v>
      </c>
      <c r="L10" s="268">
        <v>-205.86</v>
      </c>
      <c r="M10" s="268">
        <v>-165.75</v>
      </c>
      <c r="N10" s="268"/>
      <c r="O10" s="268"/>
      <c r="P10" s="268">
        <v>168.42999999999998</v>
      </c>
      <c r="Q10" s="268"/>
      <c r="R10" s="268">
        <v>-10.17</v>
      </c>
      <c r="S10" s="268">
        <v>-35</v>
      </c>
      <c r="T10" s="268">
        <v>3928.71</v>
      </c>
      <c r="U10" s="268">
        <v>-379.10000000000014</v>
      </c>
      <c r="V10" s="268">
        <v>-527.15</v>
      </c>
      <c r="W10" s="268">
        <v>209.5</v>
      </c>
      <c r="X10" s="268"/>
      <c r="Y10" s="268"/>
      <c r="Z10" s="268">
        <v>-108.5</v>
      </c>
      <c r="AA10" s="268"/>
      <c r="AB10" s="268"/>
      <c r="AC10" s="268">
        <v>-263.39999999999998</v>
      </c>
      <c r="AD10" s="268">
        <v>-21</v>
      </c>
      <c r="AE10" s="268">
        <v>-1528.3700000000001</v>
      </c>
      <c r="AF10" s="268">
        <v>-82.8</v>
      </c>
      <c r="AG10" s="268">
        <v>1271.7399999999998</v>
      </c>
    </row>
    <row r="11" spans="1:33">
      <c r="A11"/>
      <c r="B11" t="s">
        <v>803</v>
      </c>
      <c r="C11" s="268">
        <v>-76.38</v>
      </c>
      <c r="D11" s="268"/>
      <c r="E11" s="268">
        <v>-132.22999999999999</v>
      </c>
      <c r="F11" s="268">
        <v>-163.26999999999998</v>
      </c>
      <c r="G11" s="268">
        <v>0</v>
      </c>
      <c r="H11" s="268">
        <v>2000</v>
      </c>
      <c r="I11" s="268"/>
      <c r="J11" s="268">
        <v>800</v>
      </c>
      <c r="K11" s="268">
        <v>-365.46999999999997</v>
      </c>
      <c r="L11" s="268">
        <v>-201.74</v>
      </c>
      <c r="M11" s="268">
        <v>-124.5</v>
      </c>
      <c r="N11" s="268">
        <v>-17.920000000000002</v>
      </c>
      <c r="O11" s="268"/>
      <c r="P11" s="268">
        <v>-197.35</v>
      </c>
      <c r="Q11" s="268">
        <v>-33</v>
      </c>
      <c r="R11" s="268">
        <v>-5.22</v>
      </c>
      <c r="S11" s="268">
        <v>-35.1</v>
      </c>
      <c r="T11" s="268">
        <v>3928.71</v>
      </c>
      <c r="U11" s="268">
        <v>-622.09999999999991</v>
      </c>
      <c r="V11" s="268">
        <v>-227.05999999999995</v>
      </c>
      <c r="W11" s="268">
        <v>27</v>
      </c>
      <c r="X11" s="268"/>
      <c r="Y11" s="268"/>
      <c r="Z11" s="268"/>
      <c r="AA11" s="268"/>
      <c r="AB11" s="268"/>
      <c r="AC11" s="268">
        <v>-1578.38</v>
      </c>
      <c r="AD11" s="268">
        <v>-71</v>
      </c>
      <c r="AE11" s="268">
        <v>-611.55999999999995</v>
      </c>
      <c r="AF11" s="268">
        <v>-133.13400000000001</v>
      </c>
      <c r="AG11" s="268">
        <v>2160.2960000000007</v>
      </c>
    </row>
    <row r="12" spans="1:33">
      <c r="A12"/>
      <c r="B12" t="s">
        <v>804</v>
      </c>
      <c r="C12" s="268">
        <v>-210.57000000000002</v>
      </c>
      <c r="D12" s="268"/>
      <c r="E12" s="268"/>
      <c r="F12" s="268">
        <v>-153.30000000000001</v>
      </c>
      <c r="G12" s="268">
        <v>0</v>
      </c>
      <c r="H12" s="268">
        <v>2525.0100000000002</v>
      </c>
      <c r="I12" s="268">
        <v>-74.72</v>
      </c>
      <c r="J12" s="268">
        <v>800</v>
      </c>
      <c r="K12" s="268">
        <v>-601.30999999999995</v>
      </c>
      <c r="L12" s="268">
        <v>-117.62</v>
      </c>
      <c r="M12" s="268">
        <v>-134.97999999999999</v>
      </c>
      <c r="N12" s="268"/>
      <c r="O12" s="268">
        <v>-1.95</v>
      </c>
      <c r="P12" s="268">
        <v>553.73</v>
      </c>
      <c r="Q12" s="268">
        <v>-44.5</v>
      </c>
      <c r="R12" s="268">
        <v>-5.05</v>
      </c>
      <c r="S12" s="268">
        <v>-35</v>
      </c>
      <c r="T12" s="268">
        <v>3928.71</v>
      </c>
      <c r="U12" s="268">
        <v>-158.10000000000005</v>
      </c>
      <c r="V12" s="268">
        <v>-359.58</v>
      </c>
      <c r="W12" s="268">
        <v>135</v>
      </c>
      <c r="X12" s="268"/>
      <c r="Y12" s="268"/>
      <c r="Z12" s="268">
        <v>-165.5</v>
      </c>
      <c r="AA12" s="268">
        <v>-175.79</v>
      </c>
      <c r="AB12" s="268">
        <v>-443.09</v>
      </c>
      <c r="AC12" s="268"/>
      <c r="AD12" s="268">
        <v>-22</v>
      </c>
      <c r="AE12" s="268">
        <v>-2225.5299999999997</v>
      </c>
      <c r="AF12" s="268">
        <v>-348.72100000000006</v>
      </c>
      <c r="AG12" s="268">
        <v>2665.1390000000006</v>
      </c>
    </row>
    <row r="13" spans="1:33">
      <c r="A13"/>
      <c r="B13" t="s">
        <v>805</v>
      </c>
      <c r="C13" s="268">
        <v>-157.12</v>
      </c>
      <c r="D13" s="268"/>
      <c r="E13" s="268"/>
      <c r="F13" s="268">
        <v>-76</v>
      </c>
      <c r="G13" s="268">
        <v>0</v>
      </c>
      <c r="H13" s="268">
        <v>-10</v>
      </c>
      <c r="I13" s="268">
        <v>-16.66</v>
      </c>
      <c r="J13" s="268">
        <v>800</v>
      </c>
      <c r="K13" s="268">
        <v>-370.96999999999997</v>
      </c>
      <c r="L13" s="268">
        <v>-141.74</v>
      </c>
      <c r="M13" s="268">
        <v>-122.01</v>
      </c>
      <c r="N13" s="268">
        <v>-17.04</v>
      </c>
      <c r="O13" s="268">
        <v>-2149.23</v>
      </c>
      <c r="P13" s="268">
        <v>303.44</v>
      </c>
      <c r="Q13" s="268">
        <v>-40</v>
      </c>
      <c r="R13" s="268">
        <v>-5.22</v>
      </c>
      <c r="S13" s="268">
        <v>-35</v>
      </c>
      <c r="T13" s="268">
        <v>8047.95</v>
      </c>
      <c r="U13" s="268">
        <v>-113.19999999999999</v>
      </c>
      <c r="V13" s="268">
        <v>-81.960000000000008</v>
      </c>
      <c r="W13" s="268">
        <v>215</v>
      </c>
      <c r="X13" s="268"/>
      <c r="Y13" s="268"/>
      <c r="Z13" s="268">
        <v>-5</v>
      </c>
      <c r="AA13" s="268"/>
      <c r="AB13" s="268"/>
      <c r="AC13" s="268">
        <v>-582.6</v>
      </c>
      <c r="AD13" s="268">
        <v>-71</v>
      </c>
      <c r="AE13" s="268">
        <v>-128.5</v>
      </c>
      <c r="AF13" s="268">
        <v>20.979999999999997</v>
      </c>
      <c r="AG13" s="268">
        <v>5264.119999999999</v>
      </c>
    </row>
    <row r="14" spans="1:33">
      <c r="A14"/>
      <c r="B14" t="s">
        <v>806</v>
      </c>
      <c r="C14" s="268">
        <v>-643.69000000000005</v>
      </c>
      <c r="D14" s="268"/>
      <c r="E14" s="268"/>
      <c r="F14" s="268">
        <v>-167.6</v>
      </c>
      <c r="G14" s="268">
        <v>0</v>
      </c>
      <c r="H14" s="268">
        <v>24</v>
      </c>
      <c r="I14" s="268"/>
      <c r="J14" s="268">
        <v>800</v>
      </c>
      <c r="K14" s="268">
        <v>-416.44</v>
      </c>
      <c r="L14" s="268">
        <v>-165.88</v>
      </c>
      <c r="M14" s="268">
        <v>-120.5</v>
      </c>
      <c r="N14" s="268"/>
      <c r="O14" s="268">
        <v>-226.53</v>
      </c>
      <c r="P14" s="268">
        <v>274.31</v>
      </c>
      <c r="Q14" s="268">
        <v>-56</v>
      </c>
      <c r="R14" s="268">
        <v>-5.05</v>
      </c>
      <c r="S14" s="268">
        <v>-35</v>
      </c>
      <c r="T14" s="268">
        <v>3937.27</v>
      </c>
      <c r="U14" s="268">
        <v>-129.44999999999999</v>
      </c>
      <c r="V14" s="268">
        <v>-121.86</v>
      </c>
      <c r="W14" s="268">
        <v>105</v>
      </c>
      <c r="X14" s="268">
        <v>-65.5</v>
      </c>
      <c r="Y14" s="268">
        <v>70.260000000000005</v>
      </c>
      <c r="Z14" s="268">
        <v>-139.5</v>
      </c>
      <c r="AA14" s="268"/>
      <c r="AB14" s="268">
        <v>-110.94</v>
      </c>
      <c r="AC14" s="268"/>
      <c r="AD14" s="268">
        <v>-21</v>
      </c>
      <c r="AE14" s="268">
        <v>-777.43</v>
      </c>
      <c r="AF14" s="268">
        <v>-116.91</v>
      </c>
      <c r="AG14" s="268">
        <v>1891.5600000000002</v>
      </c>
    </row>
    <row r="15" spans="1:33">
      <c r="A15"/>
      <c r="B15" t="s">
        <v>807</v>
      </c>
      <c r="C15" s="268">
        <v>-374.71000000000004</v>
      </c>
      <c r="D15" s="268">
        <v>-41.47</v>
      </c>
      <c r="E15" s="268"/>
      <c r="F15" s="268">
        <v>-123.06</v>
      </c>
      <c r="G15" s="268">
        <v>0</v>
      </c>
      <c r="H15" s="268">
        <v>200</v>
      </c>
      <c r="I15" s="268"/>
      <c r="J15" s="268">
        <v>800</v>
      </c>
      <c r="K15" s="268">
        <v>-432.56</v>
      </c>
      <c r="L15" s="268">
        <v>-100</v>
      </c>
      <c r="M15" s="268">
        <v>-147.21</v>
      </c>
      <c r="N15" s="268">
        <v>-13.78</v>
      </c>
      <c r="O15" s="268">
        <v>-12.74</v>
      </c>
      <c r="P15" s="268">
        <v>486.45</v>
      </c>
      <c r="Q15" s="268">
        <v>-4</v>
      </c>
      <c r="R15" s="268">
        <v>-5.22</v>
      </c>
      <c r="S15" s="268">
        <v>-35</v>
      </c>
      <c r="T15" s="268">
        <v>4377.3099999999995</v>
      </c>
      <c r="U15" s="268">
        <v>-248.50000000000006</v>
      </c>
      <c r="V15" s="268"/>
      <c r="W15" s="268"/>
      <c r="X15" s="268">
        <v>-87.47</v>
      </c>
      <c r="Y15" s="268">
        <v>274</v>
      </c>
      <c r="Z15" s="268">
        <v>-10</v>
      </c>
      <c r="AA15" s="268"/>
      <c r="AB15" s="268"/>
      <c r="AC15" s="268">
        <v>-345</v>
      </c>
      <c r="AD15" s="268">
        <v>-21</v>
      </c>
      <c r="AE15" s="268">
        <v>-194.54999999999998</v>
      </c>
      <c r="AF15" s="268">
        <v>-65.62</v>
      </c>
      <c r="AG15" s="268">
        <v>3875.869999999999</v>
      </c>
    </row>
    <row r="16" spans="1:33">
      <c r="A16"/>
      <c r="B16" t="s">
        <v>808</v>
      </c>
      <c r="C16" s="268">
        <v>-352.90000000000003</v>
      </c>
      <c r="D16" s="268">
        <v>-763.43999999999994</v>
      </c>
      <c r="E16" s="268"/>
      <c r="F16" s="268">
        <v>-98.92</v>
      </c>
      <c r="G16" s="268">
        <v>0</v>
      </c>
      <c r="H16" s="268">
        <v>72.650000000000006</v>
      </c>
      <c r="I16" s="268">
        <v>-10.95</v>
      </c>
      <c r="J16" s="268">
        <v>800</v>
      </c>
      <c r="K16" s="268">
        <v>-500.32</v>
      </c>
      <c r="L16" s="268">
        <v>-171.76</v>
      </c>
      <c r="M16" s="268">
        <v>-126.5</v>
      </c>
      <c r="N16" s="268"/>
      <c r="O16" s="268"/>
      <c r="P16" s="268">
        <v>-1214.5199999999998</v>
      </c>
      <c r="Q16" s="268">
        <v>-55.5</v>
      </c>
      <c r="R16" s="268">
        <v>-5.22</v>
      </c>
      <c r="S16" s="268">
        <v>-35</v>
      </c>
      <c r="T16" s="268">
        <v>4144.09</v>
      </c>
      <c r="U16" s="268">
        <v>-181.53000000000014</v>
      </c>
      <c r="V16" s="268"/>
      <c r="W16" s="268"/>
      <c r="X16" s="268">
        <v>-128.83000000000001</v>
      </c>
      <c r="Y16" s="268"/>
      <c r="Z16" s="268">
        <v>-90</v>
      </c>
      <c r="AA16" s="268"/>
      <c r="AB16" s="268"/>
      <c r="AC16" s="268"/>
      <c r="AD16" s="268">
        <v>-21</v>
      </c>
      <c r="AE16" s="268">
        <v>-151.19999999999999</v>
      </c>
      <c r="AF16" s="268">
        <v>-123.87</v>
      </c>
      <c r="AG16" s="268">
        <v>985.28000000000031</v>
      </c>
    </row>
    <row r="17" spans="1:33">
      <c r="A17"/>
      <c r="B17" t="s">
        <v>809</v>
      </c>
      <c r="C17" s="268">
        <v>-224.8</v>
      </c>
      <c r="D17" s="268"/>
      <c r="E17" s="268"/>
      <c r="F17" s="268">
        <v>-223.07999999999998</v>
      </c>
      <c r="G17" s="268">
        <v>0</v>
      </c>
      <c r="H17" s="268">
        <v>783.27</v>
      </c>
      <c r="I17" s="268">
        <v>-52.6</v>
      </c>
      <c r="J17" s="268">
        <v>800</v>
      </c>
      <c r="K17" s="268">
        <v>-613.66</v>
      </c>
      <c r="L17" s="268">
        <v>-205.88</v>
      </c>
      <c r="M17" s="268">
        <v>-134.22</v>
      </c>
      <c r="N17" s="268">
        <v>-13.46</v>
      </c>
      <c r="O17" s="268">
        <v>4466.37</v>
      </c>
      <c r="P17" s="268">
        <v>1208.6500000000001</v>
      </c>
      <c r="Q17" s="268">
        <v>-148.4</v>
      </c>
      <c r="R17" s="268"/>
      <c r="S17" s="268">
        <v>-35</v>
      </c>
      <c r="T17" s="268">
        <v>4723.6399999999994</v>
      </c>
      <c r="U17" s="268">
        <v>-429.54000000000008</v>
      </c>
      <c r="V17" s="268"/>
      <c r="W17" s="268"/>
      <c r="X17" s="268">
        <v>-84.98</v>
      </c>
      <c r="Y17" s="268">
        <v>218</v>
      </c>
      <c r="Z17" s="268">
        <v>-30</v>
      </c>
      <c r="AA17" s="268"/>
      <c r="AB17" s="268">
        <v>-273.89</v>
      </c>
      <c r="AC17" s="268"/>
      <c r="AD17" s="268">
        <v>-28.25</v>
      </c>
      <c r="AE17" s="268"/>
      <c r="AF17" s="268">
        <v>-42.86</v>
      </c>
      <c r="AG17" s="268">
        <v>9659.31</v>
      </c>
    </row>
    <row r="18" spans="1:33">
      <c r="A18"/>
      <c r="B18" t="s">
        <v>810</v>
      </c>
      <c r="C18" s="268">
        <v>-153.17000000000002</v>
      </c>
      <c r="D18" s="268"/>
      <c r="E18" s="268">
        <v>-101.13</v>
      </c>
      <c r="F18" s="268">
        <v>-158.43</v>
      </c>
      <c r="G18" s="268">
        <v>0</v>
      </c>
      <c r="H18" s="268">
        <v>726.49</v>
      </c>
      <c r="I18" s="268">
        <v>-20.14</v>
      </c>
      <c r="J18" s="268">
        <v>800</v>
      </c>
      <c r="K18" s="268">
        <v>-464.25999999999993</v>
      </c>
      <c r="L18" s="268">
        <v>-100</v>
      </c>
      <c r="M18" s="268">
        <v>-126.75</v>
      </c>
      <c r="N18" s="268"/>
      <c r="O18" s="268">
        <v>-1182.7</v>
      </c>
      <c r="P18" s="268">
        <v>825.48</v>
      </c>
      <c r="Q18" s="268">
        <v>-111</v>
      </c>
      <c r="R18" s="268"/>
      <c r="S18" s="268">
        <v>-35</v>
      </c>
      <c r="T18" s="268">
        <v>3918.39</v>
      </c>
      <c r="U18" s="268">
        <v>-487.15000000000015</v>
      </c>
      <c r="V18" s="268"/>
      <c r="W18" s="268"/>
      <c r="X18" s="268">
        <v>-376.37</v>
      </c>
      <c r="Y18" s="268">
        <v>100.12</v>
      </c>
      <c r="Z18" s="268">
        <v>-182</v>
      </c>
      <c r="AA18" s="268"/>
      <c r="AB18" s="268"/>
      <c r="AC18" s="268"/>
      <c r="AD18" s="268">
        <v>-23.85</v>
      </c>
      <c r="AE18" s="268">
        <v>-73.150000000000006</v>
      </c>
      <c r="AF18" s="268">
        <v>-139.99</v>
      </c>
      <c r="AG18" s="268">
        <v>2635.3899999999994</v>
      </c>
    </row>
    <row r="19" spans="1:33" ht="12.75" customHeight="1">
      <c r="A19"/>
      <c r="B19" t="s">
        <v>811</v>
      </c>
      <c r="C19" s="268">
        <v>-287.73</v>
      </c>
      <c r="D19" s="268"/>
      <c r="E19" s="268"/>
      <c r="F19" s="268">
        <v>-105.55</v>
      </c>
      <c r="G19" s="268">
        <v>0</v>
      </c>
      <c r="H19" s="268">
        <v>1322.1100000000001</v>
      </c>
      <c r="I19" s="268">
        <v>-90</v>
      </c>
      <c r="J19" s="268">
        <v>800</v>
      </c>
      <c r="K19" s="268">
        <v>-668.52</v>
      </c>
      <c r="L19" s="268">
        <v>-285.42</v>
      </c>
      <c r="M19" s="268">
        <v>-114.5</v>
      </c>
      <c r="N19" s="268">
        <v>-76.5</v>
      </c>
      <c r="O19" s="268"/>
      <c r="P19" s="268">
        <v>1990.3200000000008</v>
      </c>
      <c r="Q19" s="268">
        <v>-41</v>
      </c>
      <c r="R19" s="268"/>
      <c r="S19" s="268">
        <v>-35.1</v>
      </c>
      <c r="T19" s="268">
        <v>8063.33</v>
      </c>
      <c r="U19" s="268">
        <v>-339.49</v>
      </c>
      <c r="V19" s="268"/>
      <c r="W19" s="268"/>
      <c r="X19" s="268">
        <v>-762.86</v>
      </c>
      <c r="Y19" s="268">
        <v>63</v>
      </c>
      <c r="Z19" s="268">
        <v>-305</v>
      </c>
      <c r="AA19" s="268"/>
      <c r="AB19" s="268"/>
      <c r="AC19" s="268"/>
      <c r="AD19" s="268">
        <v>-80.97999999999999</v>
      </c>
      <c r="AE19" s="268">
        <v>-466.61000000000007</v>
      </c>
      <c r="AF19" s="268">
        <v>2.6900000000000013</v>
      </c>
      <c r="AG19" s="268">
        <v>8582.19</v>
      </c>
    </row>
    <row r="20" spans="1:33">
      <c r="A20" t="s">
        <v>812</v>
      </c>
      <c r="B20"/>
      <c r="C20" s="268"/>
      <c r="D20" s="268"/>
      <c r="E20" s="268"/>
      <c r="F20" s="268"/>
      <c r="G20" s="268"/>
      <c r="H20" s="268"/>
      <c r="I20" s="268"/>
      <c r="J20" s="268"/>
      <c r="K20" s="268"/>
      <c r="L20" s="268"/>
      <c r="M20" s="268"/>
      <c r="N20" s="268"/>
      <c r="O20" s="268"/>
      <c r="P20" s="268"/>
      <c r="Q20" s="268"/>
      <c r="R20" s="268"/>
      <c r="S20" s="268"/>
      <c r="T20" s="268"/>
      <c r="U20" s="268"/>
      <c r="V20" s="268"/>
      <c r="W20" s="268"/>
      <c r="X20" s="268"/>
      <c r="Y20" s="268"/>
      <c r="Z20" s="268"/>
      <c r="AA20" s="268"/>
      <c r="AB20" s="268"/>
      <c r="AC20" s="268"/>
      <c r="AD20" s="268"/>
      <c r="AE20" s="268"/>
      <c r="AF20" s="268"/>
      <c r="AG20" s="268"/>
    </row>
    <row r="21" spans="1:33">
      <c r="A21"/>
      <c r="B21" t="s">
        <v>800</v>
      </c>
      <c r="C21" s="268">
        <v>-72.849999999999994</v>
      </c>
      <c r="D21" s="268">
        <v>-471.57</v>
      </c>
      <c r="E21" s="268"/>
      <c r="F21" s="268">
        <v>-47.8</v>
      </c>
      <c r="G21" s="268">
        <v>0</v>
      </c>
      <c r="H21" s="268">
        <v>336.67</v>
      </c>
      <c r="I21" s="268"/>
      <c r="J21" s="268">
        <v>800</v>
      </c>
      <c r="K21" s="268">
        <v>-252.44000000000003</v>
      </c>
      <c r="L21" s="268">
        <v>-258.72000000000003</v>
      </c>
      <c r="M21" s="268">
        <v>-93.5</v>
      </c>
      <c r="N21" s="268"/>
      <c r="O21" s="268"/>
      <c r="P21" s="268">
        <v>212.51000000000013</v>
      </c>
      <c r="Q21" s="268">
        <v>22</v>
      </c>
      <c r="R21" s="268"/>
      <c r="S21" s="268">
        <v>-35</v>
      </c>
      <c r="T21" s="268"/>
      <c r="U21" s="268">
        <v>-84.550000000000011</v>
      </c>
      <c r="V21" s="268"/>
      <c r="W21" s="268"/>
      <c r="X21" s="268">
        <v>-11.29</v>
      </c>
      <c r="Y21" s="268">
        <v>100</v>
      </c>
      <c r="Z21" s="268"/>
      <c r="AA21" s="268"/>
      <c r="AB21" s="268"/>
      <c r="AC21" s="268"/>
      <c r="AD21" s="268">
        <v>-21</v>
      </c>
      <c r="AE21" s="268"/>
      <c r="AF21" s="268">
        <v>14.490000000000002</v>
      </c>
      <c r="AG21" s="268">
        <v>136.9500000000001</v>
      </c>
    </row>
    <row r="22" spans="1:33">
      <c r="A22" t="s">
        <v>798</v>
      </c>
      <c r="B22"/>
      <c r="C22" s="268">
        <v>-2850.4400000000005</v>
      </c>
      <c r="D22" s="268">
        <v>-1276.48</v>
      </c>
      <c r="E22" s="268">
        <v>-233.35999999999999</v>
      </c>
      <c r="F22" s="268">
        <v>-1763.67</v>
      </c>
      <c r="G22" s="268">
        <v>0</v>
      </c>
      <c r="H22" s="268">
        <v>8027.0500000000011</v>
      </c>
      <c r="I22" s="268">
        <v>-660.17</v>
      </c>
      <c r="J22" s="268">
        <v>10400</v>
      </c>
      <c r="K22" s="268">
        <v>-6145.28</v>
      </c>
      <c r="L22" s="268">
        <v>-2298.1000000000004</v>
      </c>
      <c r="M22" s="268">
        <v>-1690.07</v>
      </c>
      <c r="N22" s="268">
        <v>-160.46</v>
      </c>
      <c r="O22" s="268">
        <v>893.22</v>
      </c>
      <c r="P22" s="268">
        <v>5043.0700000000015</v>
      </c>
      <c r="Q22" s="268">
        <v>-511.4</v>
      </c>
      <c r="R22" s="268">
        <v>-70.69</v>
      </c>
      <c r="S22" s="268">
        <v>-455.40000000000003</v>
      </c>
      <c r="T22" s="268">
        <v>56834.69</v>
      </c>
      <c r="U22" s="268">
        <v>-4244.41</v>
      </c>
      <c r="V22" s="268">
        <v>-1559.6</v>
      </c>
      <c r="W22" s="268">
        <v>822.5</v>
      </c>
      <c r="X22" s="268">
        <v>-1517.3000000000002</v>
      </c>
      <c r="Y22" s="268">
        <v>825.38</v>
      </c>
      <c r="Z22" s="268">
        <v>-1045.5</v>
      </c>
      <c r="AA22" s="268">
        <v>-558.84</v>
      </c>
      <c r="AB22" s="268">
        <v>-1126.9499999999998</v>
      </c>
      <c r="AC22" s="268">
        <v>-3618.36</v>
      </c>
      <c r="AD22" s="268">
        <v>-475.03</v>
      </c>
      <c r="AE22" s="268">
        <v>-6308.8499999999995</v>
      </c>
      <c r="AF22" s="268">
        <v>-1121.0450000000001</v>
      </c>
      <c r="AG22" s="268">
        <v>43154.504999999997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8CCFD"/>
  </sheetPr>
  <dimension ref="B2:P32"/>
  <sheetViews>
    <sheetView zoomScaleNormal="100" workbookViewId="0">
      <selection activeCell="E19" sqref="E19"/>
    </sheetView>
  </sheetViews>
  <sheetFormatPr defaultColWidth="11.5703125" defaultRowHeight="14.25"/>
  <cols>
    <col min="1" max="1" width="2.5703125" style="2" customWidth="1"/>
    <col min="2" max="2" width="3.7109375" style="2" customWidth="1"/>
    <col min="3" max="3" width="14.5703125" style="2" customWidth="1"/>
    <col min="4" max="4" width="13.7109375" style="2" customWidth="1"/>
    <col min="5" max="5" width="12.28515625" style="2" customWidth="1"/>
    <col min="6" max="6" width="10.140625" style="2" customWidth="1"/>
    <col min="7" max="7" width="12.42578125" style="2" customWidth="1"/>
    <col min="8" max="8" width="13.7109375" style="2" customWidth="1"/>
    <col min="9" max="9" width="2.42578125" style="2" customWidth="1"/>
    <col min="10" max="10" width="3.7109375" style="2" customWidth="1"/>
    <col min="11" max="11" width="14.5703125" style="2" customWidth="1"/>
    <col min="12" max="12" width="13.7109375" style="2" customWidth="1"/>
    <col min="13" max="13" width="9.7109375" style="2" customWidth="1"/>
    <col min="14" max="14" width="12" style="2" customWidth="1"/>
    <col min="15" max="15" width="12.42578125" style="2" customWidth="1"/>
    <col min="16" max="16" width="13.7109375" style="2" customWidth="1"/>
    <col min="17" max="16384" width="11.5703125" style="2"/>
  </cols>
  <sheetData>
    <row r="2" spans="2:16" s="187" customFormat="1" ht="15">
      <c r="B2" s="278" t="s">
        <v>779</v>
      </c>
      <c r="C2" s="278"/>
      <c r="D2" s="188" t="s">
        <v>813</v>
      </c>
      <c r="E2" s="279" t="s">
        <v>425</v>
      </c>
      <c r="F2" s="279"/>
      <c r="G2" s="189" t="s">
        <v>814</v>
      </c>
      <c r="H2" s="190" t="s">
        <v>815</v>
      </c>
      <c r="J2" s="280" t="s">
        <v>780</v>
      </c>
      <c r="K2" s="280"/>
      <c r="L2" s="188" t="s">
        <v>813</v>
      </c>
      <c r="M2" s="279" t="s">
        <v>425</v>
      </c>
      <c r="N2" s="279"/>
      <c r="O2" s="188" t="s">
        <v>814</v>
      </c>
      <c r="P2" s="269" t="s">
        <v>815</v>
      </c>
    </row>
    <row r="3" spans="2:16" ht="18" customHeight="1">
      <c r="B3" s="281" t="s">
        <v>816</v>
      </c>
      <c r="C3" s="191" t="s">
        <v>40</v>
      </c>
      <c r="D3" s="192">
        <f>861.46+526.09+953.9+189.18+64.38</f>
        <v>2595.0100000000002</v>
      </c>
      <c r="E3" s="193">
        <v>0.19059999999999999</v>
      </c>
      <c r="F3" s="194">
        <f>+D3*E3</f>
        <v>494.60890600000005</v>
      </c>
      <c r="G3" s="195">
        <v>148.07</v>
      </c>
      <c r="H3" s="196">
        <f>+D3-F3-G3</f>
        <v>1952.3310940000003</v>
      </c>
      <c r="I3" s="24"/>
      <c r="J3" s="282" t="s">
        <v>816</v>
      </c>
      <c r="K3" s="191" t="s">
        <v>40</v>
      </c>
      <c r="L3" s="192">
        <v>2595.58</v>
      </c>
      <c r="M3" s="193">
        <v>0.18909999999999999</v>
      </c>
      <c r="N3" s="194">
        <f>+L3*M3</f>
        <v>490.82417799999996</v>
      </c>
      <c r="O3" s="25">
        <f>146.19+3.03</f>
        <v>149.22</v>
      </c>
      <c r="P3" s="197">
        <f>+L3-N3-O3</f>
        <v>1955.5358220000001</v>
      </c>
    </row>
    <row r="4" spans="2:16" ht="15.75" customHeight="1">
      <c r="B4" s="281"/>
      <c r="C4" s="198" t="s">
        <v>118</v>
      </c>
      <c r="D4" s="199">
        <f>861.46+526.09+953.9+220.71+64.38</f>
        <v>2626.5400000000004</v>
      </c>
      <c r="E4" s="200">
        <v>0.19170000000000001</v>
      </c>
      <c r="F4" s="201">
        <f>+D4*E4</f>
        <v>503.50771800000012</v>
      </c>
      <c r="G4" s="195">
        <v>149.86000000000001</v>
      </c>
      <c r="H4" s="196">
        <f>+D4-F4-G4</f>
        <v>1973.172282</v>
      </c>
      <c r="I4" s="24"/>
      <c r="J4" s="282"/>
      <c r="K4" s="198" t="s">
        <v>118</v>
      </c>
      <c r="L4" s="199">
        <v>2595.58</v>
      </c>
      <c r="M4" s="200">
        <v>0.18909999999999999</v>
      </c>
      <c r="N4" s="201">
        <v>490.82</v>
      </c>
      <c r="O4" s="195">
        <f>146.19+3.03</f>
        <v>149.22</v>
      </c>
      <c r="P4" s="196">
        <f>+L4-N4-O4</f>
        <v>1955.5399999999997</v>
      </c>
    </row>
    <row r="5" spans="2:16" ht="15.75" customHeight="1">
      <c r="B5" s="281"/>
      <c r="C5" s="198" t="s">
        <v>196</v>
      </c>
      <c r="D5" s="199">
        <f>861.46+526.09+953.9+220.71+64.38</f>
        <v>2626.5400000000004</v>
      </c>
      <c r="E5" s="200">
        <v>0.19170000000000001</v>
      </c>
      <c r="F5" s="201">
        <f>+D5*E5</f>
        <v>503.50771800000012</v>
      </c>
      <c r="G5" s="195">
        <v>149.86000000000001</v>
      </c>
      <c r="H5" s="196">
        <f>+D5-F5-G5</f>
        <v>1973.172282</v>
      </c>
      <c r="I5" s="24"/>
      <c r="J5" s="282"/>
      <c r="K5" s="198" t="s">
        <v>196</v>
      </c>
      <c r="L5" s="199">
        <v>2595.58</v>
      </c>
      <c r="M5" s="200">
        <v>0.18909999999999999</v>
      </c>
      <c r="N5" s="201">
        <v>490.82</v>
      </c>
      <c r="O5" s="195">
        <f>146.19+3.03</f>
        <v>149.22</v>
      </c>
      <c r="P5" s="196">
        <f>+L5-N5-O5</f>
        <v>1955.5399999999997</v>
      </c>
    </row>
    <row r="6" spans="2:16" ht="15.75" customHeight="1">
      <c r="B6" s="281"/>
      <c r="C6" s="198" t="s">
        <v>257</v>
      </c>
      <c r="D6" s="199">
        <f>861.46+526.09+953.9+220.71+64.38</f>
        <v>2626.5400000000004</v>
      </c>
      <c r="E6" s="200">
        <v>0.19170000000000001</v>
      </c>
      <c r="F6" s="201">
        <f>+D6*E6</f>
        <v>503.50771800000012</v>
      </c>
      <c r="G6" s="195">
        <v>149.86000000000001</v>
      </c>
      <c r="H6" s="196">
        <f>+D6-F6-G6</f>
        <v>1973.172282</v>
      </c>
      <c r="I6" s="24"/>
      <c r="J6" s="282"/>
      <c r="K6" s="198" t="s">
        <v>257</v>
      </c>
      <c r="L6" s="199">
        <v>2595.58</v>
      </c>
      <c r="M6" s="200">
        <v>0.18909999999999999</v>
      </c>
      <c r="N6" s="201">
        <v>490.82</v>
      </c>
      <c r="O6" s="195">
        <f>146.19+3.03</f>
        <v>149.22</v>
      </c>
      <c r="P6" s="196">
        <f>+L6-N6-O6</f>
        <v>1955.5399999999997</v>
      </c>
    </row>
    <row r="7" spans="2:16" ht="15.75" customHeight="1">
      <c r="B7" s="281"/>
      <c r="C7" s="198" t="s">
        <v>318</v>
      </c>
      <c r="D7" s="199">
        <f>861.46+526.09+953.9+220.71+64.38</f>
        <v>2626.5400000000004</v>
      </c>
      <c r="E7" s="200">
        <v>0.19170000000000001</v>
      </c>
      <c r="F7" s="201">
        <f>+D7*E7</f>
        <v>503.50771800000012</v>
      </c>
      <c r="G7" s="195">
        <v>149.86000000000001</v>
      </c>
      <c r="H7" s="196">
        <f>+D7-F7-G7</f>
        <v>1973.172282</v>
      </c>
      <c r="I7" s="24"/>
      <c r="J7" s="282"/>
      <c r="K7" s="198" t="s">
        <v>318</v>
      </c>
      <c r="L7" s="199">
        <v>2595.58</v>
      </c>
      <c r="M7" s="200">
        <v>0.18909999999999999</v>
      </c>
      <c r="N7" s="201">
        <v>490.82</v>
      </c>
      <c r="O7" s="195">
        <f>146.19+3.03</f>
        <v>149.22</v>
      </c>
      <c r="P7" s="196">
        <f>+L7-N7-O7</f>
        <v>1955.5399999999997</v>
      </c>
    </row>
    <row r="8" spans="2:16" ht="15.75" customHeight="1">
      <c r="B8" s="281"/>
      <c r="C8" s="198" t="s">
        <v>380</v>
      </c>
      <c r="D8" s="199">
        <f>861.46+526.09+953.9+220.71+64.38+(744.56+254.19+526.09+953.9)+((18.03))</f>
        <v>5123.3100000000004</v>
      </c>
      <c r="E8" s="200">
        <v>0.19159999999999999</v>
      </c>
      <c r="F8" s="201">
        <f>(+D8-18.03)*E8</f>
        <v>978.17164800000012</v>
      </c>
      <c r="G8" s="195">
        <v>150.75</v>
      </c>
      <c r="H8" s="196">
        <f>+D8-F8-G8</f>
        <v>3994.3883519999999</v>
      </c>
      <c r="I8" s="24"/>
      <c r="J8" s="282"/>
      <c r="K8" s="198" t="s">
        <v>380</v>
      </c>
      <c r="L8" s="199">
        <v>5182.8599999999997</v>
      </c>
      <c r="M8" s="200">
        <v>0.18909999999999999</v>
      </c>
      <c r="N8" s="201">
        <v>980.08</v>
      </c>
      <c r="O8" s="195">
        <f>146.19+3.03</f>
        <v>149.22</v>
      </c>
      <c r="P8" s="196">
        <f>+L8-N8-O8</f>
        <v>4053.56</v>
      </c>
    </row>
    <row r="9" spans="2:16" ht="15.75" customHeight="1">
      <c r="B9" s="281"/>
      <c r="C9" s="198" t="s">
        <v>427</v>
      </c>
      <c r="D9" s="199">
        <f>861.46+526.09+953.9+220.71+64.38</f>
        <v>2626.5400000000004</v>
      </c>
      <c r="E9" s="200">
        <v>0.19170000000000001</v>
      </c>
      <c r="F9" s="201">
        <f>+D9*E9</f>
        <v>503.50771800000012</v>
      </c>
      <c r="G9" s="195">
        <v>149.86000000000001</v>
      </c>
      <c r="H9" s="196">
        <f>+D9-F9-G9</f>
        <v>1973.172282</v>
      </c>
      <c r="I9" s="24"/>
      <c r="J9" s="282"/>
      <c r="K9" s="198" t="s">
        <v>427</v>
      </c>
      <c r="L9" s="199">
        <v>2608.34</v>
      </c>
      <c r="M9" s="200">
        <v>0.18970000000000001</v>
      </c>
      <c r="N9" s="201">
        <v>494.8</v>
      </c>
      <c r="O9" s="195">
        <f>146.41+3.03</f>
        <v>149.44</v>
      </c>
      <c r="P9" s="196">
        <f>+L9-N9-O9</f>
        <v>1964.1</v>
      </c>
    </row>
    <row r="10" spans="2:16" ht="15.75" customHeight="1">
      <c r="B10" s="281"/>
      <c r="C10" s="198" t="s">
        <v>817</v>
      </c>
      <c r="D10" s="199">
        <f>861.46+526.09+953.9+220.71+64.38+569.56</f>
        <v>3196.1000000000004</v>
      </c>
      <c r="E10" s="200">
        <v>0.18920000000000001</v>
      </c>
      <c r="F10" s="201">
        <f>+D10*E10</f>
        <v>604.70212000000004</v>
      </c>
      <c r="G10" s="195">
        <v>177.94</v>
      </c>
      <c r="H10" s="196">
        <f>+D10-F10-G10</f>
        <v>2413.4578800000004</v>
      </c>
      <c r="I10" s="24"/>
      <c r="J10" s="282"/>
      <c r="K10" s="198" t="s">
        <v>817</v>
      </c>
      <c r="L10" s="199">
        <v>2608.34</v>
      </c>
      <c r="M10" s="200">
        <v>0.18959999999999999</v>
      </c>
      <c r="N10" s="201">
        <v>494.54</v>
      </c>
      <c r="O10" s="195">
        <f>146.91+3.04</f>
        <v>149.94999999999999</v>
      </c>
      <c r="P10" s="196">
        <f>+L10-N10-O10</f>
        <v>1963.8500000000001</v>
      </c>
    </row>
    <row r="11" spans="2:16" ht="15.75" customHeight="1">
      <c r="B11" s="281"/>
      <c r="C11" s="198" t="s">
        <v>818</v>
      </c>
      <c r="D11" s="199">
        <f>865.68+528.66+958.58+221.76+64.71</f>
        <v>2639.3900000000003</v>
      </c>
      <c r="E11" s="200">
        <v>0.19209999999999999</v>
      </c>
      <c r="F11" s="201">
        <f>+D11*E11</f>
        <v>507.02681900000005</v>
      </c>
      <c r="G11" s="195">
        <v>150.58000000000001</v>
      </c>
      <c r="H11" s="196">
        <f>+D11-F11-G11</f>
        <v>1981.7831810000002</v>
      </c>
      <c r="I11" s="24"/>
      <c r="J11" s="282"/>
      <c r="K11" s="198" t="s">
        <v>818</v>
      </c>
      <c r="L11" s="199">
        <v>2608.34</v>
      </c>
      <c r="M11" s="200">
        <v>0.19159999999999999</v>
      </c>
      <c r="N11" s="201">
        <v>499.76</v>
      </c>
      <c r="O11" s="195">
        <f>146.91+3.04</f>
        <v>149.94999999999999</v>
      </c>
      <c r="P11" s="196">
        <f>+L11-N11-O11</f>
        <v>1958.6299999999999</v>
      </c>
    </row>
    <row r="12" spans="2:16" ht="15.75" customHeight="1">
      <c r="B12" s="281"/>
      <c r="C12" s="198" t="s">
        <v>819</v>
      </c>
      <c r="D12" s="199">
        <f>865.68+528.66+958.58+221.76+64.71</f>
        <v>2639.3900000000003</v>
      </c>
      <c r="E12" s="200">
        <v>0.19209999999999999</v>
      </c>
      <c r="F12" s="201">
        <f>+D12*E12</f>
        <v>507.02681900000005</v>
      </c>
      <c r="G12" s="195">
        <v>150.58000000000001</v>
      </c>
      <c r="H12" s="196">
        <f>+D12-F12-G12</f>
        <v>1981.7831810000002</v>
      </c>
      <c r="I12" s="24"/>
      <c r="J12" s="282"/>
      <c r="K12" s="198" t="s">
        <v>820</v>
      </c>
      <c r="L12" s="199">
        <v>267.63</v>
      </c>
      <c r="M12" s="200"/>
      <c r="N12" s="201">
        <v>50.81</v>
      </c>
      <c r="O12" s="195">
        <f>12.96+0.18</f>
        <v>13.14</v>
      </c>
      <c r="P12" s="196">
        <f>+L12-N12-O12</f>
        <v>203.68</v>
      </c>
    </row>
    <row r="13" spans="2:16" ht="15.75" customHeight="1">
      <c r="B13" s="281"/>
      <c r="C13" s="198" t="s">
        <v>821</v>
      </c>
      <c r="D13" s="199">
        <v>304.93</v>
      </c>
      <c r="E13" s="200">
        <v>0.16600000000000001</v>
      </c>
      <c r="F13" s="201">
        <f>+D13*E13</f>
        <v>50.618380000000002</v>
      </c>
      <c r="G13" s="195">
        <v>14.09</v>
      </c>
      <c r="H13" s="196">
        <f>+D13-F13-G13</f>
        <v>240.22162</v>
      </c>
      <c r="I13" s="24"/>
      <c r="J13" s="282"/>
      <c r="K13" s="198" t="s">
        <v>819</v>
      </c>
      <c r="L13" s="199">
        <v>3358.34</v>
      </c>
      <c r="M13" s="200">
        <v>0.1973</v>
      </c>
      <c r="N13" s="201">
        <v>662.6</v>
      </c>
      <c r="O13" s="195">
        <f>153.91+3.19</f>
        <v>157.1</v>
      </c>
      <c r="P13" s="196">
        <f>+L13-N13-O13-37</f>
        <v>2501.6400000000003</v>
      </c>
    </row>
    <row r="14" spans="2:16" ht="15.75" customHeight="1">
      <c r="B14" s="281"/>
      <c r="C14" s="198" t="s">
        <v>822</v>
      </c>
      <c r="D14" s="199">
        <f>865.68+528.66+958.58+221.76+64.71</f>
        <v>2639.3900000000003</v>
      </c>
      <c r="E14" s="200">
        <v>0.19209999999999999</v>
      </c>
      <c r="F14" s="201">
        <f>+D14*E14</f>
        <v>507.02681900000005</v>
      </c>
      <c r="G14" s="195">
        <v>150.58000000000001</v>
      </c>
      <c r="H14" s="196">
        <f>+D14-F14-G14</f>
        <v>1981.7831810000002</v>
      </c>
      <c r="I14" s="24"/>
      <c r="J14" s="282"/>
      <c r="K14" s="198" t="s">
        <v>822</v>
      </c>
      <c r="L14" s="199">
        <v>2608.34</v>
      </c>
      <c r="M14" s="200">
        <v>0.1973</v>
      </c>
      <c r="N14" s="201">
        <v>514.63</v>
      </c>
      <c r="O14" s="195">
        <f>153.91+3.19</f>
        <v>157.1</v>
      </c>
      <c r="P14" s="196">
        <f>+L14-N14-O14</f>
        <v>1936.6100000000001</v>
      </c>
    </row>
    <row r="15" spans="2:16" ht="15">
      <c r="B15" s="281"/>
      <c r="C15" s="198" t="s">
        <v>48</v>
      </c>
      <c r="D15" s="199">
        <f>865.68+528.66+958.58+221.76+64.71+(748.21+255.43+528.66+958.58)</f>
        <v>5130.2700000000004</v>
      </c>
      <c r="E15" s="200">
        <v>0.189</v>
      </c>
      <c r="F15" s="201">
        <f>+D15*E15</f>
        <v>969.62103000000013</v>
      </c>
      <c r="G15" s="195">
        <v>150.58000000000001</v>
      </c>
      <c r="H15" s="196">
        <f>+D15-F15-G15</f>
        <v>4010.0689700000003</v>
      </c>
      <c r="I15" s="24"/>
      <c r="J15" s="282"/>
      <c r="K15" s="202" t="s">
        <v>48</v>
      </c>
      <c r="L15" s="199">
        <v>5251.14</v>
      </c>
      <c r="M15" s="203">
        <v>0.19819999999999999</v>
      </c>
      <c r="N15" s="204">
        <v>1040.78</v>
      </c>
      <c r="O15" s="195">
        <f>153.91+3.19</f>
        <v>157.1</v>
      </c>
      <c r="P15" s="196">
        <f>+L15-N15-O15</f>
        <v>4053.2600000000007</v>
      </c>
    </row>
    <row r="16" spans="2:16" ht="15">
      <c r="B16" s="281"/>
      <c r="C16" s="205" t="s">
        <v>823</v>
      </c>
      <c r="D16" s="206">
        <f>SUM(D3:D15)</f>
        <v>37400.490000000005</v>
      </c>
      <c r="E16" s="283">
        <f>SUM(F3:F15)</f>
        <v>7136.3411310000001</v>
      </c>
      <c r="F16" s="283"/>
      <c r="G16" s="207">
        <f>SUM(G3:G15)</f>
        <v>1842.4699999999998</v>
      </c>
      <c r="H16" s="208">
        <f>SUM(H3:H15)</f>
        <v>28421.678868999996</v>
      </c>
      <c r="I16" s="24"/>
      <c r="K16" s="205" t="s">
        <v>823</v>
      </c>
      <c r="L16" s="206">
        <f>SUM(L3:L15)</f>
        <v>37471.230000000003</v>
      </c>
      <c r="M16" s="284">
        <f>SUM(N3:N15)</f>
        <v>7192.1041780000014</v>
      </c>
      <c r="N16" s="284"/>
      <c r="O16" s="206">
        <f>SUM(O3:O15)</f>
        <v>1829.1</v>
      </c>
      <c r="P16" s="208">
        <f>SUM(P3:P15)</f>
        <v>28413.025822000003</v>
      </c>
    </row>
    <row r="18" spans="2:16" ht="15">
      <c r="B18" s="278" t="s">
        <v>779</v>
      </c>
      <c r="C18" s="278"/>
      <c r="D18" s="188" t="s">
        <v>813</v>
      </c>
      <c r="E18" s="279" t="s">
        <v>425</v>
      </c>
      <c r="F18" s="279"/>
      <c r="G18" s="189" t="s">
        <v>814</v>
      </c>
      <c r="H18" s="190" t="s">
        <v>815</v>
      </c>
      <c r="I18" s="187"/>
      <c r="J18" s="280" t="s">
        <v>780</v>
      </c>
      <c r="K18" s="280"/>
      <c r="L18" s="188" t="s">
        <v>813</v>
      </c>
      <c r="M18" s="279" t="s">
        <v>425</v>
      </c>
      <c r="N18" s="279"/>
      <c r="O18" s="188" t="s">
        <v>814</v>
      </c>
      <c r="P18" s="269" t="s">
        <v>815</v>
      </c>
    </row>
    <row r="19" spans="2:16" ht="14.25" customHeight="1">
      <c r="B19" s="281" t="s">
        <v>824</v>
      </c>
      <c r="C19" s="191" t="s">
        <v>40</v>
      </c>
      <c r="D19" s="192"/>
      <c r="E19" s="193"/>
      <c r="F19" s="194">
        <f>+D19*E19</f>
        <v>0</v>
      </c>
      <c r="G19" s="194">
        <f>+E19*F19</f>
        <v>0</v>
      </c>
      <c r="H19" s="196">
        <f>+D19-F19-G19</f>
        <v>0</v>
      </c>
      <c r="I19" s="24"/>
      <c r="J19" s="282" t="s">
        <v>824</v>
      </c>
      <c r="K19" s="191" t="s">
        <v>40</v>
      </c>
      <c r="L19" s="192"/>
      <c r="M19" s="193"/>
      <c r="N19" s="194">
        <f>+L19*M19</f>
        <v>0</v>
      </c>
      <c r="O19" s="194">
        <f>+M19*N19</f>
        <v>0</v>
      </c>
      <c r="P19" s="197">
        <f>+L19-N19-O19</f>
        <v>0</v>
      </c>
    </row>
    <row r="20" spans="2:16" ht="14.25" customHeight="1">
      <c r="B20" s="281"/>
      <c r="C20" s="198" t="s">
        <v>118</v>
      </c>
      <c r="D20" s="199"/>
      <c r="E20" s="200"/>
      <c r="F20" s="201">
        <f>+D20*E20</f>
        <v>0</v>
      </c>
      <c r="G20" s="201">
        <f>+E20*F20</f>
        <v>0</v>
      </c>
      <c r="H20" s="196">
        <f>+D20-F20-G20</f>
        <v>0</v>
      </c>
      <c r="I20" s="24"/>
      <c r="J20" s="282"/>
      <c r="K20" s="198" t="s">
        <v>118</v>
      </c>
      <c r="L20" s="199"/>
      <c r="M20" s="200"/>
      <c r="N20" s="201">
        <f>+L20*M20</f>
        <v>0</v>
      </c>
      <c r="O20" s="201">
        <f>+M20*N20</f>
        <v>0</v>
      </c>
      <c r="P20" s="196">
        <f>+L20-N20-O20</f>
        <v>0</v>
      </c>
    </row>
    <row r="21" spans="2:16" ht="14.25" customHeight="1">
      <c r="B21" s="281"/>
      <c r="C21" s="198" t="s">
        <v>196</v>
      </c>
      <c r="D21" s="199"/>
      <c r="E21" s="200"/>
      <c r="F21" s="201">
        <f>+D21*E21</f>
        <v>0</v>
      </c>
      <c r="G21" s="201">
        <f>+E21*F21</f>
        <v>0</v>
      </c>
      <c r="H21" s="196">
        <f>+D21-F21-G21</f>
        <v>0</v>
      </c>
      <c r="I21" s="24"/>
      <c r="J21" s="282"/>
      <c r="K21" s="198" t="s">
        <v>196</v>
      </c>
      <c r="L21" s="199"/>
      <c r="M21" s="200"/>
      <c r="N21" s="201">
        <f>+L21*M21</f>
        <v>0</v>
      </c>
      <c r="O21" s="201">
        <f>+M21*N21</f>
        <v>0</v>
      </c>
      <c r="P21" s="196">
        <f>+L21-N21-O21</f>
        <v>0</v>
      </c>
    </row>
    <row r="22" spans="2:16" ht="14.25" customHeight="1">
      <c r="B22" s="281"/>
      <c r="C22" s="198" t="s">
        <v>257</v>
      </c>
      <c r="D22" s="199"/>
      <c r="E22" s="200"/>
      <c r="F22" s="201">
        <f>+D22*E22</f>
        <v>0</v>
      </c>
      <c r="G22" s="201">
        <f>+E22*F22</f>
        <v>0</v>
      </c>
      <c r="H22" s="196">
        <f>+D22-F22-G22</f>
        <v>0</v>
      </c>
      <c r="I22" s="24"/>
      <c r="J22" s="282"/>
      <c r="K22" s="198" t="s">
        <v>257</v>
      </c>
      <c r="L22" s="199"/>
      <c r="M22" s="200"/>
      <c r="N22" s="201">
        <f>+L22*M22</f>
        <v>0</v>
      </c>
      <c r="O22" s="201">
        <f>+M22*N22</f>
        <v>0</v>
      </c>
      <c r="P22" s="196">
        <f>+L22-N22-O22</f>
        <v>0</v>
      </c>
    </row>
    <row r="23" spans="2:16" ht="14.25" customHeight="1">
      <c r="B23" s="281"/>
      <c r="C23" s="198" t="s">
        <v>318</v>
      </c>
      <c r="D23" s="199"/>
      <c r="E23" s="200"/>
      <c r="F23" s="201">
        <f>+D23*E23</f>
        <v>0</v>
      </c>
      <c r="G23" s="201">
        <f>+E23*F23</f>
        <v>0</v>
      </c>
      <c r="H23" s="196">
        <f>+D23-F23-G23</f>
        <v>0</v>
      </c>
      <c r="I23" s="24"/>
      <c r="J23" s="282"/>
      <c r="K23" s="198" t="s">
        <v>318</v>
      </c>
      <c r="L23" s="199"/>
      <c r="M23" s="200"/>
      <c r="N23" s="201">
        <f>+L23*M23</f>
        <v>0</v>
      </c>
      <c r="O23" s="201">
        <f>+M23*N23</f>
        <v>0</v>
      </c>
      <c r="P23" s="196">
        <f>+L23-N23-O23</f>
        <v>0</v>
      </c>
    </row>
    <row r="24" spans="2:16" ht="14.25" customHeight="1">
      <c r="B24" s="281"/>
      <c r="C24" s="198" t="s">
        <v>380</v>
      </c>
      <c r="D24" s="199"/>
      <c r="E24" s="200"/>
      <c r="F24" s="201">
        <f>(+D24)*E24</f>
        <v>0</v>
      </c>
      <c r="G24" s="201">
        <f>(+E24)*F24</f>
        <v>0</v>
      </c>
      <c r="H24" s="196">
        <f>+D24-F24-G24</f>
        <v>0</v>
      </c>
      <c r="I24" s="24"/>
      <c r="J24" s="282"/>
      <c r="K24" s="198" t="s">
        <v>380</v>
      </c>
      <c r="L24" s="199"/>
      <c r="M24" s="200"/>
      <c r="N24" s="201">
        <f>(+L24)*M24</f>
        <v>0</v>
      </c>
      <c r="O24" s="201">
        <f>(+M24)*N24</f>
        <v>0</v>
      </c>
      <c r="P24" s="196">
        <f>+L24-N24-O24</f>
        <v>0</v>
      </c>
    </row>
    <row r="25" spans="2:16" ht="14.25" customHeight="1">
      <c r="B25" s="281"/>
      <c r="C25" s="198" t="s">
        <v>427</v>
      </c>
      <c r="D25" s="199"/>
      <c r="E25" s="200"/>
      <c r="F25" s="201">
        <f>+D25*E25</f>
        <v>0</v>
      </c>
      <c r="G25" s="201">
        <f>+E25*F25</f>
        <v>0</v>
      </c>
      <c r="H25" s="196">
        <f>+D25-F25-G25</f>
        <v>0</v>
      </c>
      <c r="I25" s="24"/>
      <c r="J25" s="282"/>
      <c r="K25" s="198" t="s">
        <v>427</v>
      </c>
      <c r="L25" s="199"/>
      <c r="M25" s="200"/>
      <c r="N25" s="201">
        <f>+L25*M25</f>
        <v>0</v>
      </c>
      <c r="O25" s="201">
        <f>+M25*N25</f>
        <v>0</v>
      </c>
      <c r="P25" s="196">
        <f>+L25-N25-O25</f>
        <v>0</v>
      </c>
    </row>
    <row r="26" spans="2:16" ht="14.25" customHeight="1">
      <c r="B26" s="281"/>
      <c r="C26" s="198" t="s">
        <v>817</v>
      </c>
      <c r="D26" s="199"/>
      <c r="E26" s="200"/>
      <c r="F26" s="201">
        <f>+D26*E26</f>
        <v>0</v>
      </c>
      <c r="G26" s="201">
        <f>+E26*F26</f>
        <v>0</v>
      </c>
      <c r="H26" s="196">
        <f>+D26-F26-G26</f>
        <v>0</v>
      </c>
      <c r="I26" s="24"/>
      <c r="J26" s="282"/>
      <c r="K26" s="198" t="s">
        <v>817</v>
      </c>
      <c r="L26" s="199"/>
      <c r="M26" s="200"/>
      <c r="N26" s="201">
        <f>+L26*M26</f>
        <v>0</v>
      </c>
      <c r="O26" s="201">
        <f>+M26*N26</f>
        <v>0</v>
      </c>
      <c r="P26" s="196">
        <f>+L26-N26-O26</f>
        <v>0</v>
      </c>
    </row>
    <row r="27" spans="2:16" ht="14.25" customHeight="1">
      <c r="B27" s="281"/>
      <c r="C27" s="198" t="s">
        <v>818</v>
      </c>
      <c r="D27" s="199"/>
      <c r="E27" s="200"/>
      <c r="F27" s="201">
        <f>+D27*E27</f>
        <v>0</v>
      </c>
      <c r="G27" s="201">
        <f>+E27*F27</f>
        <v>0</v>
      </c>
      <c r="H27" s="196">
        <f>+D27-F27-G27</f>
        <v>0</v>
      </c>
      <c r="I27" s="24"/>
      <c r="J27" s="282"/>
      <c r="K27" s="198" t="s">
        <v>818</v>
      </c>
      <c r="L27" s="199"/>
      <c r="M27" s="200"/>
      <c r="N27" s="201">
        <f>+L27*M27</f>
        <v>0</v>
      </c>
      <c r="O27" s="201">
        <f>+M27*N27</f>
        <v>0</v>
      </c>
      <c r="P27" s="196">
        <f>+L27-N27-O27</f>
        <v>0</v>
      </c>
    </row>
    <row r="28" spans="2:16" ht="14.25" customHeight="1">
      <c r="B28" s="281"/>
      <c r="C28" s="198" t="s">
        <v>819</v>
      </c>
      <c r="D28" s="199"/>
      <c r="E28" s="200"/>
      <c r="F28" s="201">
        <f>+D28*E28</f>
        <v>0</v>
      </c>
      <c r="G28" s="201">
        <f>+E28*F28</f>
        <v>0</v>
      </c>
      <c r="H28" s="196">
        <f>+D28-F28-G28</f>
        <v>0</v>
      </c>
      <c r="I28" s="24"/>
      <c r="J28" s="282"/>
      <c r="K28" s="198" t="s">
        <v>820</v>
      </c>
      <c r="L28" s="199"/>
      <c r="M28" s="200"/>
      <c r="N28" s="201">
        <f>+L28*M28</f>
        <v>0</v>
      </c>
      <c r="O28" s="201">
        <f>+M28*N28</f>
        <v>0</v>
      </c>
      <c r="P28" s="196">
        <f>+L28-N28-O28</f>
        <v>0</v>
      </c>
    </row>
    <row r="29" spans="2:16" ht="14.25" customHeight="1">
      <c r="B29" s="281"/>
      <c r="C29" s="198" t="s">
        <v>821</v>
      </c>
      <c r="D29" s="199"/>
      <c r="E29" s="200"/>
      <c r="F29" s="201">
        <f>+D29*E29</f>
        <v>0</v>
      </c>
      <c r="G29" s="201">
        <f>+E29*F29</f>
        <v>0</v>
      </c>
      <c r="H29" s="196">
        <f>+D29-F29-G29</f>
        <v>0</v>
      </c>
      <c r="I29" s="24"/>
      <c r="J29" s="282"/>
      <c r="K29" s="198" t="s">
        <v>819</v>
      </c>
      <c r="L29" s="199"/>
      <c r="M29" s="200"/>
      <c r="N29" s="201">
        <f>+L29*M29</f>
        <v>0</v>
      </c>
      <c r="O29" s="201">
        <f>+M29*N29</f>
        <v>0</v>
      </c>
      <c r="P29" s="196">
        <f>+L29-N29-O29</f>
        <v>0</v>
      </c>
    </row>
    <row r="30" spans="2:16" ht="14.25" customHeight="1">
      <c r="B30" s="281"/>
      <c r="C30" s="198" t="s">
        <v>822</v>
      </c>
      <c r="D30" s="199"/>
      <c r="E30" s="200"/>
      <c r="F30" s="201">
        <f>+D30*E30</f>
        <v>0</v>
      </c>
      <c r="G30" s="201">
        <f>+E30*F30</f>
        <v>0</v>
      </c>
      <c r="H30" s="196">
        <f>+D30-F30-G30</f>
        <v>0</v>
      </c>
      <c r="I30" s="24"/>
      <c r="J30" s="282"/>
      <c r="K30" s="198" t="s">
        <v>822</v>
      </c>
      <c r="L30" s="199"/>
      <c r="M30" s="200"/>
      <c r="N30" s="201">
        <f>+L30*M30</f>
        <v>0</v>
      </c>
      <c r="O30" s="201">
        <f>+M30*N30</f>
        <v>0</v>
      </c>
      <c r="P30" s="196">
        <f>+L30-N30-O30</f>
        <v>0</v>
      </c>
    </row>
    <row r="31" spans="2:16" ht="14.25" customHeight="1">
      <c r="B31" s="281"/>
      <c r="C31" s="198" t="s">
        <v>48</v>
      </c>
      <c r="D31" s="199"/>
      <c r="E31" s="200"/>
      <c r="F31" s="201">
        <f>+D31*E31</f>
        <v>0</v>
      </c>
      <c r="G31" s="201">
        <f>+E31*F31</f>
        <v>0</v>
      </c>
      <c r="H31" s="196">
        <f>+D31-F31-G31</f>
        <v>0</v>
      </c>
      <c r="I31" s="24"/>
      <c r="J31" s="282"/>
      <c r="K31" s="202" t="s">
        <v>48</v>
      </c>
      <c r="L31" s="199"/>
      <c r="M31" s="200"/>
      <c r="N31" s="201">
        <f>+L31*M31</f>
        <v>0</v>
      </c>
      <c r="O31" s="201">
        <f>+M31*N31</f>
        <v>0</v>
      </c>
      <c r="P31" s="196">
        <f>+L31-N31-O31</f>
        <v>0</v>
      </c>
    </row>
    <row r="32" spans="2:16" ht="14.25" customHeight="1">
      <c r="B32" s="281"/>
      <c r="C32" s="205" t="s">
        <v>823</v>
      </c>
      <c r="D32" s="206">
        <f>SUM(D19:D31)</f>
        <v>0</v>
      </c>
      <c r="E32" s="283">
        <f>SUM(F19:F31)</f>
        <v>0</v>
      </c>
      <c r="F32" s="283"/>
      <c r="G32" s="207">
        <f>SUM(G19:G31)</f>
        <v>0</v>
      </c>
      <c r="H32" s="208">
        <f>SUM(H19:H31)</f>
        <v>0</v>
      </c>
      <c r="I32" s="24"/>
      <c r="K32" s="205" t="s">
        <v>823</v>
      </c>
      <c r="L32" s="206">
        <f>SUM(L19:L31)</f>
        <v>0</v>
      </c>
      <c r="M32" s="283">
        <f>SUM(N19:N31)</f>
        <v>0</v>
      </c>
      <c r="N32" s="283"/>
      <c r="O32" s="207">
        <f>SUM(O19:O31)</f>
        <v>0</v>
      </c>
      <c r="P32" s="208">
        <f>SUM(P19:P31)</f>
        <v>0</v>
      </c>
    </row>
  </sheetData>
  <mergeCells count="16">
    <mergeCell ref="B2:C2"/>
    <mergeCell ref="E2:F2"/>
    <mergeCell ref="J2:K2"/>
    <mergeCell ref="M2:N2"/>
    <mergeCell ref="B3:B16"/>
    <mergeCell ref="J3:J15"/>
    <mergeCell ref="E16:F16"/>
    <mergeCell ref="M16:N16"/>
    <mergeCell ref="B18:C18"/>
    <mergeCell ref="E18:F18"/>
    <mergeCell ref="J18:K18"/>
    <mergeCell ref="M18:N18"/>
    <mergeCell ref="B19:B32"/>
    <mergeCell ref="J19:J31"/>
    <mergeCell ref="E32:F32"/>
    <mergeCell ref="M32:N32"/>
  </mergeCell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ED4BB"/>
  </sheetPr>
  <dimension ref="B1:L29"/>
  <sheetViews>
    <sheetView zoomScaleNormal="100" workbookViewId="0">
      <pane ySplit="1" topLeftCell="F3" activePane="bottomLeft" state="frozen"/>
      <selection pane="bottomLeft" activeCell="F3" sqref="F3"/>
    </sheetView>
  </sheetViews>
  <sheetFormatPr defaultColWidth="11.5703125" defaultRowHeight="12.75"/>
  <cols>
    <col min="1" max="1" width="8.140625" style="209" customWidth="1"/>
    <col min="2" max="2" width="17.42578125" style="209" customWidth="1"/>
    <col min="3" max="3" width="12.42578125" style="210" customWidth="1"/>
    <col min="4" max="4" width="14" style="210" customWidth="1"/>
    <col min="5" max="5" width="16.42578125" style="211" customWidth="1"/>
    <col min="6" max="6" width="12.7109375" style="211" customWidth="1"/>
    <col min="7" max="7" width="12.42578125" style="211" customWidth="1"/>
    <col min="8" max="8" width="12.42578125" style="212" customWidth="1"/>
    <col min="9" max="9" width="11.42578125" style="213" customWidth="1"/>
    <col min="10" max="10" width="4.7109375" style="214" customWidth="1"/>
    <col min="11" max="11" width="5.140625" style="215" customWidth="1"/>
    <col min="12" max="12" width="11.140625" style="215" customWidth="1"/>
    <col min="13" max="16384" width="11.5703125" style="209"/>
  </cols>
  <sheetData>
    <row r="1" spans="2:12" ht="13.5">
      <c r="B1" s="216" t="s">
        <v>825</v>
      </c>
      <c r="C1" s="217" t="s">
        <v>779</v>
      </c>
      <c r="D1" s="218" t="s">
        <v>780</v>
      </c>
      <c r="E1" s="219" t="s">
        <v>826</v>
      </c>
      <c r="F1" s="217" t="s">
        <v>779</v>
      </c>
      <c r="G1" s="218" t="s">
        <v>780</v>
      </c>
      <c r="H1" s="220" t="s">
        <v>827</v>
      </c>
      <c r="I1" s="221" t="s">
        <v>828</v>
      </c>
      <c r="J1" s="222">
        <f ca="1">DAYS360("31/12/2024",TODAY())</f>
        <v>386</v>
      </c>
      <c r="K1" s="223" t="s">
        <v>829</v>
      </c>
    </row>
    <row r="2" spans="2:12">
      <c r="B2" s="224" t="str">
        <f>+Configuración!C2</f>
        <v>Agua</v>
      </c>
      <c r="C2" s="225">
        <v>-350</v>
      </c>
      <c r="D2" s="226">
        <v>0</v>
      </c>
      <c r="E2" s="227">
        <f>+C2+D2</f>
        <v>-350</v>
      </c>
      <c r="F2" s="228">
        <f>SUMIFS(Movimientos!$D$89:$D$10793, Movimientos!$C$89:$C$10793, B2, Movimientos!$B$89:$B$10793, "d*")</f>
        <v>-233.35999999999999</v>
      </c>
      <c r="G2" s="229">
        <f>SUMIFS(Movimientos!$D$89:$D$10793, Movimientos!$C$89:$C$10793, B2, Movimientos!$B$89:$B$10793, "n*")</f>
        <v>0</v>
      </c>
      <c r="H2" s="230">
        <f>SUMIFS(Movimientos!$D$89:$D$10793,Movimientos!$C$89:$C$10793,B2)</f>
        <v>-233.35999999999999</v>
      </c>
      <c r="I2" s="231">
        <f ca="1">(1-(E2/360)/(H2/($J$1)))*100</f>
        <v>-60.814954481392604</v>
      </c>
    </row>
    <row r="3" spans="2:12" ht="11.25" customHeight="1">
      <c r="B3" s="232" t="str">
        <f>+Configuración!C3</f>
        <v>Alquiler</v>
      </c>
      <c r="C3" s="233">
        <v>9600</v>
      </c>
      <c r="D3" s="234">
        <v>0</v>
      </c>
      <c r="E3" s="235">
        <f>+D3+C3</f>
        <v>9600</v>
      </c>
      <c r="F3" s="236">
        <f>SUMIFS(Movimientos!$D$89:$D$10793, Movimientos!$C$89:$C$10793, B3, Movimientos!$B$89:$B$10793, "d*")</f>
        <v>10400</v>
      </c>
      <c r="G3" s="237">
        <f>SUMIFS(Movimientos!$D$89:$D$10793, Movimientos!$C$89:$C$10793, B3, Movimientos!$B$89:$B$10793, "n*")</f>
        <v>0</v>
      </c>
      <c r="H3" s="238">
        <f>SUMIFS(Movimientos!$D$89:$D$10793,Movimientos!$C$89:$C$10793,B3)</f>
        <v>10400</v>
      </c>
      <c r="I3" s="231">
        <f ca="1">(1-(E3/360)/(H3/($J$1)))*100</f>
        <v>1.025641025641022</v>
      </c>
    </row>
    <row r="4" spans="2:12">
      <c r="B4" s="232" t="str">
        <f>+Configuración!C4</f>
        <v>Combustible</v>
      </c>
      <c r="C4" s="233">
        <v>-1500</v>
      </c>
      <c r="D4" s="234">
        <v>-1640</v>
      </c>
      <c r="E4" s="235">
        <f>+D4+C4</f>
        <v>-3140</v>
      </c>
      <c r="F4" s="236">
        <f>SUMIFS(Movimientos!$D$89:$D$10793, Movimientos!$C$89:$C$10793, B4, Movimientos!$B$89:$B$10793, "d*")</f>
        <v>-1050.43</v>
      </c>
      <c r="G4" s="237">
        <f>SUMIFS(Movimientos!$D$89:$D$10793, Movimientos!$C$89:$C$10793, B4, Movimientos!$B$89:$B$10793, "n*")</f>
        <v>-784.24999999999989</v>
      </c>
      <c r="H4" s="238">
        <f>SUMIFS(Movimientos!$D$89:$D$10793,Movimientos!$C$89:$C$10793,B4)</f>
        <v>-1834.68</v>
      </c>
      <c r="I4" s="231">
        <f ca="1">(1-(E4/360)/(H4/($J$1)))*100</f>
        <v>-83.50762954726585</v>
      </c>
    </row>
    <row r="5" spans="2:12">
      <c r="B5" s="232" t="str">
        <f>+Configuración!C5</f>
        <v>Comida</v>
      </c>
      <c r="C5" s="233">
        <v>-6000</v>
      </c>
      <c r="D5" s="234">
        <v>-1000</v>
      </c>
      <c r="E5" s="235">
        <f>+D5+C5</f>
        <v>-7000</v>
      </c>
      <c r="F5" s="236">
        <f>SUMIFS(Movimientos!$D$89:$D$10793, Movimientos!$C$89:$C$10793, B5, Movimientos!$B$89:$B$10793, "d*")</f>
        <v>-5372.71</v>
      </c>
      <c r="G5" s="237">
        <f>SUMIFS(Movimientos!$D$89:$D$10793, Movimientos!$C$89:$C$10793, B5, Movimientos!$B$89:$B$10793, "n*")</f>
        <v>-1013.8400000000001</v>
      </c>
      <c r="H5" s="238">
        <f>SUMIFS(Movimientos!$D$89:$D$10793,Movimientos!$C$89:$C$10793,B5)</f>
        <v>-6386.5499999999975</v>
      </c>
      <c r="I5" s="231">
        <f ca="1">(1-(E5/360)/(H5/($J$1)))*100</f>
        <v>-17.521283878706949</v>
      </c>
    </row>
    <row r="6" spans="2:12">
      <c r="B6" s="232" t="str">
        <f>+Configuración!C6</f>
        <v>Comunes</v>
      </c>
      <c r="C6" s="233">
        <v>-3000</v>
      </c>
      <c r="D6" s="234">
        <v>0</v>
      </c>
      <c r="E6" s="235">
        <f>+D6+C6</f>
        <v>-3000</v>
      </c>
      <c r="F6" s="236">
        <f>SUMIFS(Movimientos!$D$89:$D$10793, Movimientos!$C$89:$C$10793, B6, Movimientos!$B$89:$B$10793, "d*")</f>
        <v>-2097.6799999999994</v>
      </c>
      <c r="G6" s="237">
        <f>SUMIFS(Movimientos!$D$89:$D$10793, Movimientos!$C$89:$C$10793, B6, Movimientos!$B$89:$B$10793, "n*")</f>
        <v>2097.6799999999994</v>
      </c>
      <c r="H6" s="238">
        <f>SUMIFS(Movimientos!$D$89:$D$10793,Movimientos!$C$89:$C$10793,B6)</f>
        <v>0</v>
      </c>
      <c r="I6" s="231">
        <v>0</v>
      </c>
    </row>
    <row r="7" spans="2:12">
      <c r="B7" s="232" t="str">
        <f>+Configuración!C7</f>
        <v>Comunidad</v>
      </c>
      <c r="C7" s="233">
        <v>-2000</v>
      </c>
      <c r="D7" s="234">
        <v>0</v>
      </c>
      <c r="E7" s="235">
        <f>+D7+C7</f>
        <v>-2000</v>
      </c>
      <c r="F7" s="236">
        <f>SUMIFS(Movimientos!$D$89:$D$10793, Movimientos!$C$89:$C$10793, B7, Movimientos!$B$89:$B$10793, "d*")</f>
        <v>-2113.1000000000004</v>
      </c>
      <c r="G7" s="237">
        <f>SUMIFS(Movimientos!$D$89:$D$10793, Movimientos!$C$89:$C$10793, B7, Movimientos!$B$89:$B$10793, "n*")</f>
        <v>-185</v>
      </c>
      <c r="H7" s="238">
        <f>SUMIFS(Movimientos!$D$89:$D$10793,Movimientos!$C$89:$C$10793,B7)</f>
        <v>-2298.1000000000004</v>
      </c>
      <c r="I7" s="231">
        <f ca="1">(1-(E7/360)/(H7/($J$1)))*100</f>
        <v>6.6861997108722875</v>
      </c>
    </row>
    <row r="8" spans="2:12">
      <c r="B8" s="232" t="str">
        <f>+Configuración!C8</f>
        <v>Deporte</v>
      </c>
      <c r="C8" s="233">
        <v>-600</v>
      </c>
      <c r="D8" s="234">
        <f>-60*12</f>
        <v>-720</v>
      </c>
      <c r="E8" s="235">
        <f>+D8+C8</f>
        <v>-1320</v>
      </c>
      <c r="F8" s="236">
        <f>SUMIFS(Movimientos!$D$89:$D$10793, Movimientos!$C$89:$C$10793, B8, Movimientos!$B$89:$B$10793, "d*")</f>
        <v>-718.16000000000008</v>
      </c>
      <c r="G8" s="237">
        <f>SUMIFS(Movimientos!$D$89:$D$10793, Movimientos!$C$89:$C$10793, B8, Movimientos!$B$89:$B$10793, "n*")</f>
        <v>-983.91</v>
      </c>
      <c r="H8" s="238">
        <f>SUMIFS(Movimientos!$D$89:$D$10793,Movimientos!$C$89:$C$10793,B8)</f>
        <v>-1702.07</v>
      </c>
      <c r="I8" s="231">
        <f ca="1">(1-(E8/360)/(H8/($J$1)))*100</f>
        <v>16.846349836767381</v>
      </c>
    </row>
    <row r="9" spans="2:12">
      <c r="B9" s="232" t="str">
        <f>+Configuración!C9</f>
        <v>Gas</v>
      </c>
      <c r="C9" s="233">
        <v>-150</v>
      </c>
      <c r="D9" s="234">
        <v>0</v>
      </c>
      <c r="E9" s="235">
        <f>+D9+C9</f>
        <v>-150</v>
      </c>
      <c r="F9" s="236">
        <f>SUMIFS(Movimientos!$D$89:$D$10793, Movimientos!$C$89:$C$10793, B9, Movimientos!$B$89:$B$10793, "d*")</f>
        <v>-160.46</v>
      </c>
      <c r="G9" s="237">
        <f>SUMIFS(Movimientos!$D$89:$D$10793, Movimientos!$C$89:$C$10793, B9, Movimientos!$B$89:$B$10793, "n*")</f>
        <v>0</v>
      </c>
      <c r="H9" s="238">
        <f>SUMIFS(Movimientos!$D$89:$D$10793,Movimientos!$C$89:$C$10793,B9)</f>
        <v>-160.46</v>
      </c>
      <c r="I9" s="231">
        <f ca="1">(1-(E9/360)/(H9/($J$1)))*100</f>
        <v>-0.23266442311686841</v>
      </c>
    </row>
    <row r="10" spans="2:12">
      <c r="B10" s="232" t="str">
        <f>+Configuración!C10</f>
        <v>Higiene</v>
      </c>
      <c r="C10" s="233">
        <v>0</v>
      </c>
      <c r="D10" s="234">
        <v>-400</v>
      </c>
      <c r="E10" s="235">
        <f>+D10+C10</f>
        <v>-400</v>
      </c>
      <c r="F10" s="236">
        <f>SUMIFS(Movimientos!$D$89:$D$10793, Movimientos!$C$89:$C$10793, B10, Movimientos!$B$89:$B$10793, "d*")</f>
        <v>0</v>
      </c>
      <c r="G10" s="237">
        <f>SUMIFS(Movimientos!$D$89:$D$10793, Movimientos!$C$89:$C$10793, B10, Movimientos!$B$89:$B$10793, "n*")</f>
        <v>-660.17</v>
      </c>
      <c r="H10" s="238">
        <f>SUMIFS(Movimientos!$D$89:$D$10793,Movimientos!$C$89:$C$10793,B10)</f>
        <v>-660.17</v>
      </c>
      <c r="I10" s="231">
        <f ca="1">(1-(E10/360)/(H10/($J$1)))*100</f>
        <v>35.033568794569746</v>
      </c>
    </row>
    <row r="11" spans="2:12">
      <c r="B11" s="232" t="str">
        <f>+Configuración!C11</f>
        <v>Impuestos</v>
      </c>
      <c r="C11" s="233">
        <v>-950</v>
      </c>
      <c r="D11" s="234">
        <v>-500</v>
      </c>
      <c r="E11" s="235">
        <f>+D11+C11</f>
        <v>-1450</v>
      </c>
      <c r="F11" s="236">
        <f>SUMIFS(Movimientos!$D$89:$D$10793, Movimientos!$C$89:$C$10793, B11, Movimientos!$B$89:$B$10793, "d*")</f>
        <v>961.41999999999962</v>
      </c>
      <c r="G11" s="237">
        <f>SUMIFS(Movimientos!$D$89:$D$10793, Movimientos!$C$89:$C$10793, B11, Movimientos!$B$89:$B$10793, "n*")</f>
        <v>-68.200000000000045</v>
      </c>
      <c r="H11" s="238">
        <f>SUMIFS(Movimientos!$D$89:$D$10793,Movimientos!$C$89:$C$10793,B11)</f>
        <v>893.21999999999957</v>
      </c>
      <c r="I11" s="231">
        <f ca="1">(1-(E11/360)/(H11/($J$1)))*100</f>
        <v>274.05815165605594</v>
      </c>
    </row>
    <row r="12" spans="2:12">
      <c r="B12" s="232" t="str">
        <f>+Configuración!C13</f>
        <v>Intereses</v>
      </c>
      <c r="C12" s="233">
        <v>1100</v>
      </c>
      <c r="D12" s="234">
        <v>6000</v>
      </c>
      <c r="E12" s="235">
        <f>+D12+C12</f>
        <v>7100</v>
      </c>
      <c r="F12" s="236">
        <f>SUMIFS(Movimientos!$D$89:$D$10793, Movimientos!$C$89:$C$10793, B12, Movimientos!$B$89:$B$10793, "d*")</f>
        <v>1662.6600000000017</v>
      </c>
      <c r="G12" s="237">
        <f>SUMIFS(Movimientos!$D$89:$D$10793, Movimientos!$C$89:$C$10793, B12, Movimientos!$B$89:$B$10793, "n*")</f>
        <v>3380.41</v>
      </c>
      <c r="H12" s="238">
        <f>SUMIFS(Movimientos!$D$89:$D$10793,Movimientos!$C$89:$C$10793,B12)</f>
        <v>5043.0700000000006</v>
      </c>
      <c r="I12" s="231">
        <f ca="1">(1-(E12/360)/(H12/($J$1)))*100</f>
        <v>-50.955227228211733</v>
      </c>
    </row>
    <row r="13" spans="2:12">
      <c r="B13" s="232" t="str">
        <f>+Configuración!C14</f>
        <v>Lotería</v>
      </c>
      <c r="C13" s="233">
        <v>-500</v>
      </c>
      <c r="D13" s="234">
        <v>-200</v>
      </c>
      <c r="E13" s="235">
        <f>+D13+C13</f>
        <v>-700</v>
      </c>
      <c r="F13" s="236">
        <f>SUMIFS(Movimientos!$D$89:$D$10793, Movimientos!$C$89:$C$10793, B13, Movimientos!$B$89:$B$10793, "d*")</f>
        <v>-456.9</v>
      </c>
      <c r="G13" s="237">
        <f>SUMIFS(Movimientos!$D$89:$D$10793, Movimientos!$C$89:$C$10793, B13, Movimientos!$B$89:$B$10793, "n*")</f>
        <v>-58.5</v>
      </c>
      <c r="H13" s="238">
        <f>SUMIFS(Movimientos!$D$89:$D$10793,Movimientos!$C$89:$C$10793,B13)</f>
        <v>-515.4</v>
      </c>
      <c r="I13" s="231">
        <f ca="1">(1-(E13/360)/(H13/($J$1)))*100</f>
        <v>-45.625835381365064</v>
      </c>
      <c r="L13" s="239"/>
    </row>
    <row r="14" spans="2:12">
      <c r="B14" s="232" t="str">
        <f>+Configuración!C15</f>
        <v>Luz</v>
      </c>
      <c r="C14" s="233">
        <v>-10</v>
      </c>
      <c r="D14" s="234">
        <v>0</v>
      </c>
      <c r="E14" s="235">
        <f>+D14+C14</f>
        <v>-10</v>
      </c>
      <c r="F14" s="236">
        <f>SUMIFS(Movimientos!$D$89:$D$10793, Movimientos!$C$89:$C$10793, B14, Movimientos!$B$89:$B$10793, "d*")</f>
        <v>-70.69</v>
      </c>
      <c r="G14" s="237">
        <f>SUMIFS(Movimientos!$D$89:$D$10793, Movimientos!$C$89:$C$10793, B14, Movimientos!$B$89:$B$10793, "n*")</f>
        <v>0</v>
      </c>
      <c r="H14" s="238">
        <f>SUMIFS(Movimientos!$D$89:$D$10793,Movimientos!$C$89:$C$10793,B14)</f>
        <v>-70.69</v>
      </c>
      <c r="I14" s="231">
        <f ca="1">(1-(E14/360)/(H14/($J$1)))*100</f>
        <v>84.832052309771939</v>
      </c>
      <c r="K14" s="240"/>
      <c r="L14" s="239"/>
    </row>
    <row r="15" spans="2:12">
      <c r="B15" s="232" t="str">
        <f>+Configuración!C16</f>
        <v>Medicamentos</v>
      </c>
      <c r="C15" s="233">
        <v>-100</v>
      </c>
      <c r="D15" s="234">
        <v>-1500</v>
      </c>
      <c r="E15" s="235">
        <f>+D15+C15</f>
        <v>-1600</v>
      </c>
      <c r="F15" s="236">
        <f>SUMIFS(Movimientos!$D$89:$D$10793, Movimientos!$C$89:$C$10793, B15, Movimientos!$B$89:$B$10793, "d*")</f>
        <v>-275.70000000000005</v>
      </c>
      <c r="G15" s="237">
        <f>SUMIFS(Movimientos!$D$89:$D$10793, Movimientos!$C$89:$C$10793, B15, Movimientos!$B$89:$B$10793, "n*")</f>
        <v>-2574.7400000000002</v>
      </c>
      <c r="H15" s="238">
        <f>SUMIFS(Movimientos!$D$89:$D$10793,Movimientos!$C$89:$C$10793,B15)</f>
        <v>-2850.4399999999996</v>
      </c>
      <c r="I15" s="231">
        <f ca="1">(1-(E15/360)/(H15/($J$1)))*100</f>
        <v>39.814360044219278</v>
      </c>
    </row>
    <row r="16" spans="2:12">
      <c r="B16" s="232" t="str">
        <f>+Configuración!C17</f>
        <v>Móvil</v>
      </c>
      <c r="C16" s="233">
        <v>-250</v>
      </c>
      <c r="D16" s="234">
        <v>-450</v>
      </c>
      <c r="E16" s="235">
        <f>+D16+C16</f>
        <v>-700</v>
      </c>
      <c r="F16" s="236">
        <f>SUMIFS(Movimientos!$D$89:$D$10793, Movimientos!$C$89:$C$10793, B16, Movimientos!$B$89:$B$10793, "d*")</f>
        <v>0</v>
      </c>
      <c r="G16" s="237">
        <f>SUMIFS(Movimientos!$D$89:$D$10793, Movimientos!$C$89:$C$10793, B16, Movimientos!$B$89:$B$10793, "n*")</f>
        <v>-455.40000000000003</v>
      </c>
      <c r="H16" s="238">
        <f>SUMIFS(Movimientos!$D$89:$D$10793,Movimientos!$C$89:$C$10793,B16)</f>
        <v>-455.40000000000003</v>
      </c>
      <c r="I16" s="231">
        <f ca="1">(1-(E16/360)/(H16/($J$1)))*100</f>
        <v>-64.812374957302495</v>
      </c>
    </row>
    <row r="17" spans="2:9">
      <c r="B17" s="232" t="str">
        <f>+Configuración!C18</f>
        <v>Nómina</v>
      </c>
      <c r="C17" s="233">
        <v>27000</v>
      </c>
      <c r="D17" s="234">
        <v>27000</v>
      </c>
      <c r="E17" s="235">
        <f>+D17+C17</f>
        <v>54000</v>
      </c>
      <c r="F17" s="236">
        <f>SUMIFS(Movimientos!$D$89:$D$10793, Movimientos!$C$89:$C$10793, B17, Movimientos!$B$89:$B$10793, "d*")</f>
        <v>28421.659999999996</v>
      </c>
      <c r="G17" s="237">
        <f>SUMIFS(Movimientos!$D$89:$D$10793, Movimientos!$C$89:$C$10793, B17, Movimientos!$B$89:$B$10793, "n*")</f>
        <v>28413.03</v>
      </c>
      <c r="H17" s="238">
        <f>SUMIFS(Movimientos!$D$89:$D$10793,Movimientos!$C$89:$C$10793,B17)</f>
        <v>56834.689999999995</v>
      </c>
      <c r="I17" s="231">
        <f ca="1">(1-(E17/360)/(H17/($J$1)))*100</f>
        <v>-1.874401004034687</v>
      </c>
    </row>
    <row r="18" spans="2:9">
      <c r="B18" s="232" t="str">
        <f>+Configuración!C19</f>
        <v>Ocio</v>
      </c>
      <c r="C18" s="233">
        <v>-3000</v>
      </c>
      <c r="D18" s="234">
        <v>-1890</v>
      </c>
      <c r="E18" s="235">
        <f>+D18+C18</f>
        <v>-4890</v>
      </c>
      <c r="F18" s="236">
        <f>SUMIFS(Movimientos!$D$89:$D$10793, Movimientos!$C$89:$C$10793, B18, Movimientos!$B$89:$B$10793, "d*")</f>
        <v>-815.99999999999602</v>
      </c>
      <c r="G18" s="237">
        <f>SUMIFS(Movimientos!$D$89:$D$10793, Movimientos!$C$89:$C$10793, B18, Movimientos!$B$89:$B$10793, "n*")</f>
        <v>-3438.2099999999996</v>
      </c>
      <c r="H18" s="238">
        <f>SUMIFS(Movimientos!$D$89:$D$10793,Movimientos!$C$89:$C$10793,B18)</f>
        <v>-4254.2100000000137</v>
      </c>
      <c r="I18" s="231">
        <f ca="1">(1-(E18/360)/(H18/($J$1)))*100</f>
        <v>-23.246540877546007</v>
      </c>
    </row>
    <row r="19" spans="2:9">
      <c r="B19" s="232" t="str">
        <f>+Configuración!C20</f>
        <v>OtrosGastos</v>
      </c>
      <c r="C19" s="233">
        <v>-1500</v>
      </c>
      <c r="D19" s="234">
        <v>-1400</v>
      </c>
      <c r="E19" s="235">
        <f>+D19+C19</f>
        <v>-2900</v>
      </c>
      <c r="F19" s="236">
        <f>SUMIFS(Movimientos!$D$89:$D$10793, Movimientos!$C$89:$C$10793, B19, Movimientos!$B$89:$B$10793, "d*")</f>
        <v>-122.24000000000001</v>
      </c>
      <c r="G19" s="237">
        <f>SUMIFS(Movimientos!$D$89:$D$10793, Movimientos!$C$89:$C$10793, B19, Movimientos!$B$89:$B$10793, "n*")</f>
        <v>-1395.06</v>
      </c>
      <c r="H19" s="238">
        <f>SUMIFS(Movimientos!$D$89:$D$10793,Movimientos!$C$89:$C$10793,B19)</f>
        <v>-1517.3</v>
      </c>
      <c r="I19" s="231">
        <f ca="1">(1-(E19/360)/(H19/($J$1)))*100</f>
        <v>-104.93273870984279</v>
      </c>
    </row>
    <row r="20" spans="2:9">
      <c r="B20" s="232" t="str">
        <f>+Configuración!C21</f>
        <v>OtrosIngresos</v>
      </c>
      <c r="C20" s="233">
        <v>50</v>
      </c>
      <c r="D20" s="234">
        <v>2000</v>
      </c>
      <c r="E20" s="235">
        <f>+D20+C20</f>
        <v>2050</v>
      </c>
      <c r="F20" s="236">
        <f>SUMIFS(Movimientos!$D$89:$D$10793, Movimientos!$C$89:$C$10793, B20, Movimientos!$B$89:$B$10793, "d*")</f>
        <v>13.26</v>
      </c>
      <c r="G20" s="237">
        <f>SUMIFS(Movimientos!$D$89:$D$10793, Movimientos!$C$89:$C$10793, B20, Movimientos!$B$89:$B$10793, "n*")</f>
        <v>812.12</v>
      </c>
      <c r="H20" s="238">
        <f>SUMIFS(Movimientos!$D$89:$D$10793,Movimientos!$C$89:$C$10793,B20)</f>
        <v>825.38</v>
      </c>
      <c r="I20" s="231">
        <f ca="1">(1-(E20/360)/(H20/($J$1)))*100</f>
        <v>-166.30831320792311</v>
      </c>
    </row>
    <row r="21" spans="2:9">
      <c r="B21" s="232" t="str">
        <f>+Configuración!C22</f>
        <v>Peluquería</v>
      </c>
      <c r="C21" s="233">
        <v>-50</v>
      </c>
      <c r="D21" s="234">
        <v>-1300</v>
      </c>
      <c r="E21" s="235">
        <f>+D21+C21</f>
        <v>-1350</v>
      </c>
      <c r="F21" s="236">
        <f>SUMIFS(Movimientos!$D$89:$D$10793, Movimientos!$C$89:$C$10793, B21, Movimientos!$B$89:$B$10793, "d*")</f>
        <v>0</v>
      </c>
      <c r="G21" s="237">
        <f>SUMIFS(Movimientos!$D$89:$D$10793, Movimientos!$C$89:$C$10793, B21, Movimientos!$B$89:$B$10793, "n*")</f>
        <v>-1045.5</v>
      </c>
      <c r="H21" s="238">
        <f>SUMIFS(Movimientos!$D$89:$D$10793,Movimientos!$C$89:$C$10793,B21)</f>
        <v>-1045.5</v>
      </c>
      <c r="I21" s="231">
        <f ca="1">(1-(E21/360)/(H21/($J$1)))*100</f>
        <v>-38.450502152080347</v>
      </c>
    </row>
    <row r="22" spans="2:9">
      <c r="B22" s="232" t="str">
        <f>+Configuración!C23</f>
        <v>Regalos</v>
      </c>
      <c r="C22" s="233">
        <v>-500</v>
      </c>
      <c r="D22" s="234">
        <v>-200</v>
      </c>
      <c r="E22" s="235">
        <f>+D22+C22</f>
        <v>-700</v>
      </c>
      <c r="F22" s="236">
        <f>SUMIFS(Movimientos!$D$89:$D$10793, Movimientos!$C$89:$C$10793, B22, Movimientos!$B$89:$B$10793, "d*")</f>
        <v>-403.79999999999995</v>
      </c>
      <c r="G22" s="237">
        <f>SUMIFS(Movimientos!$D$89:$D$10793, Movimientos!$C$89:$C$10793, B22, Movimientos!$B$89:$B$10793, "n*")</f>
        <v>8430.85</v>
      </c>
      <c r="H22" s="238">
        <f>SUMIFS(Movimientos!$D$89:$D$10793,Movimientos!$C$89:$C$10793,B22)</f>
        <v>8027.050000000002</v>
      </c>
      <c r="I22" s="231">
        <f ca="1">(1-(E22/360)/(H22/($J$1)))*100</f>
        <v>109.35032864571113</v>
      </c>
    </row>
    <row r="23" spans="2:9">
      <c r="B23" s="232" t="str">
        <f>+Configuración!C24</f>
        <v>Revisión/Itv</v>
      </c>
      <c r="C23" s="233">
        <v>-800</v>
      </c>
      <c r="D23" s="234">
        <v>-500</v>
      </c>
      <c r="E23" s="235">
        <f>+D23+C23</f>
        <v>-1300</v>
      </c>
      <c r="F23" s="236">
        <f>SUMIFS(Movimientos!$D$89:$D$10793, Movimientos!$C$89:$C$10793, B23, Movimientos!$B$89:$B$10793, "d*")</f>
        <v>-804.91</v>
      </c>
      <c r="G23" s="237">
        <f>SUMIFS(Movimientos!$D$89:$D$10793, Movimientos!$C$89:$C$10793, B23, Movimientos!$B$89:$B$10793, "n*")</f>
        <v>-471.57</v>
      </c>
      <c r="H23" s="238">
        <f>SUMIFS(Movimientos!$D$89:$D$10793,Movimientos!$C$89:$C$10793,B23)</f>
        <v>-1276.48</v>
      </c>
      <c r="I23" s="231">
        <v>0</v>
      </c>
    </row>
    <row r="24" spans="2:9">
      <c r="B24" s="232" t="str">
        <f>+Configuración!C25</f>
        <v>Seguros</v>
      </c>
      <c r="C24" s="233">
        <v>-600</v>
      </c>
      <c r="D24" s="234">
        <v>-200</v>
      </c>
      <c r="E24" s="235">
        <f>+D24+C24</f>
        <v>-800</v>
      </c>
      <c r="F24" s="236">
        <f>SUMIFS(Movimientos!$D$89:$D$10793, Movimientos!$C$89:$C$10793, B24, Movimientos!$B$89:$B$10793, "d*")</f>
        <v>-384.83</v>
      </c>
      <c r="G24" s="237">
        <f>SUMIFS(Movimientos!$D$89:$D$10793, Movimientos!$C$89:$C$10793, B24, Movimientos!$B$89:$B$10793, "n*")</f>
        <v>-742.11999999999989</v>
      </c>
      <c r="H24" s="238">
        <f>SUMIFS(Movimientos!$D$89:$D$10793,Movimientos!$C$89:$C$10793,B24)</f>
        <v>-1126.9499999999998</v>
      </c>
      <c r="I24" s="231">
        <f ca="1">(1-(E24/360)/(H24/($J$1)))*100</f>
        <v>23.885019053393851</v>
      </c>
    </row>
    <row r="25" spans="2:9">
      <c r="B25" s="232" t="str">
        <f>+Configuración!C27</f>
        <v>Vacaciones</v>
      </c>
      <c r="C25" s="233">
        <v>-1590</v>
      </c>
      <c r="D25" s="234">
        <v>-3000</v>
      </c>
      <c r="E25" s="235">
        <f>+D25+C25</f>
        <v>-4590</v>
      </c>
      <c r="F25" s="236">
        <f>SUMIFS(Movimientos!$D$89:$D$10793, Movimientos!$C$89:$C$10793, B25, Movimientos!$B$89:$B$10793, "d*")</f>
        <v>0</v>
      </c>
      <c r="G25" s="237">
        <f>SUMIFS(Movimientos!$D$89:$D$10793, Movimientos!$C$89:$C$10793, B25, Movimientos!$B$89:$B$10793, "n*")</f>
        <v>-3618.36</v>
      </c>
      <c r="H25" s="238">
        <f>SUMIFS(Movimientos!$D$89:$D$10793,Movimientos!$C$89:$C$10793,B25)</f>
        <v>-3618.36</v>
      </c>
      <c r="I25" s="231">
        <f ca="1">(1-(E25/360)/(H25/($J$1)))*100</f>
        <v>-36.014658574602862</v>
      </c>
    </row>
    <row r="26" spans="2:9">
      <c r="B26" s="232" t="str">
        <f>+Configuración!C28</f>
        <v>VariosCoche</v>
      </c>
      <c r="C26" s="233">
        <v>-300</v>
      </c>
      <c r="D26" s="234">
        <v>-300</v>
      </c>
      <c r="E26" s="235">
        <f>+D26+C26</f>
        <v>-600</v>
      </c>
      <c r="F26" s="236">
        <f>SUMIFS(Movimientos!$D$89:$D$10793, Movimientos!$C$89:$C$10793, B26, Movimientos!$B$89:$B$10793, "d*")</f>
        <v>-80.95</v>
      </c>
      <c r="G26" s="237">
        <f>SUMIFS(Movimientos!$D$89:$D$10793, Movimientos!$C$89:$C$10793, B26, Movimientos!$B$89:$B$10793, "n*")</f>
        <v>-394.08000000000004</v>
      </c>
      <c r="H26" s="238">
        <f>SUMIFS(Movimientos!$D$89:$D$10793,Movimientos!$C$89:$C$10793,B26)</f>
        <v>-475.03000000000003</v>
      </c>
      <c r="I26" s="231">
        <f ca="1">(1-(E26/360)/(H26/($J$1)))*100</f>
        <v>-35.430043014827149</v>
      </c>
    </row>
    <row r="27" spans="2:9">
      <c r="B27" s="232" t="str">
        <f>+Configuración!C29</f>
        <v>VariosVivienda</v>
      </c>
      <c r="C27" s="233">
        <v>-3000</v>
      </c>
      <c r="D27" s="234">
        <v>-300</v>
      </c>
      <c r="E27" s="235">
        <f>+D27+C27</f>
        <v>-3300</v>
      </c>
      <c r="F27" s="236">
        <f>SUMIFS(Movimientos!$D$89:$D$10793, Movimientos!$C$89:$C$10793, B27, Movimientos!$B$89:$B$10793, "d*")</f>
        <v>-2992.6499999999996</v>
      </c>
      <c r="G27" s="237">
        <f>SUMIFS(Movimientos!$D$89:$D$10793, Movimientos!$C$89:$C$10793, B27, Movimientos!$B$89:$B$10793, "n*")</f>
        <v>-3343.98</v>
      </c>
      <c r="H27" s="238">
        <f>SUMIFS(Movimientos!$D$89:$D$10793,Movimientos!$C$89:$C$10793,B27)</f>
        <v>-6336.630000000001</v>
      </c>
      <c r="I27" s="231">
        <f ca="1">(1-(E27/360)/(H27/($J$1)))*100</f>
        <v>44.160644801206125</v>
      </c>
    </row>
    <row r="28" spans="2:9">
      <c r="B28" s="232" t="str">
        <f>+Configuración!C30</f>
        <v>Vestir</v>
      </c>
      <c r="C28" s="233">
        <v>-1000</v>
      </c>
      <c r="D28" s="234">
        <v>-1000</v>
      </c>
      <c r="E28" s="235">
        <f>+D28+C28</f>
        <v>-2000</v>
      </c>
      <c r="F28" s="236">
        <f>SUMIFS(Movimientos!$D$89:$D$10793, Movimientos!$C$89:$C$10793, B28, Movimientos!$B$89:$B$10793, "d*")</f>
        <v>-404.74399999999997</v>
      </c>
      <c r="G28" s="237">
        <f>SUMIFS(Movimientos!$D$89:$D$10793, Movimientos!$C$89:$C$10793, B28, Movimientos!$B$89:$B$10793, "n*")</f>
        <v>-716.30099999999993</v>
      </c>
      <c r="H28" s="238">
        <f>SUMIFS(Movimientos!$D$89:$D$10793,Movimientos!$C$89:$C$10793,B28)</f>
        <v>-1121.0449999999998</v>
      </c>
      <c r="I28" s="231">
        <v>0</v>
      </c>
    </row>
    <row r="29" spans="2:9">
      <c r="B29" s="241" t="s">
        <v>830</v>
      </c>
      <c r="C29" s="242">
        <f>SUM(C2:C28)</f>
        <v>10000</v>
      </c>
      <c r="D29" s="243">
        <f>SUM(D2:D28)</f>
        <v>18500</v>
      </c>
      <c r="E29" s="244">
        <f>SUM(E2:E28)</f>
        <v>28500</v>
      </c>
      <c r="F29" s="242">
        <f>SUM(F2:F28)</f>
        <v>22899.685999999994</v>
      </c>
      <c r="G29" s="243">
        <f>SUM(G2:G28)</f>
        <v>21184.898999999998</v>
      </c>
      <c r="H29" s="244">
        <f>SUM(H2:H28)</f>
        <v>44084.584999999977</v>
      </c>
      <c r="I29" s="245">
        <f ca="1">(1-(E29/360)/(H29/($J$1)))*100</f>
        <v>30.682497445913693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D9D9D9"/>
  </sheetPr>
  <dimension ref="A1:G1064"/>
  <sheetViews>
    <sheetView topLeftCell="A24" zoomScaleNormal="100" workbookViewId="0">
      <selection activeCell="B33" sqref="B33"/>
    </sheetView>
  </sheetViews>
  <sheetFormatPr defaultColWidth="11.5703125" defaultRowHeight="14.25"/>
  <cols>
    <col min="1" max="1" width="22.85546875" style="2" customWidth="1"/>
    <col min="2" max="2" width="33.28515625" style="246" customWidth="1"/>
    <col min="3" max="3" width="24.140625" style="246" customWidth="1"/>
    <col min="4" max="4" width="13.7109375" style="2" customWidth="1"/>
    <col min="5" max="16384" width="11.5703125" style="2"/>
  </cols>
  <sheetData>
    <row r="1" spans="1:4">
      <c r="A1" s="247" t="s">
        <v>831</v>
      </c>
      <c r="B1" s="248" t="s">
        <v>5</v>
      </c>
      <c r="C1" s="249" t="s">
        <v>6</v>
      </c>
      <c r="D1" s="249" t="s">
        <v>9</v>
      </c>
    </row>
    <row r="2" spans="1:4">
      <c r="A2" s="250" t="s">
        <v>784</v>
      </c>
      <c r="B2" s="251" t="s">
        <v>832</v>
      </c>
      <c r="C2" s="252" t="s">
        <v>277</v>
      </c>
      <c r="D2" s="253" t="s">
        <v>38</v>
      </c>
    </row>
    <row r="3" spans="1:4">
      <c r="A3" s="254" t="s">
        <v>784</v>
      </c>
      <c r="B3" s="251" t="s">
        <v>833</v>
      </c>
      <c r="C3" s="252" t="s">
        <v>39</v>
      </c>
      <c r="D3" s="255" t="s">
        <v>0</v>
      </c>
    </row>
    <row r="4" spans="1:4">
      <c r="A4" s="254" t="s">
        <v>784</v>
      </c>
      <c r="B4" s="251" t="s">
        <v>834</v>
      </c>
      <c r="C4" s="252" t="s">
        <v>73</v>
      </c>
      <c r="D4" s="256" t="s">
        <v>1</v>
      </c>
    </row>
    <row r="5" spans="1:4">
      <c r="A5" s="254" t="s">
        <v>784</v>
      </c>
      <c r="B5" s="251" t="s">
        <v>835</v>
      </c>
      <c r="C5" s="252" t="s">
        <v>36</v>
      </c>
    </row>
    <row r="6" spans="1:4">
      <c r="A6" s="254" t="s">
        <v>784</v>
      </c>
      <c r="B6" s="251" t="s">
        <v>836</v>
      </c>
      <c r="C6" s="252" t="s">
        <v>47</v>
      </c>
    </row>
    <row r="7" spans="1:4">
      <c r="A7" s="254" t="s">
        <v>784</v>
      </c>
      <c r="B7" s="251" t="s">
        <v>837</v>
      </c>
      <c r="C7" s="252" t="s">
        <v>43</v>
      </c>
    </row>
    <row r="8" spans="1:4">
      <c r="A8" s="254" t="s">
        <v>784</v>
      </c>
      <c r="B8" s="251" t="s">
        <v>838</v>
      </c>
      <c r="C8" s="252" t="s">
        <v>52</v>
      </c>
    </row>
    <row r="9" spans="1:4">
      <c r="A9" s="254" t="s">
        <v>784</v>
      </c>
      <c r="B9" s="251" t="s">
        <v>839</v>
      </c>
      <c r="C9" s="252" t="s">
        <v>166</v>
      </c>
    </row>
    <row r="10" spans="1:4">
      <c r="A10" s="254" t="s">
        <v>784</v>
      </c>
      <c r="B10" s="251" t="s">
        <v>840</v>
      </c>
      <c r="C10" s="252" t="s">
        <v>119</v>
      </c>
    </row>
    <row r="11" spans="1:4">
      <c r="A11" s="254" t="s">
        <v>784</v>
      </c>
      <c r="B11" s="251" t="s">
        <v>841</v>
      </c>
      <c r="C11" s="252" t="s">
        <v>319</v>
      </c>
    </row>
    <row r="12" spans="1:4">
      <c r="A12" s="254" t="s">
        <v>784</v>
      </c>
      <c r="B12" s="251" t="s">
        <v>842</v>
      </c>
      <c r="C12" s="252" t="s">
        <v>11</v>
      </c>
    </row>
    <row r="13" spans="1:4">
      <c r="A13" s="254" t="s">
        <v>784</v>
      </c>
      <c r="B13" s="251" t="s">
        <v>843</v>
      </c>
      <c r="C13" s="252" t="s">
        <v>34</v>
      </c>
    </row>
    <row r="14" spans="1:4">
      <c r="A14" s="257" t="s">
        <v>844</v>
      </c>
      <c r="B14" s="258" t="s">
        <v>673</v>
      </c>
      <c r="C14" s="252" t="s">
        <v>62</v>
      </c>
    </row>
    <row r="15" spans="1:4">
      <c r="A15" s="257" t="s">
        <v>844</v>
      </c>
      <c r="B15" s="258" t="s">
        <v>471</v>
      </c>
      <c r="C15" s="252" t="s">
        <v>89</v>
      </c>
    </row>
    <row r="16" spans="1:4">
      <c r="A16" s="259" t="s">
        <v>789</v>
      </c>
      <c r="B16" s="260" t="s">
        <v>625</v>
      </c>
      <c r="C16" s="252" t="s">
        <v>54</v>
      </c>
    </row>
    <row r="17" spans="1:3">
      <c r="A17" s="259" t="s">
        <v>789</v>
      </c>
      <c r="B17" s="260" t="s">
        <v>480</v>
      </c>
      <c r="C17" s="252" t="s">
        <v>81</v>
      </c>
    </row>
    <row r="18" spans="1:3">
      <c r="A18" s="259" t="s">
        <v>789</v>
      </c>
      <c r="B18" s="260" t="s">
        <v>542</v>
      </c>
      <c r="C18" s="252" t="s">
        <v>110</v>
      </c>
    </row>
    <row r="19" spans="1:3">
      <c r="A19" s="259" t="s">
        <v>790</v>
      </c>
      <c r="B19" s="260" t="s">
        <v>438</v>
      </c>
      <c r="C19" s="252" t="s">
        <v>41</v>
      </c>
    </row>
    <row r="20" spans="1:3">
      <c r="A20" s="259" t="s">
        <v>789</v>
      </c>
      <c r="B20" s="260" t="s">
        <v>603</v>
      </c>
      <c r="C20" s="252" t="s">
        <v>845</v>
      </c>
    </row>
    <row r="21" spans="1:3">
      <c r="A21" s="259" t="s">
        <v>789</v>
      </c>
      <c r="B21" s="260" t="s">
        <v>553</v>
      </c>
      <c r="C21" s="252" t="s">
        <v>846</v>
      </c>
    </row>
    <row r="22" spans="1:3">
      <c r="A22" s="259" t="s">
        <v>847</v>
      </c>
      <c r="B22" s="260" t="s">
        <v>744</v>
      </c>
      <c r="C22" s="252" t="s">
        <v>105</v>
      </c>
    </row>
    <row r="23" spans="1:3">
      <c r="A23" s="259" t="s">
        <v>789</v>
      </c>
      <c r="B23" s="260" t="s">
        <v>478</v>
      </c>
      <c r="C23" s="252" t="s">
        <v>50</v>
      </c>
    </row>
    <row r="24" spans="1:3">
      <c r="A24" s="261" t="s">
        <v>786</v>
      </c>
      <c r="B24" s="262" t="s">
        <v>574</v>
      </c>
      <c r="C24" s="252" t="s">
        <v>510</v>
      </c>
    </row>
    <row r="25" spans="1:3">
      <c r="A25" s="259" t="s">
        <v>847</v>
      </c>
      <c r="B25" s="260" t="s">
        <v>86</v>
      </c>
      <c r="C25" s="252" t="s">
        <v>149</v>
      </c>
    </row>
    <row r="26" spans="1:3" ht="15" customHeight="1">
      <c r="A26" s="259" t="s">
        <v>790</v>
      </c>
      <c r="B26" s="260" t="s">
        <v>848</v>
      </c>
      <c r="C26" s="252" t="s">
        <v>46</v>
      </c>
    </row>
    <row r="27" spans="1:3">
      <c r="A27" s="259" t="s">
        <v>790</v>
      </c>
      <c r="B27" s="260" t="s">
        <v>747</v>
      </c>
      <c r="C27" s="252" t="s">
        <v>176</v>
      </c>
    </row>
    <row r="28" spans="1:3">
      <c r="A28" s="259" t="s">
        <v>847</v>
      </c>
      <c r="B28" s="260" t="s">
        <v>457</v>
      </c>
      <c r="C28" s="252" t="s">
        <v>849</v>
      </c>
    </row>
    <row r="29" spans="1:3">
      <c r="A29" s="259" t="s">
        <v>850</v>
      </c>
      <c r="B29" s="260" t="s">
        <v>328</v>
      </c>
      <c r="C29" s="252" t="s">
        <v>776</v>
      </c>
    </row>
    <row r="30" spans="1:3">
      <c r="A30" s="257" t="s">
        <v>844</v>
      </c>
      <c r="B30" s="258" t="s">
        <v>554</v>
      </c>
      <c r="C30" s="263" t="s">
        <v>76</v>
      </c>
    </row>
    <row r="31" spans="1:3">
      <c r="A31" s="259" t="s">
        <v>847</v>
      </c>
      <c r="B31" s="260" t="s">
        <v>663</v>
      </c>
    </row>
    <row r="32" spans="1:3">
      <c r="A32" s="259" t="s">
        <v>789</v>
      </c>
      <c r="B32" s="260" t="s">
        <v>508</v>
      </c>
    </row>
    <row r="33" spans="1:2">
      <c r="A33" s="259" t="s">
        <v>782</v>
      </c>
      <c r="B33" s="260" t="s">
        <v>715</v>
      </c>
    </row>
    <row r="34" spans="1:2">
      <c r="A34" s="259" t="s">
        <v>847</v>
      </c>
      <c r="B34" s="260" t="s">
        <v>626</v>
      </c>
    </row>
    <row r="35" spans="1:2">
      <c r="A35" s="259" t="s">
        <v>782</v>
      </c>
      <c r="B35" s="264" t="s">
        <v>759</v>
      </c>
    </row>
    <row r="36" spans="1:2">
      <c r="A36" s="259" t="s">
        <v>790</v>
      </c>
      <c r="B36" s="260" t="s">
        <v>745</v>
      </c>
    </row>
    <row r="37" spans="1:2">
      <c r="A37" s="257" t="s">
        <v>844</v>
      </c>
      <c r="B37" s="258" t="s">
        <v>454</v>
      </c>
    </row>
    <row r="38" spans="1:2">
      <c r="A38" s="259" t="s">
        <v>847</v>
      </c>
      <c r="B38" s="259" t="s">
        <v>472</v>
      </c>
    </row>
    <row r="39" spans="1:2">
      <c r="A39" s="259" t="s">
        <v>850</v>
      </c>
      <c r="B39" s="259" t="s">
        <v>534</v>
      </c>
    </row>
    <row r="40" spans="1:2">
      <c r="A40" s="257" t="s">
        <v>844</v>
      </c>
      <c r="B40" s="258" t="s">
        <v>239</v>
      </c>
    </row>
    <row r="41" spans="1:2">
      <c r="A41" s="259" t="s">
        <v>847</v>
      </c>
      <c r="B41" s="260" t="s">
        <v>499</v>
      </c>
    </row>
    <row r="42" spans="1:2">
      <c r="A42" s="257" t="s">
        <v>844</v>
      </c>
      <c r="B42" s="258" t="s">
        <v>502</v>
      </c>
    </row>
    <row r="43" spans="1:2">
      <c r="A43" s="257" t="s">
        <v>844</v>
      </c>
      <c r="B43" s="258" t="s">
        <v>566</v>
      </c>
    </row>
    <row r="44" spans="1:2">
      <c r="A44" s="259" t="s">
        <v>847</v>
      </c>
      <c r="B44" s="260" t="s">
        <v>746</v>
      </c>
    </row>
    <row r="45" spans="1:2">
      <c r="A45" s="257" t="s">
        <v>844</v>
      </c>
      <c r="B45" s="258" t="s">
        <v>449</v>
      </c>
    </row>
    <row r="46" spans="1:2">
      <c r="A46" s="257" t="s">
        <v>844</v>
      </c>
      <c r="B46" s="258" t="s">
        <v>481</v>
      </c>
    </row>
    <row r="47" spans="1:2">
      <c r="A47" s="261" t="s">
        <v>787</v>
      </c>
      <c r="B47" s="262" t="s">
        <v>437</v>
      </c>
    </row>
    <row r="48" spans="1:2">
      <c r="A48" s="259" t="s">
        <v>789</v>
      </c>
      <c r="B48" s="260" t="s">
        <v>679</v>
      </c>
    </row>
    <row r="49" spans="1:2">
      <c r="A49" s="259" t="s">
        <v>847</v>
      </c>
      <c r="B49" s="260" t="s">
        <v>674</v>
      </c>
    </row>
    <row r="50" spans="1:2">
      <c r="A50" s="259" t="s">
        <v>847</v>
      </c>
      <c r="B50" s="260" t="s">
        <v>485</v>
      </c>
    </row>
    <row r="51" spans="1:2">
      <c r="A51" s="259" t="s">
        <v>847</v>
      </c>
      <c r="B51" s="260" t="s">
        <v>585</v>
      </c>
    </row>
    <row r="52" spans="1:2">
      <c r="A52" s="257" t="s">
        <v>844</v>
      </c>
      <c r="B52" s="258" t="s">
        <v>116</v>
      </c>
    </row>
    <row r="53" spans="1:2">
      <c r="A53" s="259" t="s">
        <v>790</v>
      </c>
      <c r="B53" s="260" t="s">
        <v>525</v>
      </c>
    </row>
    <row r="54" spans="1:2">
      <c r="A54" s="259" t="s">
        <v>790</v>
      </c>
      <c r="B54" s="260" t="s">
        <v>496</v>
      </c>
    </row>
    <row r="55" spans="1:2">
      <c r="A55" s="259" t="s">
        <v>789</v>
      </c>
      <c r="B55" s="260" t="s">
        <v>522</v>
      </c>
    </row>
    <row r="56" spans="1:2">
      <c r="A56" s="261" t="s">
        <v>786</v>
      </c>
      <c r="B56" s="262" t="s">
        <v>452</v>
      </c>
    </row>
    <row r="57" spans="1:2">
      <c r="A57" s="259" t="s">
        <v>850</v>
      </c>
      <c r="B57" s="260" t="s">
        <v>622</v>
      </c>
    </row>
    <row r="58" spans="1:2">
      <c r="A58" s="259" t="s">
        <v>847</v>
      </c>
      <c r="B58" s="260" t="s">
        <v>851</v>
      </c>
    </row>
    <row r="59" spans="1:2">
      <c r="A59" s="257" t="s">
        <v>844</v>
      </c>
      <c r="B59" s="258" t="s">
        <v>852</v>
      </c>
    </row>
    <row r="60" spans="1:2" ht="13.5" customHeight="1">
      <c r="A60" s="259" t="s">
        <v>847</v>
      </c>
      <c r="B60" s="260" t="s">
        <v>520</v>
      </c>
    </row>
    <row r="61" spans="1:2" ht="13.5" customHeight="1">
      <c r="A61" s="257" t="s">
        <v>844</v>
      </c>
      <c r="B61" s="258" t="s">
        <v>475</v>
      </c>
    </row>
    <row r="62" spans="1:2" ht="13.5" customHeight="1">
      <c r="A62" s="259" t="s">
        <v>847</v>
      </c>
      <c r="B62" s="260" t="s">
        <v>610</v>
      </c>
    </row>
    <row r="63" spans="1:2" ht="13.5" customHeight="1">
      <c r="A63" s="257" t="s">
        <v>844</v>
      </c>
      <c r="B63" s="258" t="s">
        <v>450</v>
      </c>
    </row>
    <row r="64" spans="1:2" ht="13.5" customHeight="1">
      <c r="A64" s="257" t="s">
        <v>844</v>
      </c>
      <c r="B64" s="258" t="s">
        <v>256</v>
      </c>
    </row>
    <row r="65" spans="1:2">
      <c r="A65" s="259" t="s">
        <v>850</v>
      </c>
      <c r="B65" s="260" t="s">
        <v>853</v>
      </c>
    </row>
    <row r="66" spans="1:2">
      <c r="A66" s="257" t="s">
        <v>844</v>
      </c>
      <c r="B66" s="258" t="s">
        <v>854</v>
      </c>
    </row>
    <row r="67" spans="1:2">
      <c r="A67" s="259" t="s">
        <v>847</v>
      </c>
      <c r="B67" s="260" t="s">
        <v>640</v>
      </c>
    </row>
    <row r="68" spans="1:2">
      <c r="A68" s="257" t="s">
        <v>844</v>
      </c>
      <c r="B68" s="258" t="s">
        <v>448</v>
      </c>
    </row>
    <row r="69" spans="1:2">
      <c r="A69" s="257" t="s">
        <v>844</v>
      </c>
      <c r="B69" s="258" t="s">
        <v>446</v>
      </c>
    </row>
    <row r="70" spans="1:2">
      <c r="A70" s="261" t="s">
        <v>787</v>
      </c>
      <c r="B70" s="262" t="s">
        <v>445</v>
      </c>
    </row>
    <row r="71" spans="1:2">
      <c r="A71" s="259" t="s">
        <v>844</v>
      </c>
      <c r="B71" s="260" t="s">
        <v>504</v>
      </c>
    </row>
    <row r="72" spans="1:2">
      <c r="A72" s="259" t="s">
        <v>847</v>
      </c>
      <c r="B72" s="260" t="s">
        <v>201</v>
      </c>
    </row>
    <row r="73" spans="1:2" ht="14.25" customHeight="1">
      <c r="A73" s="265" t="s">
        <v>790</v>
      </c>
      <c r="B73" s="266" t="s">
        <v>459</v>
      </c>
    </row>
    <row r="1064" spans="7:7">
      <c r="G1064" s="2" t="s">
        <v>855</v>
      </c>
    </row>
  </sheetData>
  <pageMargins left="0.78749999999999998" right="0.78749999999999998" top="1.0249999999999999" bottom="1.0249999999999999" header="0.78749999999999998" footer="0.78749999999999998"/>
  <pageSetup paperSize="9" orientation="portrait" horizontalDpi="300" verticalDpi="300"/>
  <headerFooter>
    <oddHeader>&amp;C&amp;A</oddHeader>
    <oddFooter>&amp;CPágina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Jose</dc:creator>
  <cp:keywords/>
  <dc:description/>
  <cp:lastModifiedBy/>
  <cp:revision>88</cp:revision>
  <dcterms:created xsi:type="dcterms:W3CDTF">2024-12-28T13:04:59Z</dcterms:created>
  <dcterms:modified xsi:type="dcterms:W3CDTF">2026-01-26T08:55:27Z</dcterms:modified>
  <cp:category/>
  <cp:contentStatus/>
</cp:coreProperties>
</file>